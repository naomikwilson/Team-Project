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filterPrivacy="1" codeName="ThisWorkbook" defaultThemeVersion="166925"/>
  <xr:revisionPtr revIDLastSave="0" documentId="13_ncr:1_{38C6E8BC-8D50-42A3-9EDA-9077782CB81A}" xr6:coauthVersionLast="47" xr6:coauthVersionMax="47" xr10:uidLastSave="{00000000-0000-0000-0000-000000000000}"/>
  <bookViews>
    <workbookView xWindow="1812" yWindow="612" windowWidth="17316" windowHeight="10512" xr2:uid="{00000000-000D-0000-FFFF-FFFF00000000}"/>
  </bookViews>
  <sheets>
    <sheet name="COMPCO" sheetId="11" r:id="rId1"/>
    <sheet name="BENCHMARKING" sheetId="10" r:id="rId2"/>
    <sheet name="Financial Data" sheetId="1" r:id="rId3"/>
    <sheet name="Trading Multiples" sheetId="2" r:id="rId4"/>
    <sheet name="Operating Statistics" sheetId="3" r:id="rId5"/>
    <sheet name="Business Description" sheetId="4" r:id="rId6"/>
    <sheet name="Implied Valuation" sheetId="5" r:id="rId7"/>
    <sheet name="Valuation Chart" sheetId="6" r:id="rId8"/>
    <sheet name="Credit Health Panel" sheetId="7" r:id="rId9"/>
    <sheet name="Disclaimer" sheetId="8" r:id="rId10"/>
    <sheet name="Evaluation Warning" sheetId="9" r:id="rId11"/>
  </sheets>
  <definedNames>
    <definedName name="_xlnm.Print_Titles" localSheetId="5">'Business Description'!$1:$3</definedName>
    <definedName name="_xlnm.Print_Titles" localSheetId="8">'Credit Health Panel'!$1:$3</definedName>
    <definedName name="_xlnm.Print_Titles" localSheetId="9">Disclaimer!$1:$3</definedName>
    <definedName name="_xlnm.Print_Titles" localSheetId="2">'Financial Data'!$1:$3</definedName>
    <definedName name="_xlnm.Print_Titles" localSheetId="6">'Implied Valuation'!$1:$3</definedName>
    <definedName name="_xlnm.Print_Titles" localSheetId="4">'Operating Statistics'!$1:$3</definedName>
    <definedName name="_xlnm.Print_Titles" localSheetId="3">'Trading Multiples'!$1:$3</definedName>
    <definedName name="_xlnm.Print_Titles" localSheetId="7">'Valuation Chart'!$1:$3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 i="11" l="1"/>
  <c r="N44" i="11"/>
  <c r="N43" i="11"/>
  <c r="N42" i="11"/>
  <c r="N41" i="11"/>
  <c r="N40" i="11"/>
  <c r="N39" i="11"/>
  <c r="N38" i="11"/>
  <c r="N37" i="11"/>
  <c r="N36" i="11"/>
  <c r="N35" i="11"/>
  <c r="N34" i="11"/>
  <c r="N33" i="11"/>
  <c r="N32" i="11"/>
  <c r="N31" i="11"/>
  <c r="N30" i="11"/>
  <c r="N29" i="11"/>
  <c r="N28" i="11"/>
  <c r="N27" i="11"/>
  <c r="N26" i="11"/>
  <c r="N25" i="11"/>
  <c r="N24" i="11"/>
  <c r="M44" i="11"/>
  <c r="M43" i="11"/>
  <c r="M42" i="11"/>
  <c r="M41" i="11"/>
  <c r="M40" i="11"/>
  <c r="M39" i="11"/>
  <c r="M38" i="11"/>
  <c r="M37" i="11"/>
  <c r="M36" i="11"/>
  <c r="M35" i="11"/>
  <c r="M34" i="11"/>
  <c r="M33" i="11"/>
  <c r="M32" i="11"/>
  <c r="M31" i="11"/>
  <c r="M30" i="11"/>
  <c r="M29" i="11"/>
  <c r="M28" i="11"/>
  <c r="M27" i="11"/>
  <c r="M26" i="11"/>
  <c r="M25" i="11"/>
  <c r="M24" i="11"/>
  <c r="L44" i="11"/>
  <c r="L43" i="11"/>
  <c r="L42" i="11"/>
  <c r="L41" i="11"/>
  <c r="L40" i="11"/>
  <c r="L39" i="11"/>
  <c r="L38" i="11"/>
  <c r="L37" i="11"/>
  <c r="L36" i="11"/>
  <c r="L35" i="11"/>
  <c r="L34" i="11"/>
  <c r="L33" i="11"/>
  <c r="L32" i="11"/>
  <c r="L31" i="11"/>
  <c r="L30" i="11"/>
  <c r="L29" i="11"/>
  <c r="L28" i="11"/>
  <c r="L27" i="11"/>
  <c r="L26" i="11"/>
  <c r="L25" i="11"/>
  <c r="L24" i="11"/>
  <c r="L22" i="11"/>
  <c r="R8" i="11" s="1"/>
  <c r="R10" i="11" s="1"/>
  <c r="R12" i="11" s="1"/>
  <c r="R14" i="11" s="1"/>
  <c r="D28" i="10"/>
  <c r="O29" i="10"/>
  <c r="N29" i="10"/>
  <c r="M29" i="10"/>
  <c r="L29" i="10"/>
  <c r="K29" i="10"/>
  <c r="J29" i="10"/>
  <c r="I29" i="10"/>
  <c r="H29" i="10"/>
  <c r="G29" i="10"/>
  <c r="F29" i="10"/>
  <c r="E29" i="10"/>
  <c r="D29" i="10"/>
  <c r="O51" i="10"/>
  <c r="O50" i="10"/>
  <c r="O49" i="10"/>
  <c r="O48" i="10"/>
  <c r="O47" i="10"/>
  <c r="O46" i="10"/>
  <c r="O45" i="10"/>
  <c r="O44" i="10"/>
  <c r="O43" i="10"/>
  <c r="O42" i="10"/>
  <c r="O41" i="10"/>
  <c r="O40" i="10"/>
  <c r="O39" i="10"/>
  <c r="O38" i="10"/>
  <c r="O37" i="10"/>
  <c r="O36" i="10"/>
  <c r="O35" i="10"/>
  <c r="O34" i="10"/>
  <c r="O33" i="10"/>
  <c r="O32" i="10"/>
  <c r="O31" i="10"/>
  <c r="N51" i="10"/>
  <c r="N50" i="10"/>
  <c r="N49" i="10"/>
  <c r="N48" i="10"/>
  <c r="N47" i="10"/>
  <c r="N46" i="10"/>
  <c r="N45" i="10"/>
  <c r="N44" i="10"/>
  <c r="N43" i="10"/>
  <c r="N42" i="10"/>
  <c r="N41" i="10"/>
  <c r="N40" i="10"/>
  <c r="N39" i="10"/>
  <c r="N38" i="10"/>
  <c r="N37" i="10"/>
  <c r="N36" i="10"/>
  <c r="N35" i="10"/>
  <c r="N34" i="10"/>
  <c r="N33" i="10"/>
  <c r="N32" i="10"/>
  <c r="N31" i="10"/>
  <c r="M51" i="10"/>
  <c r="M50" i="10"/>
  <c r="M49" i="10"/>
  <c r="M48" i="10"/>
  <c r="M47" i="10"/>
  <c r="M46" i="10"/>
  <c r="M45" i="10"/>
  <c r="M44" i="10"/>
  <c r="M43" i="10"/>
  <c r="M42" i="10"/>
  <c r="M41" i="10"/>
  <c r="M40" i="10"/>
  <c r="M39" i="10"/>
  <c r="M38" i="10"/>
  <c r="M37" i="10"/>
  <c r="M36" i="10"/>
  <c r="M35" i="10"/>
  <c r="M34" i="10"/>
  <c r="M33" i="10"/>
  <c r="M32" i="10"/>
  <c r="M31" i="10"/>
  <c r="L51" i="10"/>
  <c r="L50" i="10"/>
  <c r="L49" i="10"/>
  <c r="L48" i="10"/>
  <c r="L47" i="10"/>
  <c r="L46" i="10"/>
  <c r="L45" i="10"/>
  <c r="L44" i="10"/>
  <c r="L43" i="10"/>
  <c r="L42" i="10"/>
  <c r="L41" i="10"/>
  <c r="L40" i="10"/>
  <c r="L39" i="10"/>
  <c r="L38" i="10"/>
  <c r="L37" i="10"/>
  <c r="L36" i="10"/>
  <c r="L35" i="10"/>
  <c r="L34" i="10"/>
  <c r="L33" i="10"/>
  <c r="L32" i="10"/>
  <c r="L31" i="10"/>
  <c r="K51" i="10"/>
  <c r="K50" i="10"/>
  <c r="K49" i="10"/>
  <c r="K48" i="10"/>
  <c r="K47" i="10"/>
  <c r="K46" i="10"/>
  <c r="K45" i="10"/>
  <c r="K44" i="10"/>
  <c r="K43" i="10"/>
  <c r="K42" i="10"/>
  <c r="K41" i="10"/>
  <c r="K40" i="10"/>
  <c r="K39" i="10"/>
  <c r="K38" i="10"/>
  <c r="K37" i="10"/>
  <c r="K36" i="10"/>
  <c r="K35" i="10"/>
  <c r="K34" i="10"/>
  <c r="K33" i="10"/>
  <c r="K32" i="10"/>
  <c r="K31" i="10"/>
  <c r="J51" i="10"/>
  <c r="J50" i="10"/>
  <c r="J49" i="10"/>
  <c r="J48" i="10"/>
  <c r="J47" i="10"/>
  <c r="J46" i="10"/>
  <c r="J45" i="10"/>
  <c r="J44" i="10"/>
  <c r="J43" i="10"/>
  <c r="J42" i="10"/>
  <c r="J41" i="10"/>
  <c r="J40" i="10"/>
  <c r="J39" i="10"/>
  <c r="J38" i="10"/>
  <c r="J37" i="10"/>
  <c r="J36" i="10"/>
  <c r="J35" i="10"/>
  <c r="J34" i="10"/>
  <c r="J33" i="10"/>
  <c r="J32" i="10"/>
  <c r="J31" i="10"/>
  <c r="I51" i="10"/>
  <c r="I50" i="10"/>
  <c r="I49" i="10"/>
  <c r="I48" i="10"/>
  <c r="I47" i="10"/>
  <c r="I46" i="10"/>
  <c r="I45" i="10"/>
  <c r="I44" i="10"/>
  <c r="I43" i="10"/>
  <c r="I42" i="10"/>
  <c r="I41" i="10"/>
  <c r="I40" i="10"/>
  <c r="I39" i="10"/>
  <c r="I38" i="10"/>
  <c r="I37" i="10"/>
  <c r="I36" i="10"/>
  <c r="I35" i="10"/>
  <c r="I34" i="10"/>
  <c r="I33" i="10"/>
  <c r="I32" i="10"/>
  <c r="I31" i="10"/>
  <c r="H51" i="10"/>
  <c r="H50" i="10"/>
  <c r="H49" i="10"/>
  <c r="H48" i="10"/>
  <c r="H47" i="10"/>
  <c r="H46" i="10"/>
  <c r="H45" i="10"/>
  <c r="H44" i="10"/>
  <c r="H43" i="10"/>
  <c r="H42" i="10"/>
  <c r="H41" i="10"/>
  <c r="H40" i="10"/>
  <c r="H39" i="10"/>
  <c r="H38" i="10"/>
  <c r="H37" i="10"/>
  <c r="H36" i="10"/>
  <c r="H35" i="10"/>
  <c r="H34" i="10"/>
  <c r="H33" i="10"/>
  <c r="H32" i="10"/>
  <c r="H31" i="10"/>
  <c r="G51" i="10"/>
  <c r="G50" i="10"/>
  <c r="G49" i="10"/>
  <c r="G48" i="10"/>
  <c r="G47" i="10"/>
  <c r="G46" i="10"/>
  <c r="G45" i="10"/>
  <c r="G44" i="10"/>
  <c r="G43" i="10"/>
  <c r="G42" i="10"/>
  <c r="G41" i="10"/>
  <c r="G40" i="10"/>
  <c r="G39" i="10"/>
  <c r="G38" i="10"/>
  <c r="G37" i="10"/>
  <c r="G36" i="10"/>
  <c r="G35" i="10"/>
  <c r="G34" i="10"/>
  <c r="G33" i="10"/>
  <c r="G32" i="10"/>
  <c r="G31" i="10"/>
  <c r="F51" i="10"/>
  <c r="F50" i="10"/>
  <c r="F49" i="10"/>
  <c r="F48" i="10"/>
  <c r="F47" i="10"/>
  <c r="F46" i="10"/>
  <c r="F45" i="10"/>
  <c r="F44" i="10"/>
  <c r="F43" i="10"/>
  <c r="F42" i="10"/>
  <c r="F41" i="10"/>
  <c r="F40" i="10"/>
  <c r="F39" i="10"/>
  <c r="F38" i="10"/>
  <c r="F37" i="10"/>
  <c r="F36" i="10"/>
  <c r="F35" i="10"/>
  <c r="F34" i="10"/>
  <c r="F33" i="10"/>
  <c r="F32" i="10"/>
  <c r="F31" i="10"/>
  <c r="E51" i="10"/>
  <c r="E50" i="10"/>
  <c r="E49" i="10"/>
  <c r="E48" i="10"/>
  <c r="E47" i="10"/>
  <c r="E46" i="10"/>
  <c r="E45" i="10"/>
  <c r="E44" i="10"/>
  <c r="E43" i="10"/>
  <c r="E42" i="10"/>
  <c r="E41" i="10"/>
  <c r="E40" i="10"/>
  <c r="E39" i="10"/>
  <c r="E38" i="10"/>
  <c r="E37" i="10"/>
  <c r="E36" i="10"/>
  <c r="E35" i="10"/>
  <c r="E34" i="10"/>
  <c r="E33" i="10"/>
  <c r="E32" i="10"/>
  <c r="E31" i="10"/>
  <c r="D51" i="10"/>
  <c r="D50" i="10"/>
  <c r="D49" i="10"/>
  <c r="D48" i="10"/>
  <c r="D47" i="10"/>
  <c r="D46" i="10"/>
  <c r="D45" i="10"/>
  <c r="D44" i="10"/>
  <c r="D43" i="10"/>
  <c r="D42" i="10"/>
  <c r="D41" i="10"/>
  <c r="D40" i="10"/>
  <c r="D39" i="10"/>
  <c r="D38" i="10"/>
  <c r="D37" i="10"/>
  <c r="D36" i="10"/>
  <c r="D35" i="10"/>
  <c r="D34" i="10"/>
  <c r="D33" i="10"/>
  <c r="D32" i="10"/>
  <c r="D31" i="10"/>
  <c r="Q8" i="11" l="1"/>
  <c r="Q10" i="11" s="1"/>
  <c r="Q12" i="11" s="1"/>
  <c r="Q14" i="11" s="1"/>
  <c r="Q15" i="11" s="1"/>
  <c r="Q17" i="11" s="1"/>
  <c r="S8" i="11"/>
  <c r="S14" i="11" s="1"/>
  <c r="S12" i="11" s="1"/>
  <c r="S10" i="11" s="1"/>
</calcChain>
</file>

<file path=xl/sharedStrings.xml><?xml version="1.0" encoding="utf-8"?>
<sst xmlns="http://schemas.openxmlformats.org/spreadsheetml/2006/main" count="662" uniqueCount="208">
  <si>
    <t>Apple Inc. (NasdaqGS:AAPL) &gt;  Quick Comparable Analysis &gt; Financial Data</t>
  </si>
  <si>
    <t>Details</t>
  </si>
  <si>
    <t>Template:</t>
  </si>
  <si>
    <t>Capital IQ Default Comps</t>
  </si>
  <si>
    <t>Currency:</t>
  </si>
  <si>
    <t>US Dollar</t>
  </si>
  <si>
    <t>As-Of Date:</t>
  </si>
  <si>
    <t>Company Comp Set</t>
  </si>
  <si>
    <t>Company Name</t>
  </si>
  <si>
    <t>Day Close Price Latest</t>
  </si>
  <si>
    <t>Shares Outstanding Latest</t>
  </si>
  <si>
    <t>Market Capitalization Latest</t>
  </si>
  <si>
    <t xml:space="preserve">LTM Net Debt </t>
  </si>
  <si>
    <t>LTM Total Pref. Equity</t>
  </si>
  <si>
    <t>LTM Minority Interest</t>
  </si>
  <si>
    <t>Total Enterprise Value Latest</t>
  </si>
  <si>
    <t xml:space="preserve">LTM Tangible Book Value/Share </t>
  </si>
  <si>
    <t xml:space="preserve">LTM Filing Date, Income Statement </t>
  </si>
  <si>
    <t xml:space="preserve">LTM Total Revenue </t>
  </si>
  <si>
    <t xml:space="preserve">LTM EBITDA </t>
  </si>
  <si>
    <t xml:space="preserve">LTM EBIT </t>
  </si>
  <si>
    <t xml:space="preserve">LTM Diluted EPS Excl. Extra Items </t>
  </si>
  <si>
    <t xml:space="preserve">NTM Revenue (Capital IQ) </t>
  </si>
  <si>
    <t xml:space="preserve">NTM EBITDA (Capital IQ) </t>
  </si>
  <si>
    <t xml:space="preserve">NTM EPS (Capital IQ) </t>
  </si>
  <si>
    <t>Amazon.com, Inc. (NasdaqGS:AMZN)</t>
  </si>
  <si>
    <t>-</t>
  </si>
  <si>
    <t>Alphabet Inc. (NasdaqGS:GOOGL)</t>
  </si>
  <si>
    <t>Dell Technologies Inc. (NYSE:DELL)</t>
  </si>
  <si>
    <t>Hewlett Packard Enterprise Company (NYSE:HPE)</t>
  </si>
  <si>
    <t>HP Inc. (NYSE:HPQ)</t>
  </si>
  <si>
    <t>NetApp, Inc. (NasdaqGS:NTAP)</t>
  </si>
  <si>
    <t>QUALCOMM Incorporated (NasdaqGS:QCOM)</t>
  </si>
  <si>
    <t>Intel Corporation (NasdaqGS:INTC)</t>
  </si>
  <si>
    <t>Western Digital Corporation (NasdaqGS:WDC)</t>
  </si>
  <si>
    <t>Advanced Micro Devices, Inc. (NasdaqGS:AMD)</t>
  </si>
  <si>
    <t>Apple Inc. (NasdaqGS:AAPL)</t>
  </si>
  <si>
    <t>Summary Statistics</t>
  </si>
  <si>
    <t>High</t>
  </si>
  <si>
    <t>Low</t>
  </si>
  <si>
    <t>Mean</t>
  </si>
  <si>
    <t>Median</t>
  </si>
  <si>
    <t>Displaying 11 Companies.</t>
  </si>
  <si>
    <t>Values converted at today's spot rate.</t>
  </si>
  <si>
    <t>Companies by default are sorted by S&amp;P Capital IQ’s proprietary relevancy score.</t>
  </si>
  <si>
    <t>Historical Equity Pricing Data supplied by Interactive Data Pricing and Reference Data LLC</t>
  </si>
  <si>
    <t>Apple Inc. (NasdaqGS:AAPL) &gt;  Quick Comparable Analysis &gt; Trading Multiples</t>
  </si>
  <si>
    <t>Template:</t>
  </si>
  <si>
    <t>Currency:</t>
  </si>
  <si>
    <t>As-Of Date:</t>
  </si>
  <si>
    <t>TEV/Total Revenues LTM - Latest</t>
  </si>
  <si>
    <t>TEV/EBITDA LTM - Latest</t>
  </si>
  <si>
    <t>TEV/EBIT LTM - Latest</t>
  </si>
  <si>
    <t>P/Diluted EPS Before Extra LTM - Latest</t>
  </si>
  <si>
    <t>P/TangBV LTM - Latest</t>
  </si>
  <si>
    <t xml:space="preserve">NTM TEV/Forward Total Revenue (Capital IQ) </t>
  </si>
  <si>
    <t xml:space="preserve">NTM TEV/Forward EBITDA (Capital IQ) </t>
  </si>
  <si>
    <t xml:space="preserve">NTM Forward P/E (Capital IQ) </t>
  </si>
  <si>
    <t>NM</t>
  </si>
  <si>
    <t>Apple Inc. (NasdaqGS:AAPL) &gt;  Quick Comparable Analysis &gt; Operating Statistics</t>
  </si>
  <si>
    <t>Template:</t>
  </si>
  <si>
    <t>Currency:</t>
  </si>
  <si>
    <t>As-Of Date:</t>
  </si>
  <si>
    <t xml:space="preserve">LTM Gross Margin % </t>
  </si>
  <si>
    <t xml:space="preserve">LTM EBITDA Margin % </t>
  </si>
  <si>
    <t xml:space="preserve">LTM EBIT Margin % </t>
  </si>
  <si>
    <t xml:space="preserve">LTM Net Income Margin % </t>
  </si>
  <si>
    <t xml:space="preserve">LTM Total Revenues, 1 Yr Growth % </t>
  </si>
  <si>
    <t xml:space="preserve">LTM EBITDA, 1 Yr Growth % </t>
  </si>
  <si>
    <t xml:space="preserve">LTM EBIT, 1 Yr Growth % </t>
  </si>
  <si>
    <t xml:space="preserve">LTM Net Income, 1 Yr Growth % </t>
  </si>
  <si>
    <t>LTM Total Debt/Capital %</t>
  </si>
  <si>
    <t xml:space="preserve">LTM Total Debt/EBITDA </t>
  </si>
  <si>
    <t xml:space="preserve">NTM LT EPS Growth Rate (Capital IQ) </t>
  </si>
  <si>
    <t>5 Year Beta</t>
  </si>
  <si>
    <t>Apple Inc. (NasdaqGS:AAPL) &gt;  Quick Comparable Analysis &gt; Business Description</t>
  </si>
  <si>
    <t>Template:</t>
  </si>
  <si>
    <t>Currency:</t>
  </si>
  <si>
    <t>As-Of Date:</t>
  </si>
  <si>
    <t>Business Description</t>
  </si>
  <si>
    <t>Headquarters</t>
  </si>
  <si>
    <t>Amazon.com, Inc. engages in the retail sale of consumer products and subscriptions through online and physical stores in North America and internationally. It operates through three segments: North America, International, and Amazon Web Services (AWS). The company’s products offered through its stores include merchandise and content purchased for resale; and products offered by third-party sellers. It also manufactures and sells electronic devices, including Kindle, Fire tablets, Fire TVs, Rings, Blink, eero, and Echo; and develops and produces media content. In addition, the company offers programs that enable sellers to sell their products in its stores; and programs that allow authors, musicians, filmmakers, Twitch streamers, skill and app developers, and others to publish and sell content. Further, it provides compute, storage, database, analytics, machine learning, and other services, as well as fulfillment, advertising, and digital content subscriptions. Additionally, the company offers Amazon Prime, a membership program. It serves consumers, sellers, developers, enterprises, content creators, and advertisers. The company was incorporated in 1994 and is headquartered in Seattle, Washington.</t>
  </si>
  <si>
    <t>410 Terry Avenue North, Seattle, Washington, 98109-5210, United States</t>
  </si>
  <si>
    <t>Alphabet Inc. offers various products and platforms in the United States, Europe, the Middle East, Africa, the Asia-Pacific, Canada, and Latin America. It operates through Google Services, Google Cloud, and Other Bets segments. The Google Services segment provides products and services, including ads, Android, Chrome, hardware, Gmail, Google Drive, Google Maps, Google Photos, Google Play, Search, and YouTube. It is also involved in the sale of apps and in-app purchases and digital content in the Google Play store; and Fitbit wearable devices, Google Nest home products, Pixel phones, and other devices, as well as in the provision of YouTube non-advertising services. The Google Cloud segment offers infrastructure, cybersecurity, data, analytics, AI, and machine learning, and other services; Google Workspace that include cloud-based collaboration tools for enterprises, such as Gmail, Docs, Drive, Calendar, and Meet; and other services for enterprise customers. The Other Bets segment sells health technology and internet services. The company was founded in 1998 and is headquartered in Mountain View, California.</t>
  </si>
  <si>
    <t>1600 Amphitheatre Parkway, Mountain View, California, 94043, United States</t>
  </si>
  <si>
    <t>Dell Technologies Inc. designs, develops, manufactures, markets, sells, and supports various comprehensive and integrated solutions, products, and services in the Americas, Europe, the Middle East, Asia, and internationally. The company operates through two segments, Infrastructure Solutions Group (ISG) and Client Solutions Group (CSG). The ISG segment provides traditional and next-generation storage solutions, including all-flash arrays, scale-out file, object platforms, hyper-converged infrastructure, and software-defined storage; and rack, blade, tower, and hyperscale servers. This segment also offers networking products and services that help its business customers to transform and modernize their infrastructure, mobilize and enrich end-user experiences, and accelerate business applications and processes; attached software and peripherals; and support and deployment, configuration, and extended warranty services. The CSG segment provides desktops, workstations, and notebooks; displays, docking stations, and other electronics; and third-party software and peripherals, as well as support and deployment, configuration, and extended warranty services. The company is also involved in the provision of cybersecurity technology-driven security solutions to prevent security breaches, detect malicious activity, respond rapidly when a security breach occurs, and identify emerging threats; originating, collecting, and servicing customer financing arrangements; and infrastructure-as-a-service solutions, as well as in the resale of VMware products and services. The company was formerly known as Denali Holding Inc. and changed its name to Dell Technologies Inc. in August 2016. Dell Technologies Inc. was founded in 1984 and is headquartered in Round Rock, Texas.</t>
  </si>
  <si>
    <t>One Dell Way, Round Rock, Texas, 78682, United States</t>
  </si>
  <si>
    <t>Hewlett Packard Enterprise Company provides solutions that allow customers to capture, analyze, and act upon data seamlessly in the Americas, Europe, the Middle East, Africa, the Asia Pacific, and Japan. It operates in six segments: Compute, HPC &amp; AI, Storage, Intelligent Edge, Financial Services, and Corporate Investments and Other. The company offers general purpose servers for multi-workload computing and workload-optimized servers; HPE ProLiant rack and tower servers; HPE Synergy; and solutions for secondary workloads and traditional tape, storage networking, and disk products, such as HPE Modular Storage Arrays and HPE XP. It also offers HPE Cray, HPE Apollo, and converged edge systems; and HPE Superdome Flex, HPE Nonstop, and HPE Integrity products. In addition, the company provides HPE Aruba product portfolio that includes hardware products, such as Wi-Fi access points, switches, and gateways; HPE Aruba software and services comprising cloud-based management, network management, network access control, analytics and assurance, and location; and professional and support services, as well as as-a-service and consumption models for the intelligent edge portfolio of products. Further, it offers various leasing, financing, IT consumption, and utility programs and asset management services for customers to facilitate technology deployment models and the acquisition of complete IT solutions, including hardware, software, and services from Hewlett Packard Enterprise and others. Additionally, the company provides consultative-led services; HPE Ezmeral Container Platform; HPE Ezmeral Data Fabric; and Hewlett Packard Labs. It serves commercial and large enterprise groups, such as business and public sector enterprises; and through various partners comprising resellers, distribution partners, original equipment manufacturers, independent software vendors, systems integrators, and advisory firms. The company was founded in 1939 and is headquartered in Spring, Texas.</t>
  </si>
  <si>
    <t>1701 East Mossy Oaks Road, Spring, Texas, 77389, United States</t>
  </si>
  <si>
    <t>HP Inc. provides personal computing and other access devices, imaging and printing products, and related technologies, solutions, and services in the United States and internationally. The company operates through three segments: Personal Systems, Printing, and Corporate Investments. The Personal Systems segment offers commercial and consumer desktops and notebooks, workstations, commercial mobility devices, thin clients, retail point-of-sale systems, displays and peripherals, software, support, and services, as well as video conferencing solutions, cameras, headsets, voice, and related software products. The Printing segment provides consumer and commercial printer hardware, supplies, solutions, and services, as well as focuses on graphics and 3D imaging solutions in the commercial and industrial markets. The Corporate Investments segment is involved in the HP Labs and business incubation, and investment projects. It serves individual consumers, small- and medium-sized businesses, and large enterprises, including customers in the government, health, and education sectors. The company was formerly known as Hewlett-Packard Company and changed its name to HP Inc. in October 2015. HP Inc. was founded in 1939 and is headquartered in Palo Alto, California.</t>
  </si>
  <si>
    <t>1501 Page Mill Road, Palo Alto, California, 94304, United States</t>
  </si>
  <si>
    <t>NetApp, Inc. provides cloud-led and data-centric services to manage and share data on-premises, and private and public clouds worldwide. It operates in two segments, Hybrid Cloud and Public Could. The company offers intelligent data management software, such as NetApp ONTAP, NetApp Snapshot, NetApp SnapCenter Backup Management, NetApp SnapMirror Data Replication, NetApp SnapLock Data Compliance, NetApp ElementOS software, and NetApp SANtricity software; and storage infrastructure solutions, including NetApp All-Flash FAS series, NetApp Fabric Attached Storage, NetApp FlexPod, NetApp E/EF series, NetApp StorageGRID, and NetApp SolidFire. It also provides cloud storage and data services comprising NetApp Cloud Volumes ONTAP, Azure NetApp Files, Amazon FSx for NetApp ONTAP, NetApp Cloud Volumes Service for Google Cloud, NetApp Cloud Sync, NetApp Cloud Tiering, NetApp Cloud Backup, NetApp Cloud Data Sense, and NetApp Cloud Volumes Edge Cache; and cloud operations services, such as NetApp Cloud Insights, Spot Ocean Kubernetes Suite, Spot Security, Spot Eco, and Spot CloudCheckr. In addition, the company offers application-aware data management service under the NetApp Astra name; and professional and support services, such as strategic consulting, professional, managed, and support services. Further, it provides assessment, design, implementation, and migration services. The company serves the energy, financial service, government, technology, internet, life science, healthcare service, manufacturing, media, entertainment, animation, video postproduction, and telecommunication markets through a direct sales force and an ecosystem of partners. NetApp, Inc. was incorporated in 1992 and is headquartered in San Jose, California.</t>
  </si>
  <si>
    <t>3060 Olsen Drive, San Jose, California, 95128, United States</t>
  </si>
  <si>
    <t>QUALCOMM Incorporated engages in the development and commercialization of foundational technologies for the wireless industry worldwide. It operates through three segments: Qualcomm CDMA Technologies (QCT); Qualcomm Technology Licensing (QTL); and Qualcomm Strategic Initiatives (QSI). The QCT segment develops and supplies integrated circuits and system software based on 3G/4G/5G and other technologies for use in wireless voice and data communications, networking, application processing, multimedia, and global positioning system products. The QTL segment grants licenses or provides rights to use portions of its intellectual property portfolio, which include various patent rights useful in the manufacture and sale of wireless products comprising products implementing CDMA2000, WCDMA, LTE and/or OFDMA-based 5G standards and their derivatives. The QSI segment invests in early-stage companies in various industries, including 5G, artificial intelligence, automotive, consumer, enterprise, cloud, IoT, and extended reality, and investments, including non-marketable equity securities and, to a lesser extent, marketable equity securities, and convertible debt instruments. It also provides development, and other services and related products to the United States government agencies and their contractors. The company was incorporated in 1985 and is headquartered in San Diego, California.</t>
  </si>
  <si>
    <t>5775 Morehouse Drive, San Diego, California, 92121-1714, United States</t>
  </si>
  <si>
    <t>Intel Corporation designs, develops, manufactures, markets, and sells computing and related products worldwide. It operates through Client Computing Group, Data Center and AI, Network and Edge, Mobileye, Accelerated Computing Systems and Graphics, Intel Foundry Services, and Other segments. The company offers platform products, such as central processing units and chipsets, and system-on-chip and multichip packages; and accelerators, boards and systems, connectivity products, and memory and storage products. It also provides high-performance compute solutions for targeted verticals and embedded applications for retail, industrial, and healthcare markets; and solutions for assisted and autonomous driving comprising compute platforms, computer vision and machine learning-based sensing, mapping and localization, driving policy, and active sensors. In addition, the company offers workload-optimized platforms and related products for cloud service providers, enterprise and government, and communications service providers. It serves original equipment manufacturers, original design manufacturers, cloud service providers, and other equipment manufacturers. The company was incorporated in 1968 and is headquartered in Santa Clara, California.</t>
  </si>
  <si>
    <t>2200 Mission College Boulevard, Santa Clara, California, 95054-1549, United States</t>
  </si>
  <si>
    <t>Western Digital Corporation develops, manufactures, and sells data storage devices and solutions in the United States, China, Hong Kong, Europe, the Middle East, Africa, rest of Asia, and internationally. It offers client devices, including hard disk drives (HDDs) and solid state drives (SSDs) for computing devices, such as desktop and notebook personal computers (PCs), smart video systems, gaming consoles, and set top boxes; flash-based embedded storage products for mobile phones, tablets, notebook PCs, and other portable and wearable devices, as well as automotive, Internet of Things, industrial, and connected home applications; and flash-based memory wafers. The company also provides enterprise helium hard drives; enterprise SSDs consisting of flash-based SSDs and software solutions for use in enterprise servers, on-line transactions, data analysis, and other enterprise applications; drives are used for data storage systems and tiered storage models; and data storage platforms. In addition, it offers client solutions, such as external HDD storage products in mobile and desktop form; client portable SSDs; removable cards that are used in consumer devices comprising mobile phones, tablets, imaging systems, and cameras and smart video systems; universal serial bus flash drives for use in the computing and consumer markets; and wireless drive products used in-field back up of created content, as well as wireless streaming of high-definition movies, photos, music, and documents to tablets, smartphones, and PCs. The company sells its products under the Western Digital, SanDisk, and WD brands to original equipment manufacturers, distributors, dealers, resellers, and retailers. Western Digital Corporation was founded in 1970 and is headquartered in San Jose, California.</t>
  </si>
  <si>
    <t>5601 Great Oaks Parkway, San Jose, California, 95119, United States</t>
  </si>
  <si>
    <t>Advanced Micro Devices, Inc. operates as a semiconductor company worldwide. It operates in four segments: Data Center, Client, Gaming, and Embedded segments. The company offers x86 microprocessors and graphics processing units (GPUs) as an accelerated processing unit, chipsets, data center, and professional GPUs; and embedded processors, and semi-custom system-on-chip (SoC) products, microprocessor and SoC development services and technology, data processing unites, field programmable gate arrays (FPGA), and adaptive SoC products. It also provides processors under the AMD Ryzen, AMD Ryzen PRO, Ryzen Threadripper, Ryzen Threadripper PRO, AMD Athlon, AMD Athlon PRO, and AMD PRO A-Series brand names; graphics under the AMD Radeon graphics and AMD Embedded Radeon graphics; and professional graphics under the AMD Radeon Pro graphics brand name. In addition, the company offers data center graphics under the Radeon Instinct and Radeon PRO V-series brands, as well as servers under the AMD Instinct accelerators brand; server microprocessors under the AMD EPYC brands; embedded processor solutions under the AMD Athlon, AMD Geode, AMD Ryzen, AMD EPYC, AMD R-Series, and G-Series brands; FPGA products under the Virtex-6, Virtex-7, Virtex UltraScale+, Kintex-7, Kintex UltraScale, Kintex UltraScale+, Artix-7, Artix UltraScale+, Spartan-6, and Spartan-7 brands; adaptive SOCs under the Zynq-7000, Zynq UltraScale+ MPSoC, Zynq UltraScale+ RFSoCs, Versal HBM, Versal Premium, Versal Prime, Versal AI Core, Versal AI Edge, Vitis, and Vivado brands; and compute and network acceleration board products under the Alveo brand. It serves original equipment and design manufacturers, public cloud service providers, system integrators, independent distributors, online and brick and mortar retailers, and add-in-board manufacturers through its direct sales force, independent distributors, and sales representatives. The company was incorporated in 1969 and is headquartered in Santa Clara, California.</t>
  </si>
  <si>
    <t>2485 Augustine Drive, Santa Clara, California, 95054, United States</t>
  </si>
  <si>
    <t>Apple Inc. designs, manufactures, and markets smartphones, personal computers, tablets, wearables, and accessories worldwide. The company offers iPhone, a line of smartphones; Mac, a line of personal computers; iPad, a line of multi-purpose tablets; and wearables, home, and accessories comprising AirPods, Apple TV, Apple Watch, Beats products, and HomePod. It also provides AppleCare support and cloud services; and operates various platforms, including the App Store that allow customers to discover and download applications and digital content, such as books, music, video, games, and podcasts. In addition, the company offers various services, such as Apple Arcade, a game subscription service; Apple Fitness+, a personalized fitness service; Apple Music, which offers users a curated listening experience with on-demand radio stations; Apple News+, a subscription news and magazine service; Apple TV+, which offers exclusive original content; Apple Card, a co-branded credit card; and Apple Pay, a cashless payment service, as well as licenses its intellectual property. The company serves consumers, and small and mid-sized businesses; and the education, enterprise, and government markets. It distributes third-party applications for its products through the App Store. The company also sells its products through its retail and online stores, and direct sales force; and third-party cellular network carriers, wholesalers, retailers, and resellers. Apple Inc. was incorporated in 1977 and is headquartered in Cupertino, California.</t>
  </si>
  <si>
    <t>One Apple Park Way, Cupertino, California, 95014, United States</t>
  </si>
  <si>
    <t>Apple Inc. (NasdaqGS:AAPL) &gt;  Quick Comparable Analysis &gt; Implied Valuation</t>
  </si>
  <si>
    <t>Template:</t>
  </si>
  <si>
    <t>Currency:</t>
  </si>
  <si>
    <t>As-Of Date:</t>
  </si>
  <si>
    <t xml:space="preserve">LTM Basic EPS </t>
  </si>
  <si>
    <t xml:space="preserve"> </t>
  </si>
  <si>
    <t>Total Enterprise Value Multiples</t>
  </si>
  <si>
    <t>Pricing Multiples</t>
  </si>
  <si>
    <t xml:space="preserve">NTM TEV/Forward Total Revenue </t>
  </si>
  <si>
    <t xml:space="preserve">NTM TEV/Forward EBITDA </t>
  </si>
  <si>
    <t xml:space="preserve">NTM Forward P/E </t>
  </si>
  <si>
    <t>Implied Enterprise Value</t>
  </si>
  <si>
    <t>NA</t>
  </si>
  <si>
    <t>+ Total Cash &amp; ST Investments</t>
  </si>
  <si>
    <t>- Total Debt</t>
  </si>
  <si>
    <t>- Total Pref. Equity</t>
  </si>
  <si>
    <t>- Minority Interest</t>
  </si>
  <si>
    <t>= Implied Equity Value</t>
  </si>
  <si>
    <t>/ Shares Outstanding</t>
  </si>
  <si>
    <t>= Implied Price per Share</t>
  </si>
  <si>
    <t>Mean Equity Value Across Multiples</t>
  </si>
  <si>
    <t>Equity Value</t>
  </si>
  <si>
    <t>Price Per Share</t>
  </si>
  <si>
    <t>Apple Inc. (NasdaqGS:AAPL) &gt;  Quick Comparable Analysis &gt; Valuation Chart</t>
  </si>
  <si>
    <t>Template:</t>
  </si>
  <si>
    <t>Currency:</t>
  </si>
  <si>
    <t>As-Of Date:</t>
  </si>
  <si>
    <t>Apple Inc. (NasdaqGS:AAPL) &gt;  Quick Comparable Analysis &gt; Credit Health Panel</t>
  </si>
  <si>
    <t>Template:</t>
  </si>
  <si>
    <t>Currency:</t>
  </si>
  <si>
    <t>As-Of Date:</t>
  </si>
  <si>
    <t>Overall</t>
  </si>
  <si>
    <t>Operational</t>
  </si>
  <si>
    <t>Solvency</t>
  </si>
  <si>
    <t>Liquidity</t>
  </si>
  <si>
    <t>LTM Period Ending</t>
  </si>
  <si>
    <t>Financials Updated</t>
  </si>
  <si>
    <t>S&amp;P Issuer Credit Rating Foreign Currency LT Rating</t>
  </si>
  <si>
    <t>CreditModel Score</t>
  </si>
  <si>
    <t>Market Signal Probability of Default %</t>
  </si>
  <si>
    <t>Country/Region</t>
  </si>
  <si>
    <t>Primary Industry Classification</t>
  </si>
  <si>
    <t>AA+</t>
  </si>
  <si>
    <t>aa+</t>
  </si>
  <si>
    <t>0.1855%</t>
  </si>
  <si>
    <t>United States</t>
  </si>
  <si>
    <t>Interactive Media and Services</t>
  </si>
  <si>
    <t>A</t>
  </si>
  <si>
    <t>a</t>
  </si>
  <si>
    <t>0.6800%</t>
  </si>
  <si>
    <t>Semiconductors</t>
  </si>
  <si>
    <t>A-</t>
  </si>
  <si>
    <t>bbb+</t>
  </si>
  <si>
    <t>0.5488%</t>
  </si>
  <si>
    <t>bbb-</t>
  </si>
  <si>
    <t>1.2623%</t>
  </si>
  <si>
    <t>AA</t>
  </si>
  <si>
    <t>aa</t>
  </si>
  <si>
    <t>0.6705%</t>
  </si>
  <si>
    <t>Broadline Retail</t>
  </si>
  <si>
    <t>BBB+</t>
  </si>
  <si>
    <t>0.8007%</t>
  </si>
  <si>
    <t>Technology Hardware, Storage and Peripherals</t>
  </si>
  <si>
    <t>BB</t>
  </si>
  <si>
    <t>bb</t>
  </si>
  <si>
    <t>2.3739%</t>
  </si>
  <si>
    <t>BBB</t>
  </si>
  <si>
    <t>1.7747%</t>
  </si>
  <si>
    <t>bbb</t>
  </si>
  <si>
    <t>1.6399%</t>
  </si>
  <si>
    <t>2.6387%</t>
  </si>
  <si>
    <t>0.1398%</t>
  </si>
  <si>
    <t>Credit Health Panel metric values are calculated by converting all currencies to USD based on yesterday’s spot rate. Currencies displayed on the page are converted at today’s spot rate from yesterday’s USD value.</t>
  </si>
  <si>
    <t>S&amp;P Credit Ratings and Research provided by</t>
  </si>
  <si>
    <t>No content (including ratings, credit-related analyses and data, valuations, model, software or other application or output therefrom) or any part thereof (Content) may be modified, reverse engineered, reproduced or distributed in any form by any means, or stored in a database or retrieval system, without the prior written permission of S&amp;P Global Market Intelligence or its affiliates (collectively, S&amp;P Global). The Content shall not be used for any unlawful or unauthorized purposes. S&amp;P Global and any third-party providers, as well as their directors, officers, shareholders, employees or agents (collectively S&amp;P Global Parties) do not guarantee the accuracy, completeness, timeliness or availability of the Content. S&amp;P Global Parties are not responsible for any errors or omissions (negligent or otherwise), regardless of the cause, for the results obtained from the use of the Content, or for the security or maintenance of any data input by the user. The Content is provided on an "as is" basis. S&amp;P GLOBAL PARTIES DISCLAIM ANY AND ALL EXPRESS OR IMPLIED WARRANTIES, INCLUDING, BUT NOT LIMITED TO, ANY WARRANTIES OF MERCHANTABILITY OR FITNESS FOR A PARTICULAR PURPOSE OR USE, FREEDOM FROM BUGS, SOFTWARE ERRORS OR DEFECTS, THAT THE CONTENT’S FUNCTIONING WILL BE UNINTERRUPTED OR THAT THE CONTENT WILL OPERATE WITH ANY SOFTWARE OR HARDWARE CONFIGURATION. In no event shall S&amp;P Global Parties be liable to any party for any direct, indirect, incidental, exemplary, compensatory, punitive, special or consequential damages, costs, expenses, legal fees, or losses (including, without limitation, lost income or lost profits and opportunity costs or losses caused by negligence) in connection with any use of the Content even if advised of the possibility of such damages.Credit-related and other analyses, including ratings, and statements in the Content are statements of opinion as of the date they are expressed and not statements of fact. S&amp;P Global Market Intelligence’s opinions, analyses and rating acknowledgment decisions (described below) are not recommendations to purchase, hold, or sell any securities or to make any investment decisions, and do not address the suitability of any security. S&amp;P Global Market Intelligence assumes no obligation to update the Content following publication in any form or format. The Content should not be relied on and is not a substitute for the skill, judgment and experience of the user, its management, employees, advisors and/or clients when making investment and other business decisions. S&amp;P Global Market Intelligence does not act as a fiduciary or an investment advisor except where registered as such. While S&amp;P Global Market Intelligence has obtained information from sources it believes to be reliable, S&amp;P Global Market Intelligence does not perform an audit and undertakes no duty of due diligence or independent verification of any information it receives.S&amp;P Global keeps certain activities of its divisions separate from each other in order to preserve the independence and objectivity of their respective activities. As a result, certain divisions of S&amp;P Global may have information that is not available to other S&amp;P Global divisions. S&amp;P Global has established policies and procedures to maintain the confidentiality of certain non-public information received in connection with each analytical process.S&amp;P Global Ratings does not contribute to or participate in the creation of credit scores generated by S&amp;P Global Market Intelligence. Lowercase nomenclature is used to differentiate S&amp;P Global Market Intelligence PD credit model scores from the credit ratings issued by S&amp;P Global Ratings.S&amp;P Global may receive compensation for its ratings and certain analyses, normally from issuers or underwriters of securities or from obligors. S&amp;P Global reserves the right to disseminate its opinions and analyses. S&amp;P Global's public ratings and analyses are made available on its Web sites, http://www.standardandpoors.com (free of charge), and http://www.capitaliq.com (subscription), and may be distributed through other means, including via S&amp;P Global publications and third-party redistributors. Additional information about our ratings fees is available at http://www.standardandpoors.com/usratingsfees..</t>
  </si>
  <si>
    <t>Apple Inc. (NasdaqGS:AAPL) &gt; Credit Health Panel &gt; Disclaimer</t>
  </si>
  <si>
    <t>Copyright © 2023 by Standard &amp; Poor’s Financial Services LLC. All rights reserved.</t>
  </si>
  <si>
    <t>No content (including ratings, credit-related analyses and data, valuations, model, software or other application or output therefrom) or any part thereof (Content) may be modified, reverse engineered, reproduced or distributed in any form by any means, or stored in a database or retrieval system, without the prior written permission of Standard &amp; Poor’s Financial Services LLC or its affiliates (collectively, S&amp;P). The Content shall not be used for any unlawful or unauthorized purposes. S&amp;P and any third-party providers, as well as their directors, officers, shareholders, employees or agents (collectively S&amp;P Parties) do not guarantee the accuracy, completeness, timeliness or availability of the Content. S&amp;P Parties are not responsible for any errors or omissions (negligent or otherwise), regardless of the cause, for the results obtained from the use of the Content, or for the security or maintenance of any data input by the user. The Content is provided on an “as is” basis. S&amp;P PARTIES DISCLAIM ANY AND ALL EXPRESS OR IMPLIED WARRANTIES, INCLUDING, BUT NOT LIMITED TO, ANY WARRANTIES OF MERCHANTABILITY OR FITNESS FOR A PARTICULAR PURPOSE OR USE, FREEDOM FROM BUGS, SOFTWARE ERRORS OR DEFECTS, THAT THE CONTENT’S FUNCTIONING WILL BE UNINTERRUPTED OR THAT THE CONTENT WILL OPERATE WITH ANY SOFTWARE OR HARDWARE CONFIGURATION.  In no event shall S&amp;P Parties be liable to any party for any direct, indirect, incidental, exemplary, compensatory, punitive, special or consequential damages, costs, expenses, legal fees, or losses (including, without limitation, lost income or lost profits and opportunity costs or losses caused by negligence) in connection with any use of the Content even if advised of the possibility of such damages.</t>
  </si>
  <si>
    <t>Credit-related and other analyses, including ratings, and statements in the Content are statements of opinion as of the date they are expressed and not statements of fact. S&amp;P’s opinions, analyses and rating acknowledgment decisions (described below) are not recommendations to purchase, hold, or sell any securities or to make any investment decisions, and do not address the suitability of any security. S&amp;P assumes no obligation to update the Content following publication in any form or format. The Content should not be relied on and is not a substitute for the skill, judgment and experience of the user, its management, employees, advisors and/or clients when making investment and other business decisions. S&amp;P does not act as a fiduciary or an investment advisor except where registered as such.  While S&amp;P has obtained information from sources it believes to be reliable, S&amp;P does not perform an audit and undertakes no duty of due diligence or independent verification of any information it receives.</t>
  </si>
  <si>
    <t>To the extent that regulatory authorities allow a rating agency to acknowledge in one jurisdiction a rating issued in another jurisdiction for certain regulatory purposes, S&amp;P reserves the right to assign, withdraw or suspend such acknowledgement at any time and in its sole discretion. S&amp;P Parties disclaim any duty whatsoever arising out of the assignment, withdrawal or suspension of an acknowledgment as well as any liability for any damage alleged to have been suffered on account thereof.</t>
  </si>
  <si>
    <t>S&amp;P keeps certain activities of its business units separate from each other in order to preserve the independence and objectivity of their respective activities. As a result, certain business units of S&amp;P may have information that is not available to other S&amp;P business units. S&amp;P has established policies and procedures to maintain the confidentiality of certain non-public information received in connection with each analytical process.</t>
  </si>
  <si>
    <t>S&amp;P may receive compensation for its ratings and certain analyses, normally from issuers or underwriters of securities or from obligors. S&amp;P reserves the right to disseminate its opinions and analyses. S&amp;P’s public ratings and analyses are made available on its Web sites, www.standardandpoors.com (free of charge), and www.ratingsdirect.com and www.globalcreditportal.com (subscription), and may be distributed through other means, including via S&amp;P publications and third-party redistributors. Additional information about our ratings fees is available at www.standardandpoors.com/usratingsfees.</t>
  </si>
  <si>
    <t>You are using a functionality that permits you to export content from the S&amp;P Capital IQ Platform. You are permitted to provide limited excerpts of information from this export to others provided you: (1) do so solely in the ordinary course of your internal business; (2) do not provide S&amp;P Capital IQ information in any manner that may obviate the need for the individuals who receive such excerpts to obtain their own S&amp;P Capital IQ Platform password/license; and, (3) provide S&amp;P with appropriate attribution and a disclaimer on S&amp;P’s behalf.</t>
  </si>
  <si>
    <t>To reprint, translate, or use the data or information other than as provided herein, contact Client Services, 55 Water Street, New York, NY 10041; (1) 877-773-4732 or by e-mail to: research_request@standardandpoors.com.</t>
  </si>
  <si>
    <t>Any Passwords/user IDs issued by S&amp;P Capital IQ to users are single user dedicated and may ONLY be used by the individual to whom they have been assigned. No sharing of passwords/user IDs and no simultaneous access via the same password/user ID is permitted.</t>
  </si>
  <si>
    <t>Standard &amp; Poor’s, S&amp;P, and Credit Health Panel are registered trademarks of Standard &amp; Poor’s Financial Services LLC.  Capital IQ is a registered trademark of Capital IQ, Excel is a registered trademark of Microsoft.</t>
  </si>
  <si>
    <t>Evaluation Only. Created with Aspose.Cells for .NET.Copyright 2003 - 2023 Aspose Pty Ltd.</t>
  </si>
  <si>
    <t>Percentile Average</t>
  </si>
  <si>
    <t>Company vs Peers</t>
  </si>
  <si>
    <t>Percentiles</t>
  </si>
  <si>
    <t>Applied Percentile</t>
  </si>
  <si>
    <t>NTM EV/REV</t>
  </si>
  <si>
    <t>NTM EV/EBITDA</t>
  </si>
  <si>
    <t>NTM P/E</t>
  </si>
  <si>
    <t>Weighting %</t>
  </si>
  <si>
    <t>Applied Multiple</t>
  </si>
  <si>
    <t>Company Metric</t>
  </si>
  <si>
    <t>EV</t>
  </si>
  <si>
    <t>Net Debt</t>
  </si>
  <si>
    <t>Shares Outstanding</t>
  </si>
  <si>
    <t>Implied Price / Share</t>
  </si>
  <si>
    <t>Weighted Price</t>
  </si>
  <si>
    <t>Current Price</t>
  </si>
  <si>
    <t>Implied Market Upside(Downside)</t>
  </si>
  <si>
    <t>Based on Benchmarking Analysis the Target Company Vs its Comps is Under(Overvalued) by -&gt;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</si>
</sst>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43" formatCode="_(* #,##0.00_);_(* \(#,##0.00\);_(* &quot;-&quot;??_);_(@_)"/>
    <numFmt numFmtId="164" formatCode="mmm\-dd\-yyyy"/>
    <numFmt numFmtId="165" formatCode="_(\ #,##0.0#_);_(\(\ #,##0.0#\)_);_(\ &quot; - &quot;_)"/>
    <numFmt numFmtId="166" formatCode="_(\ #,##0.0_);_(\ \(#,##0.0\)_);_(\ &quot; - &quot;_)"/>
    <numFmt numFmtId="167" formatCode="#,##0.0\x"/>
    <numFmt numFmtId="168" formatCode="#,##0.00\x"/>
    <numFmt numFmtId="169" formatCode="_(#,##0.0%_);_(\(#,##0.0%\)_);_(#,##0.0%_)"/>
    <numFmt numFmtId="170" formatCode="_(#,##0.00%_);_(\(#,##0.00%\)_);_(#,##0.00%_)"/>
    <numFmt numFmtId="171" formatCode="_(\ #,##0_);_(\ \(#,##0\)_);_(\ &quot; - &quot;_)"/>
  </numFmts>
  <fonts count="22" x14ac:knownFonts="1">
    <font>
      <sz val="10"/>
      <name val="Arial"/>
    </font>
    <font>
      <sz val="8"/>
      <name val="Arial"/>
    </font>
    <font>
      <b/>
      <sz val="13"/>
      <color indexed="8"/>
      <name val="Verdana"/>
    </font>
    <font>
      <b/>
      <sz val="12"/>
      <color indexed="8"/>
      <name val="Verdana"/>
    </font>
    <font>
      <b/>
      <sz val="10"/>
      <color indexed="9"/>
      <name val="Arial"/>
    </font>
    <font>
      <b/>
      <u val="singleAccounting"/>
      <sz val="8"/>
      <color indexed="8"/>
      <name val="Verdana"/>
    </font>
    <font>
      <b/>
      <sz val="8"/>
      <color indexed="9"/>
      <name val="Verdana"/>
    </font>
    <font>
      <b/>
      <u val="singleAccounting"/>
      <sz val="8"/>
      <color indexed="8"/>
      <name val="Arial"/>
    </font>
    <font>
      <sz val="8"/>
      <color indexed="8"/>
      <name val="Arial"/>
    </font>
    <font>
      <vertAlign val="superscript"/>
      <sz val="8"/>
      <color indexed="8"/>
      <name val="Arial"/>
    </font>
    <font>
      <vertAlign val="subscript"/>
      <sz val="8"/>
      <color indexed="8"/>
      <name val="Arial"/>
    </font>
    <font>
      <b/>
      <sz val="8"/>
      <color indexed="8"/>
      <name val="Arial"/>
    </font>
    <font>
      <i/>
      <sz val="8"/>
      <color indexed="8"/>
      <name val="Arial"/>
    </font>
    <font>
      <sz val="1"/>
      <color indexed="9"/>
      <name val="Symbol"/>
    </font>
    <font>
      <sz val="10"/>
      <color indexed="8"/>
      <name val="Arial"/>
    </font>
    <font>
      <b/>
      <sz val="8"/>
      <color indexed="8"/>
      <name val="Verdana"/>
    </font>
    <font>
      <b/>
      <sz val="8"/>
      <name val="Arial"/>
    </font>
    <font>
      <b/>
      <sz val="8"/>
      <color indexed="9"/>
      <name val="Arial"/>
    </font>
    <font>
      <b/>
      <i/>
      <sz val="18"/>
      <color rgb="FF0000FF"/>
      <name val="Arial"/>
    </font>
    <font>
      <sz val="10"/>
      <name val="Arial"/>
    </font>
    <font>
      <sz val="8"/>
      <color rgb="FFFF0000"/>
      <name val="Arial"/>
    </font>
    <font>
      <sz val="10"/>
      <color rgb="FFFF0000"/>
      <name val="Arial"/>
    </font>
  </fonts>
  <fills count="10">
    <fill>
      <patternFill patternType="none"/>
    </fill>
    <fill>
      <patternFill patternType="gray125"/>
    </fill>
    <fill>
      <patternFill patternType="solid">
        <fgColor indexed="63"/>
        <bgColor indexed="64"/>
      </patternFill>
    </fill>
    <fill>
      <patternFill patternType="solid">
        <fgColor indexed="62"/>
        <bgColor indexed="64"/>
      </patternFill>
    </fill>
    <fill>
      <patternFill patternType="solid">
        <fgColor indexed="56"/>
        <bgColor indexed="64"/>
      </patternFill>
    </fill>
    <fill>
      <patternFill patternType="solid">
        <fgColor indexed="60"/>
        <bgColor indexed="64"/>
      </patternFill>
    </fill>
    <fill>
      <patternFill patternType="solid">
        <fgColor indexed="55"/>
        <bgColor indexed="64"/>
      </patternFill>
    </fill>
    <fill>
      <patternFill patternType="solid">
        <fgColor indexed="54"/>
        <bgColor indexed="64"/>
      </patternFill>
    </fill>
    <fill>
      <patternFill patternType="solid">
        <fgColor indexed="53"/>
        <bgColor indexed="64"/>
      </patternFill>
    </fill>
    <fill>
      <patternFill patternType="solid">
        <fgColor indexed="52"/>
        <bgColor indexed="64"/>
      </patternFill>
    </fill>
  </fills>
  <borders count="23">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diagonal/>
    </border>
  </borders>
  <cellStyleXfs count="19">
    <xf numFmtId="0" fontId="0" fillId="0" borderId="0"/>
    <xf numFmtId="43" fontId="19" fillId="0" borderId="0" applyFont="0" applyFill="0" applyBorder="0" applyAlignment="0" applyProtection="0"/>
    <xf numFmtId="44" fontId="19" fillId="0" borderId="0" applyFont="0" applyFill="0" applyBorder="0" applyAlignment="0" applyProtection="0"/>
    <xf numFmtId="9" fontId="19" fillId="0" borderId="0" applyFont="0" applyFill="0" applyBorder="0" applyAlignment="0" applyProtection="0"/>
    <xf numFmtId="0" fontId="2" fillId="0" borderId="0" applyAlignment="0"/>
    <xf numFmtId="0" fontId="3" fillId="0" borderId="0" applyAlignment="0"/>
    <xf numFmtId="0" fontId="4" fillId="2" borderId="0" applyAlignment="0"/>
    <xf numFmtId="0" fontId="5" fillId="3" borderId="0" applyAlignment="0"/>
    <xf numFmtId="0" fontId="6" fillId="4" borderId="0" applyAlignment="0"/>
    <xf numFmtId="0" fontId="7" fillId="5" borderId="0" applyAlignment="0"/>
    <xf numFmtId="0" fontId="8" fillId="0" borderId="0" applyAlignment="0"/>
    <xf numFmtId="0" fontId="9" fillId="0" borderId="0" applyAlignment="0"/>
    <xf numFmtId="0" fontId="10" fillId="0" borderId="0" applyAlignment="0"/>
    <xf numFmtId="0" fontId="11" fillId="0" borderId="0" applyAlignment="0"/>
    <xf numFmtId="0" fontId="12" fillId="0" borderId="0" applyAlignment="0"/>
    <xf numFmtId="0" fontId="11" fillId="0" borderId="0" applyAlignment="0"/>
    <xf numFmtId="0" fontId="13" fillId="0" borderId="0" applyAlignment="0"/>
    <xf numFmtId="0" fontId="14" fillId="0" borderId="0" applyAlignment="0"/>
    <xf numFmtId="0" fontId="15" fillId="0" borderId="0" applyAlignment="0"/>
  </cellStyleXfs>
  <cellXfs count="130">
    <xf numFmtId="0" fontId="1" fillId="0" borderId="0" xfId="0" applyFont="1" applyAlignment="1"/>
    <xf numFmtId="0" fontId="2" fillId="0" borderId="0" xfId="0" applyNumberFormat="1" applyFont="1" applyAlignment="1"/>
    <xf numFmtId="0" fontId="6" fillId="4" borderId="0" xfId="0" applyFont="1" applyFill="1" applyAlignment="1"/>
    <xf numFmtId="0" fontId="16" fillId="0" borderId="0" xfId="0" applyFont="1" applyAlignment="1"/>
    <xf numFmtId="0" fontId="1" fillId="0" borderId="0" xfId="0" applyFont="1" applyAlignment="1">
      <alignment horizontal="left"/>
    </xf>
    <xf numFmtId="164" fontId="1" fillId="0" borderId="0" xfId="0" applyNumberFormat="1" applyFont="1" applyAlignment="1">
      <alignment horizontal="left"/>
    </xf>
    <xf numFmtId="0" fontId="8" fillId="0" borderId="0" xfId="0" applyNumberFormat="1" applyFont="1" applyAlignment="1">
      <alignment horizontal="left" vertical="top"/>
    </xf>
    <xf numFmtId="0" fontId="11" fillId="5" borderId="0" xfId="0" applyFont="1" applyFill="1" applyAlignment="1">
      <alignment horizontal="left" vertical="top" wrapText="1"/>
    </xf>
    <xf numFmtId="0" fontId="11" fillId="0" borderId="0" xfId="0" applyFont="1" applyAlignment="1">
      <alignment vertical="top" wrapText="1"/>
    </xf>
    <xf numFmtId="0" fontId="11" fillId="5" borderId="0" xfId="0" applyFont="1" applyFill="1" applyAlignment="1">
      <alignment vertical="top" wrapText="1"/>
    </xf>
    <xf numFmtId="0" fontId="1" fillId="0" borderId="0" xfId="0" applyFont="1" applyAlignment="1">
      <alignment vertical="top" wrapText="1"/>
    </xf>
    <xf numFmtId="0" fontId="11" fillId="5" borderId="0" xfId="0" applyFont="1" applyFill="1" applyAlignment="1">
      <alignment horizontal="right" vertical="top" wrapText="1"/>
    </xf>
    <xf numFmtId="165" fontId="8" fillId="0" borderId="0" xfId="0" applyNumberFormat="1" applyFont="1" applyAlignment="1">
      <alignment horizontal="right" vertical="top" wrapText="1"/>
    </xf>
    <xf numFmtId="166" fontId="8" fillId="0" borderId="0" xfId="0" applyNumberFormat="1" applyFont="1" applyAlignment="1">
      <alignment horizontal="right" vertical="top" wrapText="1"/>
    </xf>
    <xf numFmtId="0" fontId="8" fillId="0" borderId="0" xfId="0" applyNumberFormat="1" applyFont="1" applyAlignment="1">
      <alignment horizontal="right" vertical="top" wrapText="1"/>
    </xf>
    <xf numFmtId="0" fontId="11" fillId="5" borderId="0" xfId="0" applyFont="1" applyFill="1" applyAlignment="1">
      <alignment horizontal="center" vertical="top" wrapText="1"/>
    </xf>
    <xf numFmtId="164" fontId="8" fillId="0" borderId="0" xfId="0" applyNumberFormat="1" applyFont="1" applyAlignment="1">
      <alignment horizontal="center" vertical="top" wrapText="1"/>
    </xf>
    <xf numFmtId="0" fontId="8" fillId="0" borderId="0" xfId="0" applyNumberFormat="1" applyFont="1" applyAlignment="1">
      <alignment horizontal="center" vertical="top" wrapText="1"/>
    </xf>
    <xf numFmtId="0" fontId="1" fillId="0" borderId="0" xfId="0" applyFont="1" applyAlignment="1">
      <alignment horizontal="right" wrapText="1"/>
    </xf>
    <xf numFmtId="168" fontId="8" fillId="0" borderId="0" xfId="0" applyNumberFormat="1" applyFont="1" applyAlignment="1">
      <alignment horizontal="right" vertical="top" wrapText="1"/>
    </xf>
    <xf numFmtId="169" fontId="8" fillId="0" borderId="0" xfId="0" applyNumberFormat="1" applyFont="1" applyAlignment="1">
      <alignment horizontal="right" vertical="top" wrapText="1"/>
    </xf>
    <xf numFmtId="170" fontId="8" fillId="0" borderId="0" xfId="0" applyNumberFormat="1" applyFont="1" applyAlignment="1">
      <alignment horizontal="right" vertical="top" wrapText="1"/>
    </xf>
    <xf numFmtId="167" fontId="8" fillId="0" borderId="0" xfId="0" applyNumberFormat="1" applyFont="1" applyAlignment="1">
      <alignment horizontal="right" vertical="top" wrapText="1"/>
    </xf>
    <xf numFmtId="0" fontId="8" fillId="0" borderId="0" xfId="0" applyNumberFormat="1" applyFont="1" applyAlignment="1">
      <alignment horizontal="left" vertical="top" wrapText="1"/>
    </xf>
    <xf numFmtId="165" fontId="8" fillId="0" borderId="0" xfId="0" applyNumberFormat="1" applyFont="1" applyAlignment="1">
      <alignment vertical="top" wrapText="1"/>
    </xf>
    <xf numFmtId="0" fontId="11" fillId="0" borderId="0" xfId="0" applyNumberFormat="1" applyFont="1" applyAlignment="1">
      <alignment vertical="top" wrapText="1"/>
    </xf>
    <xf numFmtId="0" fontId="1" fillId="0" borderId="0" xfId="0" applyFont="1" applyAlignment="1">
      <alignment horizontal="center" vertical="top" wrapText="1"/>
    </xf>
    <xf numFmtId="0" fontId="8" fillId="0" borderId="0" xfId="0" applyNumberFormat="1" applyFont="1" applyAlignment="1">
      <alignment vertical="top" wrapText="1"/>
    </xf>
    <xf numFmtId="0" fontId="11" fillId="5" borderId="1" xfId="0" applyFont="1" applyFill="1" applyBorder="1" applyAlignment="1">
      <alignment horizontal="left" vertical="top" wrapText="1"/>
    </xf>
    <xf numFmtId="0" fontId="11" fillId="5" borderId="1" xfId="0" applyFont="1" applyFill="1" applyBorder="1" applyAlignment="1">
      <alignment horizontal="center" vertical="center" wrapText="1"/>
    </xf>
    <xf numFmtId="171" fontId="17" fillId="6" borderId="1" xfId="0" applyNumberFormat="1" applyFont="1" applyFill="1" applyBorder="1" applyAlignment="1">
      <alignment horizontal="center" vertical="top" wrapText="1"/>
    </xf>
    <xf numFmtId="171" fontId="17" fillId="7" borderId="1" xfId="0" applyNumberFormat="1" applyFont="1" applyFill="1" applyBorder="1" applyAlignment="1">
      <alignment horizontal="center" vertical="top" wrapText="1"/>
    </xf>
    <xf numFmtId="171" fontId="17" fillId="8" borderId="1" xfId="0" applyNumberFormat="1" applyFont="1" applyFill="1" applyBorder="1" applyAlignment="1">
      <alignment horizontal="center" vertical="top" wrapText="1"/>
    </xf>
    <xf numFmtId="171" fontId="17" fillId="9" borderId="1" xfId="0" applyNumberFormat="1" applyFont="1" applyFill="1" applyBorder="1" applyAlignment="1">
      <alignment horizontal="center" vertical="top" wrapText="1"/>
    </xf>
    <xf numFmtId="0" fontId="11" fillId="5" borderId="1" xfId="0" applyFont="1" applyFill="1" applyBorder="1" applyAlignment="1">
      <alignment horizontal="center" vertical="top" wrapText="1"/>
    </xf>
    <xf numFmtId="164" fontId="8" fillId="0" borderId="1" xfId="0" applyNumberFormat="1" applyFont="1" applyBorder="1" applyAlignment="1">
      <alignment horizontal="center" vertical="top" wrapText="1"/>
    </xf>
    <xf numFmtId="0" fontId="8" fillId="0" borderId="1" xfId="0" applyNumberFormat="1" applyFont="1" applyBorder="1" applyAlignment="1">
      <alignment horizontal="center" vertical="top" wrapText="1"/>
    </xf>
    <xf numFmtId="0" fontId="8" fillId="0" borderId="1" xfId="0" applyNumberFormat="1" applyFont="1" applyBorder="1" applyAlignment="1">
      <alignment horizontal="left" vertical="top" wrapText="1"/>
    </xf>
    <xf numFmtId="0" fontId="1" fillId="0" borderId="0" xfId="0" applyFont="1" applyAlignment="1">
      <alignment horizontal="left" wrapText="1"/>
    </xf>
    <xf numFmtId="0" fontId="1" fillId="0" borderId="0" xfId="0" applyFont="1" applyAlignment="1">
      <alignment vertical="center" wrapText="1"/>
    </xf>
    <xf numFmtId="0" fontId="1" fillId="0" borderId="0" xfId="0" applyFont="1" applyAlignment="1">
      <alignment wrapText="1"/>
    </xf>
    <xf numFmtId="0" fontId="13" fillId="0" borderId="0" xfId="16" applyFont="1" applyAlignment="1"/>
    <xf numFmtId="0" fontId="18" fillId="0" borderId="0" xfId="0" applyNumberFormat="1" applyFont="1" applyFill="1" applyBorder="1" applyAlignment="1" applyProtection="1"/>
    <xf numFmtId="0" fontId="1" fillId="0" borderId="0" xfId="0" applyFont="1" applyFill="1" applyBorder="1" applyAlignment="1"/>
    <xf numFmtId="9" fontId="1" fillId="0" borderId="4" xfId="0" applyNumberFormat="1" applyFont="1" applyFill="1" applyBorder="1" applyAlignment="1"/>
    <xf numFmtId="9" fontId="1" fillId="0" borderId="5" xfId="0" applyNumberFormat="1" applyFont="1" applyFill="1" applyBorder="1" applyAlignment="1"/>
    <xf numFmtId="9" fontId="1" fillId="0" borderId="8" xfId="0" applyNumberFormat="1" applyFont="1" applyFill="1" applyBorder="1" applyAlignment="1"/>
    <xf numFmtId="9" fontId="1" fillId="0" borderId="14" xfId="0" applyNumberFormat="1" applyFont="1" applyFill="1" applyBorder="1" applyAlignment="1"/>
    <xf numFmtId="9" fontId="1" fillId="0" borderId="15" xfId="0" applyNumberFormat="1" applyFont="1" applyFill="1" applyBorder="1" applyAlignment="1"/>
    <xf numFmtId="9" fontId="20" fillId="0" borderId="15" xfId="0" applyNumberFormat="1" applyFont="1" applyFill="1" applyBorder="1" applyAlignment="1"/>
    <xf numFmtId="9" fontId="1" fillId="0" borderId="17" xfId="0" applyNumberFormat="1" applyFont="1" applyFill="1" applyBorder="1" applyAlignment="1"/>
    <xf numFmtId="0" fontId="1" fillId="0" borderId="18" xfId="0" applyFont="1" applyFill="1" applyBorder="1" applyAlignment="1"/>
    <xf numFmtId="0" fontId="1" fillId="0" borderId="10" xfId="0" applyFont="1" applyFill="1" applyBorder="1" applyAlignment="1"/>
    <xf numFmtId="169" fontId="1" fillId="0" borderId="2" xfId="0" applyNumberFormat="1" applyFont="1" applyFill="1" applyBorder="1" applyAlignment="1">
      <alignment horizontal="right" vertical="top" wrapText="1"/>
    </xf>
    <xf numFmtId="170" fontId="1" fillId="0" borderId="2" xfId="0" applyNumberFormat="1" applyFont="1" applyFill="1" applyBorder="1" applyAlignment="1">
      <alignment horizontal="right" vertical="top" wrapText="1"/>
    </xf>
    <xf numFmtId="167" fontId="1" fillId="0" borderId="2" xfId="0" applyNumberFormat="1" applyFont="1" applyFill="1" applyBorder="1" applyAlignment="1">
      <alignment horizontal="right" vertical="top" wrapText="1"/>
    </xf>
    <xf numFmtId="0" fontId="1" fillId="0" borderId="2" xfId="0" applyNumberFormat="1" applyFont="1" applyFill="1" applyBorder="1" applyAlignment="1">
      <alignment horizontal="right" vertical="top" wrapText="1"/>
    </xf>
    <xf numFmtId="0" fontId="16" fillId="0" borderId="5" xfId="0" applyFont="1" applyFill="1" applyBorder="1" applyAlignment="1">
      <alignment horizontal="left" vertical="top" wrapText="1"/>
    </xf>
    <xf numFmtId="169" fontId="1" fillId="0" borderId="9" xfId="0" applyNumberFormat="1" applyFont="1" applyFill="1" applyBorder="1" applyAlignment="1">
      <alignment horizontal="right" vertical="top" wrapText="1"/>
    </xf>
    <xf numFmtId="170" fontId="1" fillId="0" borderId="9" xfId="0" applyNumberFormat="1" applyFont="1" applyFill="1" applyBorder="1" applyAlignment="1">
      <alignment horizontal="right" vertical="top" wrapText="1"/>
    </xf>
    <xf numFmtId="167" fontId="1" fillId="0" borderId="9" xfId="0" applyNumberFormat="1" applyFont="1" applyFill="1" applyBorder="1" applyAlignment="1">
      <alignment horizontal="right" vertical="top" wrapText="1"/>
    </xf>
    <xf numFmtId="165" fontId="1" fillId="0" borderId="12" xfId="0" applyNumberFormat="1" applyFont="1" applyFill="1" applyBorder="1" applyAlignment="1">
      <alignment horizontal="right" vertical="top" wrapText="1"/>
    </xf>
    <xf numFmtId="165" fontId="1" fillId="0" borderId="13" xfId="0" applyNumberFormat="1" applyFont="1" applyFill="1" applyBorder="1" applyAlignment="1">
      <alignment horizontal="right" vertical="top" wrapText="1"/>
    </xf>
    <xf numFmtId="0" fontId="16" fillId="0" borderId="19" xfId="0" applyFont="1" applyFill="1" applyBorder="1" applyAlignment="1">
      <alignment horizontal="left" vertical="top" wrapText="1"/>
    </xf>
    <xf numFmtId="0" fontId="16" fillId="0" borderId="20" xfId="0" applyFont="1" applyFill="1" applyBorder="1" applyAlignment="1">
      <alignment horizontal="left" vertical="top" wrapText="1"/>
    </xf>
    <xf numFmtId="0" fontId="16" fillId="0" borderId="21" xfId="0" applyFont="1" applyFill="1" applyBorder="1" applyAlignment="1">
      <alignment horizontal="right" vertical="top" wrapText="1"/>
    </xf>
    <xf numFmtId="0" fontId="16" fillId="0" borderId="16" xfId="0" applyFont="1" applyFill="1" applyBorder="1" applyAlignment="1">
      <alignment horizontal="right" vertical="top" wrapText="1"/>
    </xf>
    <xf numFmtId="169" fontId="1" fillId="0" borderId="4" xfId="0" applyNumberFormat="1" applyFont="1" applyFill="1" applyBorder="1" applyAlignment="1">
      <alignment horizontal="right" vertical="top" wrapText="1"/>
    </xf>
    <xf numFmtId="169" fontId="1" fillId="0" borderId="8" xfId="0" applyNumberFormat="1" applyFont="1" applyFill="1" applyBorder="1" applyAlignment="1">
      <alignment horizontal="right" vertical="top" wrapText="1"/>
    </xf>
    <xf numFmtId="169" fontId="1" fillId="0" borderId="5" xfId="0" applyNumberFormat="1" applyFont="1" applyFill="1" applyBorder="1" applyAlignment="1">
      <alignment horizontal="right" vertical="top" wrapText="1"/>
    </xf>
    <xf numFmtId="169" fontId="1" fillId="0" borderId="6" xfId="0" applyNumberFormat="1" applyFont="1" applyFill="1" applyBorder="1" applyAlignment="1">
      <alignment horizontal="right" vertical="top" wrapText="1"/>
    </xf>
    <xf numFmtId="170" fontId="1" fillId="0" borderId="6" xfId="0" applyNumberFormat="1" applyFont="1" applyFill="1" applyBorder="1" applyAlignment="1">
      <alignment horizontal="right" vertical="top" wrapText="1"/>
    </xf>
    <xf numFmtId="167" fontId="1" fillId="0" borderId="6" xfId="0" applyNumberFormat="1" applyFont="1" applyFill="1" applyBorder="1" applyAlignment="1">
      <alignment horizontal="right" vertical="top" wrapText="1"/>
    </xf>
    <xf numFmtId="165" fontId="1" fillId="0" borderId="11" xfId="0" applyNumberFormat="1" applyFont="1" applyFill="1" applyBorder="1" applyAlignment="1">
      <alignment horizontal="right" vertical="top" wrapText="1"/>
    </xf>
    <xf numFmtId="9" fontId="1" fillId="0" borderId="6" xfId="3" applyFont="1" applyFill="1" applyBorder="1" applyAlignment="1"/>
    <xf numFmtId="9" fontId="1" fillId="0" borderId="2" xfId="3" applyFont="1" applyFill="1" applyBorder="1" applyAlignment="1"/>
    <xf numFmtId="9" fontId="1" fillId="0" borderId="9" xfId="3" applyFont="1" applyFill="1" applyBorder="1" applyAlignment="1"/>
    <xf numFmtId="168" fontId="1" fillId="0" borderId="6" xfId="3" applyNumberFormat="1" applyFont="1" applyFill="1" applyBorder="1" applyAlignment="1"/>
    <xf numFmtId="168" fontId="1" fillId="0" borderId="2" xfId="3" applyNumberFormat="1" applyFont="1" applyFill="1" applyBorder="1" applyAlignment="1"/>
    <xf numFmtId="168" fontId="1" fillId="0" borderId="9" xfId="3" applyNumberFormat="1" applyFont="1" applyFill="1" applyBorder="1" applyAlignment="1"/>
    <xf numFmtId="43" fontId="1" fillId="0" borderId="11" xfId="1" applyFont="1" applyFill="1" applyBorder="1" applyAlignment="1"/>
    <xf numFmtId="43" fontId="1" fillId="0" borderId="12" xfId="1" applyFont="1" applyFill="1" applyBorder="1" applyAlignment="1"/>
    <xf numFmtId="43" fontId="1" fillId="0" borderId="13" xfId="1" applyFont="1" applyFill="1" applyBorder="1" applyAlignment="1"/>
    <xf numFmtId="0" fontId="0" fillId="0" borderId="0" xfId="0"/>
    <xf numFmtId="0" fontId="0" fillId="0" borderId="4" xfId="0" applyBorder="1"/>
    <xf numFmtId="0" fontId="0" fillId="0" borderId="5" xfId="0" applyBorder="1"/>
    <xf numFmtId="0" fontId="0" fillId="0" borderId="6" xfId="0" applyBorder="1"/>
    <xf numFmtId="0" fontId="0" fillId="0" borderId="8" xfId="0" applyBorder="1"/>
    <xf numFmtId="0" fontId="0" fillId="0" borderId="11" xfId="0" applyBorder="1"/>
    <xf numFmtId="0" fontId="0" fillId="0" borderId="5" xfId="0" applyBorder="1" applyAlignment="1">
      <alignment wrapText="1"/>
    </xf>
    <xf numFmtId="0" fontId="0" fillId="0" borderId="6" xfId="0" applyBorder="1" applyAlignment="1">
      <alignment wrapText="1"/>
    </xf>
    <xf numFmtId="0" fontId="0" fillId="0" borderId="11" xfId="0" applyBorder="1" applyAlignment="1">
      <alignment wrapText="1"/>
    </xf>
    <xf numFmtId="0" fontId="0" fillId="0" borderId="4" xfId="0" applyBorder="1" applyAlignment="1">
      <alignment wrapText="1"/>
    </xf>
    <xf numFmtId="0" fontId="0" fillId="0" borderId="8" xfId="0" applyBorder="1" applyAlignment="1">
      <alignment wrapText="1"/>
    </xf>
    <xf numFmtId="168" fontId="0" fillId="0" borderId="6" xfId="0" applyNumberFormat="1" applyBorder="1"/>
    <xf numFmtId="168" fontId="0" fillId="0" borderId="11" xfId="0" applyNumberFormat="1" applyBorder="1"/>
    <xf numFmtId="168" fontId="0" fillId="0" borderId="2" xfId="0" applyNumberFormat="1" applyBorder="1"/>
    <xf numFmtId="168" fontId="0" fillId="0" borderId="12" xfId="0" applyNumberFormat="1" applyBorder="1"/>
    <xf numFmtId="168" fontId="0" fillId="0" borderId="9" xfId="0" applyNumberFormat="1" applyBorder="1"/>
    <xf numFmtId="168" fontId="0" fillId="0" borderId="13" xfId="0" applyNumberFormat="1" applyBorder="1"/>
    <xf numFmtId="0" fontId="0" fillId="0" borderId="7" xfId="0" applyBorder="1"/>
    <xf numFmtId="0" fontId="0" fillId="0" borderId="22" xfId="0" applyBorder="1"/>
    <xf numFmtId="0" fontId="0" fillId="0" borderId="0" xfId="0" applyBorder="1" applyAlignment="1">
      <alignment wrapText="1"/>
    </xf>
    <xf numFmtId="9" fontId="21" fillId="0" borderId="0" xfId="3" applyFont="1"/>
    <xf numFmtId="44" fontId="0" fillId="0" borderId="2" xfId="2" applyFont="1" applyBorder="1" applyAlignment="1">
      <alignment wrapText="1"/>
    </xf>
    <xf numFmtId="44" fontId="0" fillId="0" borderId="9" xfId="2" applyFont="1" applyBorder="1" applyAlignment="1">
      <alignment wrapText="1"/>
    </xf>
    <xf numFmtId="43" fontId="0" fillId="0" borderId="2" xfId="1" applyFont="1" applyBorder="1" applyAlignment="1">
      <alignment wrapText="1"/>
    </xf>
    <xf numFmtId="43" fontId="0" fillId="0" borderId="9" xfId="1" applyFont="1" applyBorder="1" applyAlignment="1">
      <alignment wrapText="1"/>
    </xf>
    <xf numFmtId="168" fontId="0" fillId="0" borderId="2" xfId="2" applyNumberFormat="1" applyFont="1" applyBorder="1" applyAlignment="1">
      <alignment wrapText="1"/>
    </xf>
    <xf numFmtId="168" fontId="0" fillId="0" borderId="12" xfId="2" applyNumberFormat="1" applyFont="1" applyBorder="1" applyAlignment="1">
      <alignment wrapText="1"/>
    </xf>
    <xf numFmtId="168" fontId="0" fillId="0" borderId="9" xfId="2" applyNumberFormat="1" applyFont="1" applyBorder="1" applyAlignment="1">
      <alignment wrapText="1"/>
    </xf>
    <xf numFmtId="168" fontId="0" fillId="0" borderId="13" xfId="2" applyNumberFormat="1" applyFont="1" applyBorder="1" applyAlignment="1">
      <alignment wrapText="1"/>
    </xf>
    <xf numFmtId="9" fontId="0" fillId="0" borderId="5" xfId="3" applyFont="1" applyBorder="1"/>
    <xf numFmtId="9" fontId="0" fillId="0" borderId="4" xfId="3" applyFont="1" applyBorder="1"/>
    <xf numFmtId="9" fontId="0" fillId="0" borderId="8" xfId="3" applyFont="1" applyBorder="1"/>
    <xf numFmtId="44" fontId="0" fillId="0" borderId="2" xfId="2" applyFont="1" applyBorder="1"/>
    <xf numFmtId="44" fontId="0" fillId="0" borderId="12" xfId="2" applyFont="1" applyBorder="1"/>
    <xf numFmtId="44" fontId="0" fillId="0" borderId="3" xfId="2" applyFont="1" applyBorder="1"/>
    <xf numFmtId="44" fontId="0" fillId="0" borderId="9" xfId="2" applyFont="1" applyBorder="1"/>
    <xf numFmtId="44" fontId="0" fillId="0" borderId="13" xfId="2" applyFont="1" applyBorder="1"/>
    <xf numFmtId="44" fontId="0" fillId="0" borderId="11" xfId="2" applyFont="1" applyBorder="1"/>
    <xf numFmtId="44" fontId="0" fillId="0" borderId="0" xfId="2" applyFont="1"/>
    <xf numFmtId="9" fontId="0" fillId="0" borderId="2" xfId="3" applyFont="1" applyBorder="1"/>
    <xf numFmtId="9" fontId="0" fillId="0" borderId="12" xfId="3" applyFont="1" applyBorder="1"/>
    <xf numFmtId="168" fontId="0" fillId="0" borderId="2" xfId="2" applyNumberFormat="1" applyFont="1" applyBorder="1"/>
    <xf numFmtId="168" fontId="0" fillId="0" borderId="12" xfId="2" applyNumberFormat="1" applyFont="1" applyBorder="1"/>
    <xf numFmtId="43" fontId="0" fillId="0" borderId="2" xfId="1" applyFont="1" applyBorder="1"/>
    <xf numFmtId="43" fontId="0" fillId="0" borderId="12" xfId="1" applyFont="1" applyBorder="1"/>
    <xf numFmtId="9" fontId="0" fillId="0" borderId="13" xfId="3" applyFont="1" applyBorder="1"/>
    <xf numFmtId="9" fontId="21" fillId="0" borderId="15" xfId="3" applyFont="1" applyBorder="1"/>
  </cellXfs>
  <cellStyles count="19">
    <cellStyle name="ChartingText" xfId="17" xr:uid="{00000000-0005-0000-0000-000013000000}"/>
    <cellStyle name="CHPTop" xfId="18" xr:uid="{00000000-0005-0000-0000-000014000000}"/>
    <cellStyle name="ColumnHeaderNormal" xfId="9" xr:uid="{00000000-0005-0000-0000-00000B000000}"/>
    <cellStyle name="Comma" xfId="1" builtinId="3"/>
    <cellStyle name="Currency" xfId="2" builtinId="4"/>
    <cellStyle name="Invisible" xfId="16" xr:uid="{00000000-0005-0000-0000-000012000000}"/>
    <cellStyle name="NewColumnHeaderNormal" xfId="7" xr:uid="{00000000-0005-0000-0000-000009000000}"/>
    <cellStyle name="NewSectionHeaderNormal" xfId="6" xr:uid="{00000000-0005-0000-0000-000008000000}"/>
    <cellStyle name="NewTitleNormal" xfId="5" xr:uid="{00000000-0005-0000-0000-000007000000}"/>
    <cellStyle name="Normal" xfId="0" builtinId="0"/>
    <cellStyle name="Percent" xfId="3" builtinId="5"/>
    <cellStyle name="SectionHeaderNormal" xfId="8" xr:uid="{00000000-0005-0000-0000-00000A000000}"/>
    <cellStyle name="SubScript" xfId="12" xr:uid="{00000000-0005-0000-0000-00000E000000}"/>
    <cellStyle name="SuperScript" xfId="11" xr:uid="{00000000-0005-0000-0000-00000D000000}"/>
    <cellStyle name="TextBold" xfId="13" xr:uid="{00000000-0005-0000-0000-00000F000000}"/>
    <cellStyle name="TextItalic" xfId="14" xr:uid="{00000000-0005-0000-0000-000010000000}"/>
    <cellStyle name="TextNormal" xfId="10" xr:uid="{00000000-0005-0000-0000-00000C000000}"/>
    <cellStyle name="TitleNormal" xfId="4" xr:uid="{00000000-0005-0000-0000-000006000000}"/>
    <cellStyle name="Total" xfId="15" xr:uid="{00000000-0005-0000-0000-000011000000}"/>
  </cellStyles>
  <dxfs count="4">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C1302E"/>
      <rgbColor rgb="00F1C671"/>
      <rgbColor rgb="008AC37F"/>
      <rgbColor rgb="00009933"/>
      <rgbColor rgb="00002060"/>
      <rgbColor rgb="00FA4040"/>
      <rgbColor rgb="00FFFFEB"/>
      <rgbColor rgb="00EEEEEE"/>
      <rgbColor rgb="00F0F0DC"/>
      <rgbColor rgb="00993366"/>
      <rgbColor rgb="00F5F5E1"/>
      <rgbColor rgb="0000408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1DD2E7A7-953E-4442-BC07-2D52F850BE81}"/>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47</xdr:row>
      <xdr:rowOff>0</xdr:rowOff>
    </xdr:from>
    <xdr:to>
      <xdr:col>3</xdr:col>
      <xdr:colOff>764586</xdr:colOff>
      <xdr:row>49</xdr:row>
      <xdr:rowOff>122709</xdr:rowOff>
    </xdr:to>
    <xdr:pic>
      <xdr:nvPicPr>
        <xdr:cNvPr id="3" name="Picture 3">
          <a:extLst>
            <a:ext uri="{FF2B5EF4-FFF2-40B4-BE49-F238E27FC236}">
              <a16:creationId xmlns:a16="http://schemas.microsoft.com/office/drawing/2014/main" id="{50AFB35E-45C7-4886-A609-EBB9E41785EB}"/>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F7C26F7A-91C8-407F-B012-3BA399526E26}"/>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FD5A33F9-D78F-4555-BAE9-A71759C1CAB6}"/>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5556D7F1-A76E-46F9-8CA5-56A473C15110}"/>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8BB83EB5-8DDA-4539-9FB2-110E322730A8}"/>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C09934D3-8C4C-48AF-A634-A70B03F01B83}"/>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43</xdr:row>
      <xdr:rowOff>0</xdr:rowOff>
    </xdr:from>
    <xdr:to>
      <xdr:col>4</xdr:col>
      <xdr:colOff>146921</xdr:colOff>
      <xdr:row>45</xdr:row>
      <xdr:rowOff>122709</xdr:rowOff>
    </xdr:to>
    <xdr:pic>
      <xdr:nvPicPr>
        <xdr:cNvPr id="3" name="Picture 3">
          <a:extLst>
            <a:ext uri="{FF2B5EF4-FFF2-40B4-BE49-F238E27FC236}">
              <a16:creationId xmlns:a16="http://schemas.microsoft.com/office/drawing/2014/main" id="{324DF0BC-B425-404E-A822-3224BEE0E48A}"/>
            </a:ext>
          </a:extLst>
        </xdr:cNvPr>
        <xdr:cNvPicPr>
          <a:picLocks noChangeAspect="1"/>
        </xdr:cNvPicPr>
      </xdr:nvPicPr>
      <xdr:blipFill>
        <a:blip xmlns:r="http://schemas.openxmlformats.org/officeDocument/2006/relationships" r:embed="rId2"/>
        <a:stretch>
          <a:fillRect/>
        </a:stretch>
      </xdr:blipFill>
      <xdr:spPr>
        <a:xfrm>
          <a:off x="6638925" y="6858000"/>
          <a:ext cx="762000" cy="6000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FAE6B583-8F3D-49FD-8A55-37FB4FD3C0FF}"/>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68</xdr:row>
      <xdr:rowOff>0</xdr:rowOff>
    </xdr:from>
    <xdr:to>
      <xdr:col>3</xdr:col>
      <xdr:colOff>764363</xdr:colOff>
      <xdr:row>70</xdr:row>
      <xdr:rowOff>122709</xdr:rowOff>
    </xdr:to>
    <xdr:pic>
      <xdr:nvPicPr>
        <xdr:cNvPr id="3" name="Picture 3">
          <a:extLst>
            <a:ext uri="{FF2B5EF4-FFF2-40B4-BE49-F238E27FC236}">
              <a16:creationId xmlns:a16="http://schemas.microsoft.com/office/drawing/2014/main" id="{2BDDE410-A03A-4707-92CF-02A31BD8338B}"/>
            </a:ext>
          </a:extLst>
        </xdr:cNvPr>
        <xdr:cNvPicPr>
          <a:picLocks noChangeAspect="1"/>
        </xdr:cNvPicPr>
      </xdr:nvPicPr>
      <xdr:blipFill>
        <a:blip xmlns:r="http://schemas.openxmlformats.org/officeDocument/2006/relationships" r:embed="rId2"/>
        <a:stretch>
          <a:fillRect/>
        </a:stretch>
      </xdr:blipFill>
      <xdr:spPr>
        <a:xfrm>
          <a:off x="4505325" y="10953750"/>
          <a:ext cx="762000" cy="6000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DADD1C02-37C8-49EC-9766-FF272EF9AFBD}"/>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0</xdr:col>
      <xdr:colOff>8418</xdr:colOff>
      <xdr:row>14</xdr:row>
      <xdr:rowOff>0</xdr:rowOff>
    </xdr:from>
    <xdr:to>
      <xdr:col>3</xdr:col>
      <xdr:colOff>218266</xdr:colOff>
      <xdr:row>14</xdr:row>
      <xdr:rowOff>3807619</xdr:rowOff>
    </xdr:to>
    <xdr:pic>
      <xdr:nvPicPr>
        <xdr:cNvPr id="3" name="Picture 3">
          <a:extLst>
            <a:ext uri="{FF2B5EF4-FFF2-40B4-BE49-F238E27FC236}">
              <a16:creationId xmlns:a16="http://schemas.microsoft.com/office/drawing/2014/main" id="{443EA84A-F41B-4AA5-B8B0-4209962FE085}"/>
            </a:ext>
          </a:extLst>
        </xdr:cNvPr>
        <xdr:cNvPicPr>
          <a:picLocks noChangeAspect="1"/>
        </xdr:cNvPicPr>
      </xdr:nvPicPr>
      <xdr:blipFill>
        <a:blip xmlns:r="http://schemas.openxmlformats.org/officeDocument/2006/relationships" r:embed="rId2"/>
        <a:stretch>
          <a:fillRect/>
        </a:stretch>
      </xdr:blipFill>
      <xdr:spPr>
        <a:xfrm>
          <a:off x="9525" y="2266950"/>
          <a:ext cx="7610475" cy="3810000"/>
        </a:xfrm>
        <a:prstGeom prst="rect">
          <a:avLst/>
        </a:prstGeom>
      </xdr:spPr>
    </xdr:pic>
    <xdr:clientData/>
  </xdr:twoCellAnchor>
  <xdr:twoCellAnchor>
    <xdr:from>
      <xdr:col>3</xdr:col>
      <xdr:colOff>0</xdr:colOff>
      <xdr:row>31</xdr:row>
      <xdr:rowOff>0</xdr:rowOff>
    </xdr:from>
    <xdr:to>
      <xdr:col>4</xdr:col>
      <xdr:colOff>146921</xdr:colOff>
      <xdr:row>33</xdr:row>
      <xdr:rowOff>122709</xdr:rowOff>
    </xdr:to>
    <xdr:pic>
      <xdr:nvPicPr>
        <xdr:cNvPr id="4" name="Picture 4">
          <a:extLst>
            <a:ext uri="{FF2B5EF4-FFF2-40B4-BE49-F238E27FC236}">
              <a16:creationId xmlns:a16="http://schemas.microsoft.com/office/drawing/2014/main" id="{ECA22949-7C28-446A-AC41-3FA7FC2ECBDC}"/>
            </a:ext>
          </a:extLst>
        </xdr:cNvPr>
        <xdr:cNvPicPr>
          <a:picLocks noChangeAspect="1"/>
        </xdr:cNvPicPr>
      </xdr:nvPicPr>
      <xdr:blipFill>
        <a:blip xmlns:r="http://schemas.openxmlformats.org/officeDocument/2006/relationships" r:embed="rId3"/>
        <a:stretch>
          <a:fillRect/>
        </a:stretch>
      </xdr:blipFill>
      <xdr:spPr>
        <a:xfrm>
          <a:off x="7400925" y="9934575"/>
          <a:ext cx="762000" cy="6000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D358E3AE-0622-48AD-A428-B2157EF163F5}"/>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44</xdr:row>
      <xdr:rowOff>0</xdr:rowOff>
    </xdr:from>
    <xdr:to>
      <xdr:col>4</xdr:col>
      <xdr:colOff>49625</xdr:colOff>
      <xdr:row>46</xdr:row>
      <xdr:rowOff>151172</xdr:rowOff>
    </xdr:to>
    <xdr:pic>
      <xdr:nvPicPr>
        <xdr:cNvPr id="3" name="Picture 3">
          <a:extLst>
            <a:ext uri="{FF2B5EF4-FFF2-40B4-BE49-F238E27FC236}">
              <a16:creationId xmlns:a16="http://schemas.microsoft.com/office/drawing/2014/main" id="{FBC84506-B83E-4D8B-9295-DE5D3E77552E}"/>
            </a:ext>
          </a:extLst>
        </xdr:cNvPr>
        <xdr:cNvPicPr>
          <a:picLocks noChangeAspect="1"/>
        </xdr:cNvPicPr>
      </xdr:nvPicPr>
      <xdr:blipFill>
        <a:blip xmlns:r="http://schemas.openxmlformats.org/officeDocument/2006/relationships" r:embed="rId2"/>
        <a:stretch>
          <a:fillRect/>
        </a:stretch>
      </xdr:blipFill>
      <xdr:spPr>
        <a:xfrm>
          <a:off x="5038725" y="7019925"/>
          <a:ext cx="971550" cy="628650"/>
        </a:xfrm>
        <a:prstGeom prst="rect">
          <a:avLst/>
        </a:prstGeom>
      </xdr:spPr>
    </xdr:pic>
    <xdr:clientData/>
  </xdr:twoCellAnchor>
  <xdr:twoCellAnchor>
    <xdr:from>
      <xdr:col>0</xdr:col>
      <xdr:colOff>0</xdr:colOff>
      <xdr:row>10</xdr:row>
      <xdr:rowOff>0</xdr:rowOff>
    </xdr:from>
    <xdr:to>
      <xdr:col>1</xdr:col>
      <xdr:colOff>761516</xdr:colOff>
      <xdr:row>11</xdr:row>
      <xdr:rowOff>71475</xdr:rowOff>
    </xdr:to>
    <xdr:pic>
      <xdr:nvPicPr>
        <xdr:cNvPr id="4" name="Picture 4">
          <a:extLst>
            <a:ext uri="{FF2B5EF4-FFF2-40B4-BE49-F238E27FC236}">
              <a16:creationId xmlns:a16="http://schemas.microsoft.com/office/drawing/2014/main" id="{E7800E48-3E73-48FE-934A-CD0341ABD1C4}"/>
            </a:ext>
          </a:extLst>
        </xdr:cNvPr>
        <xdr:cNvPicPr>
          <a:picLocks noChangeAspect="1"/>
        </xdr:cNvPicPr>
      </xdr:nvPicPr>
      <xdr:blipFill>
        <a:blip xmlns:r="http://schemas.openxmlformats.org/officeDocument/2006/relationships" r:embed="rId3"/>
        <a:stretch>
          <a:fillRect/>
        </a:stretch>
      </xdr:blipFill>
      <xdr:spPr>
        <a:xfrm>
          <a:off x="0" y="1619250"/>
          <a:ext cx="3952875" cy="2381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913507</xdr:colOff>
      <xdr:row>2</xdr:row>
      <xdr:rowOff>113854</xdr:rowOff>
    </xdr:to>
    <xdr:pic>
      <xdr:nvPicPr>
        <xdr:cNvPr id="2" name="Picture 2">
          <a:extLst>
            <a:ext uri="{FF2B5EF4-FFF2-40B4-BE49-F238E27FC236}">
              <a16:creationId xmlns:a16="http://schemas.microsoft.com/office/drawing/2014/main" id="{D67DB481-8D1A-4A9C-8E76-809C4D04B790}"/>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C2ED9-FBC3-4ED8-A3DD-EA1C9092A7EA}">
  <sheetPr codeName="Sheet1"/>
  <dimension ref="C5:S44"/>
  <sheetViews>
    <sheetView showGridLines="0" tabSelected="1" workbookViewId="0"/>
  </sheetViews>
  <sheetFormatPr defaultRowHeight="13.2" x14ac:dyDescent="0.25"/>
  <cols>
    <col min="1" max="2" width="8.88671875" style="83"/>
    <col min="3" max="3" width="43.109375" style="83" bestFit="1" customWidth="1"/>
    <col min="4" max="4" width="19.88671875" style="83" bestFit="1" customWidth="1"/>
    <col min="5" max="5" width="22.5546875" style="83" bestFit="1" customWidth="1"/>
    <col min="6" max="6" width="23.44140625" style="83" bestFit="1" customWidth="1"/>
    <col min="7" max="7" width="12.5546875" style="83" bestFit="1" customWidth="1"/>
    <col min="8" max="8" width="24.44140625" style="83" bestFit="1" customWidth="1"/>
    <col min="9" max="9" width="23" style="83" bestFit="1" customWidth="1"/>
    <col min="10" max="10" width="22.5546875" style="83" bestFit="1" customWidth="1"/>
    <col min="11" max="11" width="19.5546875" style="83" bestFit="1" customWidth="1"/>
    <col min="12" max="12" width="39" style="83" bestFit="1" customWidth="1"/>
    <col min="13" max="13" width="34.109375" style="83" bestFit="1" customWidth="1"/>
    <col min="14" max="14" width="26.33203125" style="83" bestFit="1" customWidth="1"/>
    <col min="15" max="15" width="8.88671875" style="83"/>
    <col min="16" max="16" width="28.5546875" style="83" bestFit="1" customWidth="1"/>
    <col min="17" max="19" width="14.109375" style="83" bestFit="1" customWidth="1"/>
    <col min="20" max="16384" width="8.88671875" style="83"/>
  </cols>
  <sheetData>
    <row r="5" spans="3:19" ht="13.8" thickBot="1" x14ac:dyDescent="0.3"/>
    <row r="6" spans="3:19" x14ac:dyDescent="0.25">
      <c r="C6" s="89" t="s">
        <v>8</v>
      </c>
      <c r="D6" s="90" t="s">
        <v>9</v>
      </c>
      <c r="E6" s="90" t="s">
        <v>10</v>
      </c>
      <c r="F6" s="90" t="s">
        <v>11</v>
      </c>
      <c r="G6" s="90" t="s">
        <v>12</v>
      </c>
      <c r="H6" s="90" t="s">
        <v>15</v>
      </c>
      <c r="I6" s="90" t="s">
        <v>22</v>
      </c>
      <c r="J6" s="90" t="s">
        <v>23</v>
      </c>
      <c r="K6" s="90" t="s">
        <v>24</v>
      </c>
      <c r="L6" s="90" t="s">
        <v>55</v>
      </c>
      <c r="M6" s="90" t="s">
        <v>56</v>
      </c>
      <c r="N6" s="91" t="s">
        <v>57</v>
      </c>
      <c r="P6" s="85"/>
      <c r="Q6" s="86" t="s">
        <v>194</v>
      </c>
      <c r="R6" s="86" t="s">
        <v>195</v>
      </c>
      <c r="S6" s="88" t="s">
        <v>196</v>
      </c>
    </row>
    <row r="7" spans="3:19" x14ac:dyDescent="0.25">
      <c r="C7" s="92" t="s">
        <v>25</v>
      </c>
      <c r="D7" s="104">
        <v>109.82</v>
      </c>
      <c r="E7" s="106">
        <v>10258</v>
      </c>
      <c r="F7" s="104">
        <v>1126533.7</v>
      </c>
      <c r="G7" s="104">
        <v>76946</v>
      </c>
      <c r="H7" s="104">
        <v>1203479.7</v>
      </c>
      <c r="I7" s="104" t="s">
        <v>26</v>
      </c>
      <c r="J7" s="104" t="s">
        <v>26</v>
      </c>
      <c r="K7" s="104" t="s">
        <v>26</v>
      </c>
      <c r="L7" s="108" t="s">
        <v>26</v>
      </c>
      <c r="M7" s="108" t="s">
        <v>26</v>
      </c>
      <c r="N7" s="109" t="s">
        <v>26</v>
      </c>
      <c r="P7" s="84" t="s">
        <v>197</v>
      </c>
      <c r="Q7" s="122">
        <v>0.33333333333333331</v>
      </c>
      <c r="R7" s="122">
        <v>0.33333333333333331</v>
      </c>
      <c r="S7" s="123">
        <v>0.33333333333333331</v>
      </c>
    </row>
    <row r="8" spans="3:19" x14ac:dyDescent="0.25">
      <c r="C8" s="92" t="s">
        <v>27</v>
      </c>
      <c r="D8" s="104">
        <v>107.59</v>
      </c>
      <c r="E8" s="106">
        <v>12697</v>
      </c>
      <c r="F8" s="104">
        <v>1370652</v>
      </c>
      <c r="G8" s="104">
        <v>-85609</v>
      </c>
      <c r="H8" s="104">
        <v>1285043</v>
      </c>
      <c r="I8" s="104">
        <v>305093.65000000002</v>
      </c>
      <c r="J8" s="104">
        <v>122110.19</v>
      </c>
      <c r="K8" s="104">
        <v>5.54</v>
      </c>
      <c r="L8" s="108">
        <v>4.21</v>
      </c>
      <c r="M8" s="108">
        <v>10.52</v>
      </c>
      <c r="N8" s="109">
        <v>19.440000000000001</v>
      </c>
      <c r="P8" s="84" t="s">
        <v>198</v>
      </c>
      <c r="Q8" s="124">
        <f>INDEX(L24:L44,MATCH($L$22,$K$24:$K$44))</f>
        <v>2.8494999999999999</v>
      </c>
      <c r="R8" s="124">
        <f>INDEX(M24:M44,MATCH($L$22,$K$24:$K$44))</f>
        <v>10.016</v>
      </c>
      <c r="S8" s="125">
        <f>INDEX(N24:N44,MATCH($L$22,$K$24:$K$44))</f>
        <v>16.010999999999999</v>
      </c>
    </row>
    <row r="9" spans="3:19" x14ac:dyDescent="0.25">
      <c r="C9" s="92" t="s">
        <v>28</v>
      </c>
      <c r="D9" s="104">
        <v>42.8</v>
      </c>
      <c r="E9" s="106">
        <v>731.2</v>
      </c>
      <c r="F9" s="104">
        <v>31295.599999999999</v>
      </c>
      <c r="G9" s="104">
        <v>21877</v>
      </c>
      <c r="H9" s="104">
        <v>53269.599999999999</v>
      </c>
      <c r="I9" s="104">
        <v>87066.23</v>
      </c>
      <c r="J9" s="104">
        <v>9420.16</v>
      </c>
      <c r="K9" s="104">
        <v>5.3</v>
      </c>
      <c r="L9" s="108">
        <v>0.61</v>
      </c>
      <c r="M9" s="108">
        <v>5.65</v>
      </c>
      <c r="N9" s="109">
        <v>8.08</v>
      </c>
      <c r="P9" s="84" t="s">
        <v>199</v>
      </c>
      <c r="Q9" s="115">
        <v>397148.5</v>
      </c>
      <c r="R9" s="115">
        <v>125332.62</v>
      </c>
      <c r="S9" s="116">
        <v>6.17</v>
      </c>
    </row>
    <row r="10" spans="3:19" x14ac:dyDescent="0.25">
      <c r="C10" s="92" t="s">
        <v>29</v>
      </c>
      <c r="D10" s="104">
        <v>14.26</v>
      </c>
      <c r="E10" s="106">
        <v>1295.9000000000001</v>
      </c>
      <c r="F10" s="104">
        <v>18479.099999999999</v>
      </c>
      <c r="G10" s="104">
        <v>11533</v>
      </c>
      <c r="H10" s="104">
        <v>30064.1</v>
      </c>
      <c r="I10" s="104">
        <v>29639.11</v>
      </c>
      <c r="J10" s="104">
        <v>5420.7</v>
      </c>
      <c r="K10" s="104">
        <v>1.95</v>
      </c>
      <c r="L10" s="108">
        <v>1.01</v>
      </c>
      <c r="M10" s="108">
        <v>5.55</v>
      </c>
      <c r="N10" s="109">
        <v>7.32</v>
      </c>
      <c r="P10" s="84" t="s">
        <v>200</v>
      </c>
      <c r="Q10" s="115">
        <f>Q9*Q8</f>
        <v>1131674.65075</v>
      </c>
      <c r="R10" s="115">
        <f>R9*R8</f>
        <v>1255331.52192</v>
      </c>
      <c r="S10" s="116">
        <f>S12+S11</f>
        <v>1508671.8003529999</v>
      </c>
    </row>
    <row r="11" spans="3:19" x14ac:dyDescent="0.25">
      <c r="C11" s="92" t="s">
        <v>30</v>
      </c>
      <c r="D11" s="104">
        <v>29.72</v>
      </c>
      <c r="E11" s="106">
        <v>985.3</v>
      </c>
      <c r="F11" s="104">
        <v>29284</v>
      </c>
      <c r="G11" s="104">
        <v>10388</v>
      </c>
      <c r="H11" s="104">
        <v>39672</v>
      </c>
      <c r="I11" s="104">
        <v>55699.93</v>
      </c>
      <c r="J11" s="104">
        <v>5571.67</v>
      </c>
      <c r="K11" s="104">
        <v>3.46</v>
      </c>
      <c r="L11" s="108">
        <v>0.71</v>
      </c>
      <c r="M11" s="108">
        <v>7.12</v>
      </c>
      <c r="N11" s="109">
        <v>8.59</v>
      </c>
      <c r="P11" s="84" t="s">
        <v>201</v>
      </c>
      <c r="Q11" s="115">
        <v>-54340</v>
      </c>
      <c r="R11" s="115">
        <v>-54340</v>
      </c>
      <c r="S11" s="116">
        <v>-54340</v>
      </c>
    </row>
    <row r="12" spans="3:19" x14ac:dyDescent="0.25">
      <c r="C12" s="92" t="s">
        <v>31</v>
      </c>
      <c r="D12" s="104">
        <v>63.44</v>
      </c>
      <c r="E12" s="106">
        <v>213.9</v>
      </c>
      <c r="F12" s="104">
        <v>13570.1</v>
      </c>
      <c r="G12" s="104">
        <v>-457</v>
      </c>
      <c r="H12" s="104">
        <v>13113.1</v>
      </c>
      <c r="I12" s="104">
        <v>6133.44</v>
      </c>
      <c r="J12" s="104">
        <v>1539.18</v>
      </c>
      <c r="K12" s="104">
        <v>5.37</v>
      </c>
      <c r="L12" s="108">
        <v>2.14</v>
      </c>
      <c r="M12" s="108">
        <v>8.52</v>
      </c>
      <c r="N12" s="109">
        <v>11.82</v>
      </c>
      <c r="P12" s="84" t="s">
        <v>124</v>
      </c>
      <c r="Q12" s="115">
        <f>Q10-Q11</f>
        <v>1186014.65075</v>
      </c>
      <c r="R12" s="115">
        <f>R10-R11</f>
        <v>1309671.52192</v>
      </c>
      <c r="S12" s="116">
        <f>S13*S14</f>
        <v>1563011.8003529999</v>
      </c>
    </row>
    <row r="13" spans="3:19" x14ac:dyDescent="0.25">
      <c r="C13" s="92" t="s">
        <v>32</v>
      </c>
      <c r="D13" s="104">
        <v>113.92</v>
      </c>
      <c r="E13" s="106">
        <v>1115</v>
      </c>
      <c r="F13" s="104">
        <v>127020.8</v>
      </c>
      <c r="G13" s="104">
        <v>8639</v>
      </c>
      <c r="H13" s="104">
        <v>135659.79999999999</v>
      </c>
      <c r="I13" s="104">
        <v>39551.65</v>
      </c>
      <c r="J13" s="104">
        <v>15256.79</v>
      </c>
      <c r="K13" s="104">
        <v>9.93</v>
      </c>
      <c r="L13" s="108">
        <v>3.43</v>
      </c>
      <c r="M13" s="108">
        <v>8.89</v>
      </c>
      <c r="N13" s="109">
        <v>11.48</v>
      </c>
      <c r="P13" s="84" t="s">
        <v>202</v>
      </c>
      <c r="Q13" s="126">
        <v>15821.9</v>
      </c>
      <c r="R13" s="126">
        <v>15821.9</v>
      </c>
      <c r="S13" s="127">
        <v>15821.9</v>
      </c>
    </row>
    <row r="14" spans="3:19" ht="13.8" thickBot="1" x14ac:dyDescent="0.3">
      <c r="C14" s="92" t="s">
        <v>33</v>
      </c>
      <c r="D14" s="104">
        <v>29.86</v>
      </c>
      <c r="E14" s="106">
        <v>4137</v>
      </c>
      <c r="F14" s="104">
        <v>123530.8</v>
      </c>
      <c r="G14" s="104">
        <v>22739</v>
      </c>
      <c r="H14" s="104">
        <v>148613.79999999999</v>
      </c>
      <c r="I14" s="104" t="s">
        <v>26</v>
      </c>
      <c r="J14" s="104">
        <v>15019.94</v>
      </c>
      <c r="K14" s="104">
        <v>1</v>
      </c>
      <c r="L14" s="108" t="s">
        <v>26</v>
      </c>
      <c r="M14" s="108">
        <v>9.89</v>
      </c>
      <c r="N14" s="109">
        <v>29.85</v>
      </c>
      <c r="P14" s="101" t="s">
        <v>203</v>
      </c>
      <c r="Q14" s="117">
        <f>Q12/Q13</f>
        <v>74.960317708366262</v>
      </c>
      <c r="R14" s="118">
        <f>R12/R13</f>
        <v>82.77586901193915</v>
      </c>
      <c r="S14" s="119">
        <f>S8*S9</f>
        <v>98.787869999999998</v>
      </c>
    </row>
    <row r="15" spans="3:19" x14ac:dyDescent="0.25">
      <c r="C15" s="92" t="s">
        <v>34</v>
      </c>
      <c r="D15" s="104">
        <v>32.76</v>
      </c>
      <c r="E15" s="106">
        <v>319.3</v>
      </c>
      <c r="F15" s="104">
        <v>10461.200000000001</v>
      </c>
      <c r="G15" s="104">
        <v>5490</v>
      </c>
      <c r="H15" s="104">
        <v>15951.2</v>
      </c>
      <c r="I15" s="104">
        <v>12221.77</v>
      </c>
      <c r="J15" s="104">
        <v>498.17</v>
      </c>
      <c r="K15" s="104">
        <v>-3.25</v>
      </c>
      <c r="L15" s="108">
        <v>1.31</v>
      </c>
      <c r="M15" s="108">
        <v>32.020000000000003</v>
      </c>
      <c r="N15" s="109" t="s">
        <v>58</v>
      </c>
      <c r="P15" s="85" t="s">
        <v>204</v>
      </c>
      <c r="Q15" s="120">
        <f>SUMPRODUCT(Q14:S14,Q7:S7)</f>
        <v>85.508018906768456</v>
      </c>
      <c r="R15" s="121"/>
      <c r="S15" s="121"/>
    </row>
    <row r="16" spans="3:19" x14ac:dyDescent="0.25">
      <c r="C16" s="92" t="s">
        <v>35</v>
      </c>
      <c r="D16" s="104">
        <v>87.44</v>
      </c>
      <c r="E16" s="106">
        <v>1609.4</v>
      </c>
      <c r="F16" s="104">
        <v>140726.5</v>
      </c>
      <c r="G16" s="104">
        <v>-2899</v>
      </c>
      <c r="H16" s="104">
        <v>137827.5</v>
      </c>
      <c r="I16" s="104">
        <v>23591.23</v>
      </c>
      <c r="J16" s="104">
        <v>7149.65</v>
      </c>
      <c r="K16" s="104">
        <v>3.02</v>
      </c>
      <c r="L16" s="108">
        <v>5.84</v>
      </c>
      <c r="M16" s="108">
        <v>19.28</v>
      </c>
      <c r="N16" s="109">
        <v>28.98</v>
      </c>
      <c r="P16" s="84" t="s">
        <v>205</v>
      </c>
      <c r="Q16" s="116">
        <v>168.41</v>
      </c>
      <c r="R16" s="121"/>
      <c r="S16" s="121"/>
    </row>
    <row r="17" spans="3:19" ht="13.8" thickBot="1" x14ac:dyDescent="0.3">
      <c r="C17" s="93" t="s">
        <v>36</v>
      </c>
      <c r="D17" s="105">
        <v>168.41</v>
      </c>
      <c r="E17" s="107">
        <v>15821.9</v>
      </c>
      <c r="F17" s="105">
        <v>2664573.9</v>
      </c>
      <c r="G17" s="105">
        <v>-54340</v>
      </c>
      <c r="H17" s="105">
        <v>2610233.9</v>
      </c>
      <c r="I17" s="105">
        <v>397148.5</v>
      </c>
      <c r="J17" s="105">
        <v>125332.62</v>
      </c>
      <c r="K17" s="105">
        <v>6.17</v>
      </c>
      <c r="L17" s="110">
        <v>6.57</v>
      </c>
      <c r="M17" s="110">
        <v>20.83</v>
      </c>
      <c r="N17" s="111">
        <v>27.27</v>
      </c>
      <c r="P17" s="87" t="s">
        <v>206</v>
      </c>
      <c r="Q17" s="128">
        <f>Q15/Q16-1</f>
        <v>-0.49226281748846001</v>
      </c>
      <c r="R17" s="121"/>
      <c r="S17" s="121"/>
    </row>
    <row r="20" spans="3:19" ht="39.6" x14ac:dyDescent="0.25">
      <c r="C20" s="102" t="s">
        <v>207</v>
      </c>
      <c r="D20" s="103">
        <f>Q17</f>
        <v>-0.49226281748846001</v>
      </c>
    </row>
    <row r="21" spans="3:19" ht="13.8" thickBot="1" x14ac:dyDescent="0.3"/>
    <row r="22" spans="3:19" ht="13.8" thickBot="1" x14ac:dyDescent="0.3">
      <c r="K22" s="100" t="s">
        <v>193</v>
      </c>
      <c r="L22" s="129">
        <f>BENCHMARKING!D28</f>
        <v>0.67500000000000016</v>
      </c>
    </row>
    <row r="23" spans="3:19" ht="13.8" thickBot="1" x14ac:dyDescent="0.3">
      <c r="K23" s="83" t="s">
        <v>192</v>
      </c>
    </row>
    <row r="24" spans="3:19" x14ac:dyDescent="0.25">
      <c r="K24" s="112">
        <v>0</v>
      </c>
      <c r="L24" s="94">
        <f>PERCENTILE(L7:L16,K24)</f>
        <v>0.61</v>
      </c>
      <c r="M24" s="94">
        <f>PERCENTILE(M7:M16,K24)</f>
        <v>5.55</v>
      </c>
      <c r="N24" s="95">
        <f>PERCENTILE(N7:N16,K24)</f>
        <v>7.32</v>
      </c>
    </row>
    <row r="25" spans="3:19" x14ac:dyDescent="0.25">
      <c r="K25" s="113">
        <v>0.05</v>
      </c>
      <c r="L25" s="96">
        <f>PERCENTILE(L7:L16,K25)</f>
        <v>0.64500000000000002</v>
      </c>
      <c r="M25" s="96">
        <f>PERCENTILE(M7:M16,K25)</f>
        <v>5.59</v>
      </c>
      <c r="N25" s="97">
        <f>PERCENTILE(N7:N16,K25)</f>
        <v>7.5860000000000003</v>
      </c>
    </row>
    <row r="26" spans="3:19" x14ac:dyDescent="0.25">
      <c r="K26" s="113">
        <v>0.1</v>
      </c>
      <c r="L26" s="96">
        <f>PERCENTILE(L7:L16,K26)</f>
        <v>0.67999999999999994</v>
      </c>
      <c r="M26" s="96">
        <f>PERCENTILE(M7:M16,K26)</f>
        <v>5.63</v>
      </c>
      <c r="N26" s="97">
        <f>PERCENTILE(N7:N16,K26)</f>
        <v>7.8520000000000003</v>
      </c>
    </row>
    <row r="27" spans="3:19" x14ac:dyDescent="0.25">
      <c r="K27" s="113">
        <v>0.15</v>
      </c>
      <c r="L27" s="96">
        <f>PERCENTILE(L7:L16,K27)</f>
        <v>0.72499999999999987</v>
      </c>
      <c r="M27" s="96">
        <f>PERCENTILE(M7:M16,K27)</f>
        <v>5.9440000000000008</v>
      </c>
      <c r="N27" s="97">
        <f>PERCENTILE(N7:N16,K27)</f>
        <v>8.1054999999999993</v>
      </c>
    </row>
    <row r="28" spans="3:19" x14ac:dyDescent="0.25">
      <c r="K28" s="113">
        <v>0.2</v>
      </c>
      <c r="L28" s="96">
        <f>PERCENTILE(L7:L16,K28)</f>
        <v>0.83000000000000007</v>
      </c>
      <c r="M28" s="96">
        <f>PERCENTILE(M7:M16,K28)</f>
        <v>6.532</v>
      </c>
      <c r="N28" s="97">
        <f>PERCENTILE(N7:N16,K28)</f>
        <v>8.2840000000000007</v>
      </c>
    </row>
    <row r="29" spans="3:19" x14ac:dyDescent="0.25">
      <c r="K29" s="113">
        <v>0.25</v>
      </c>
      <c r="L29" s="96">
        <f>PERCENTILE(L7:L16,K29)</f>
        <v>0.93500000000000005</v>
      </c>
      <c r="M29" s="96">
        <f>PERCENTILE(M7:M16,K29)</f>
        <v>7.12</v>
      </c>
      <c r="N29" s="97">
        <f>PERCENTILE(N7:N16,K29)</f>
        <v>8.4625000000000004</v>
      </c>
    </row>
    <row r="30" spans="3:19" x14ac:dyDescent="0.25">
      <c r="K30" s="113">
        <v>0.3</v>
      </c>
      <c r="L30" s="96">
        <f>PERCENTILE(L7:L16,K30)</f>
        <v>1.04</v>
      </c>
      <c r="M30" s="96">
        <f>PERCENTILE(M7:M16,K30)</f>
        <v>7.68</v>
      </c>
      <c r="N30" s="97">
        <f>PERCENTILE(N7:N16,K30)</f>
        <v>8.8789999999999996</v>
      </c>
    </row>
    <row r="31" spans="3:19" x14ac:dyDescent="0.25">
      <c r="K31" s="113">
        <v>0.35</v>
      </c>
      <c r="L31" s="96">
        <f>PERCENTILE(L7:L16,K31)</f>
        <v>1.145</v>
      </c>
      <c r="M31" s="96">
        <f>PERCENTILE(M7:M16,K31)</f>
        <v>8.2399999999999984</v>
      </c>
      <c r="N31" s="97">
        <f>PERCENTILE(N7:N16,K31)</f>
        <v>9.8904999999999994</v>
      </c>
    </row>
    <row r="32" spans="3:19" x14ac:dyDescent="0.25">
      <c r="K32" s="113">
        <v>0.4</v>
      </c>
      <c r="L32" s="96">
        <f>PERCENTILE(L7:L16,K32)</f>
        <v>1.25</v>
      </c>
      <c r="M32" s="96">
        <f>PERCENTILE(M7:M16,K32)</f>
        <v>8.5939999999999994</v>
      </c>
      <c r="N32" s="97">
        <f>PERCENTILE(N7:N16,K32)</f>
        <v>10.902000000000001</v>
      </c>
    </row>
    <row r="33" spans="11:14" x14ac:dyDescent="0.25">
      <c r="K33" s="113">
        <v>0.45</v>
      </c>
      <c r="L33" s="96">
        <f>PERCENTILE(L7:L16,K33)</f>
        <v>1.4345000000000003</v>
      </c>
      <c r="M33" s="96">
        <f>PERCENTILE(M7:M16,K33)</f>
        <v>8.7420000000000009</v>
      </c>
      <c r="N33" s="97">
        <f>PERCENTILE(N7:N16,K33)</f>
        <v>11.531000000000001</v>
      </c>
    </row>
    <row r="34" spans="11:14" x14ac:dyDescent="0.25">
      <c r="K34" s="113">
        <v>0.5</v>
      </c>
      <c r="L34" s="96">
        <f>PERCENTILE(L7:L16,K34)</f>
        <v>1.7250000000000001</v>
      </c>
      <c r="M34" s="96">
        <f>PERCENTILE(M7:M16,K34)</f>
        <v>8.89</v>
      </c>
      <c r="N34" s="97">
        <f>PERCENTILE(N7:N16,K34)</f>
        <v>11.65</v>
      </c>
    </row>
    <row r="35" spans="11:14" x14ac:dyDescent="0.25">
      <c r="K35" s="113">
        <v>0.55000000000000004</v>
      </c>
      <c r="L35" s="96">
        <f>PERCENTILE(L7:L16,K35)</f>
        <v>2.0155000000000003</v>
      </c>
      <c r="M35" s="96">
        <f>PERCENTILE(M7:M16,K35)</f>
        <v>9.2900000000000009</v>
      </c>
      <c r="N35" s="97">
        <f>PERCENTILE(N7:N16,K35)</f>
        <v>11.769</v>
      </c>
    </row>
    <row r="36" spans="11:14" x14ac:dyDescent="0.25">
      <c r="K36" s="113">
        <v>0.6</v>
      </c>
      <c r="L36" s="96">
        <f>PERCENTILE(L7:L16,K36)</f>
        <v>2.3980000000000006</v>
      </c>
      <c r="M36" s="96">
        <f>PERCENTILE(M7:M16,K36)</f>
        <v>9.6900000000000013</v>
      </c>
      <c r="N36" s="97">
        <f>PERCENTILE(N7:N16,K36)</f>
        <v>13.344000000000001</v>
      </c>
    </row>
    <row r="37" spans="11:14" x14ac:dyDescent="0.25">
      <c r="K37" s="113">
        <v>0.65</v>
      </c>
      <c r="L37" s="96">
        <f>PERCENTILE(L7:L16,K37)</f>
        <v>2.8494999999999999</v>
      </c>
      <c r="M37" s="96">
        <f>PERCENTILE(M7:M16,K37)</f>
        <v>10.016</v>
      </c>
      <c r="N37" s="97">
        <f>PERCENTILE(N7:N16,K37)</f>
        <v>16.010999999999999</v>
      </c>
    </row>
    <row r="38" spans="11:14" x14ac:dyDescent="0.25">
      <c r="K38" s="113">
        <v>0.7</v>
      </c>
      <c r="L38" s="96">
        <f>PERCENTILE(L7:L16,K38)</f>
        <v>3.3009999999999993</v>
      </c>
      <c r="M38" s="96">
        <f>PERCENTILE(M7:M16,K38)</f>
        <v>10.267999999999999</v>
      </c>
      <c r="N38" s="97">
        <f>PERCENTILE(N7:N16,K38)</f>
        <v>18.677999999999997</v>
      </c>
    </row>
    <row r="39" spans="11:14" x14ac:dyDescent="0.25">
      <c r="K39" s="113">
        <v>0.75</v>
      </c>
      <c r="L39" s="96">
        <f>PERCENTILE(L7:L16,K39)</f>
        <v>3.625</v>
      </c>
      <c r="M39" s="96">
        <f>PERCENTILE(M7:M16,K39)</f>
        <v>10.52</v>
      </c>
      <c r="N39" s="97">
        <f>PERCENTILE(N7:N16,K39)</f>
        <v>21.825000000000003</v>
      </c>
    </row>
    <row r="40" spans="11:14" x14ac:dyDescent="0.25">
      <c r="K40" s="113">
        <v>0.8</v>
      </c>
      <c r="L40" s="96">
        <f>PERCENTILE(L7:L16,K40)</f>
        <v>3.8980000000000006</v>
      </c>
      <c r="M40" s="96">
        <f>PERCENTILE(M7:M16,K40)</f>
        <v>14.024000000000003</v>
      </c>
      <c r="N40" s="97">
        <f>PERCENTILE(N7:N16,K40)</f>
        <v>25.164000000000005</v>
      </c>
    </row>
    <row r="41" spans="11:14" x14ac:dyDescent="0.25">
      <c r="K41" s="113">
        <v>0.85</v>
      </c>
      <c r="L41" s="96">
        <f>PERCENTILE(L7:L16,K41)</f>
        <v>4.1710000000000003</v>
      </c>
      <c r="M41" s="96">
        <f>PERCENTILE(M7:M16,K41)</f>
        <v>17.527999999999999</v>
      </c>
      <c r="N41" s="97">
        <f>PERCENTILE(N7:N16,K41)</f>
        <v>28.503</v>
      </c>
    </row>
    <row r="42" spans="11:14" x14ac:dyDescent="0.25">
      <c r="K42" s="113">
        <v>0.9</v>
      </c>
      <c r="L42" s="96">
        <f>PERCENTILE(L7:L16,K42)</f>
        <v>4.6989999999999998</v>
      </c>
      <c r="M42" s="96">
        <f>PERCENTILE(M7:M16,K42)</f>
        <v>21.827999999999992</v>
      </c>
      <c r="N42" s="97">
        <f>PERCENTILE(N7:N16,K42)</f>
        <v>29.241</v>
      </c>
    </row>
    <row r="43" spans="11:14" x14ac:dyDescent="0.25">
      <c r="K43" s="113">
        <v>0.95</v>
      </c>
      <c r="L43" s="96">
        <f>PERCENTILE(L7:L16,K43)</f>
        <v>5.269499999999999</v>
      </c>
      <c r="M43" s="96">
        <f>PERCENTILE(M7:M16,K43)</f>
        <v>26.923999999999999</v>
      </c>
      <c r="N43" s="97">
        <f>PERCENTILE(N7:N16,K43)</f>
        <v>29.545500000000001</v>
      </c>
    </row>
    <row r="44" spans="11:14" ht="13.8" thickBot="1" x14ac:dyDescent="0.3">
      <c r="K44" s="114">
        <v>1</v>
      </c>
      <c r="L44" s="98">
        <f>PERCENTILE(L7:L16,K44)</f>
        <v>5.84</v>
      </c>
      <c r="M44" s="98">
        <f>PERCENTILE(M7:M16,K44)</f>
        <v>32.020000000000003</v>
      </c>
      <c r="N44" s="99">
        <f>PERCENTILE(N7:N16,K44)</f>
        <v>29.85</v>
      </c>
    </row>
  </sheetData>
  <conditionalFormatting sqref="Q17">
    <cfRule type="cellIs" dxfId="3" priority="4" operator="greaterThan">
      <formula>0</formula>
    </cfRule>
    <cfRule type="cellIs" dxfId="2" priority="3" operator="lessThan">
      <formula>0</formula>
    </cfRule>
    <cfRule type="cellIs" dxfId="1" priority="2" operator="greaterThan">
      <formula>0</formula>
    </cfRule>
    <cfRule type="cellIs" dxfId="0" priority="1" operator="lessThan">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9FBE9-BC7D-4BBC-B17A-1E5E4A9ACA55}">
  <sheetPr codeName="Sheet2"/>
  <dimension ref="C5:O51"/>
  <sheetViews>
    <sheetView showGridLines="0" workbookViewId="0"/>
  </sheetViews>
  <sheetFormatPr defaultRowHeight="10.199999999999999" x14ac:dyDescent="0.2"/>
  <cols>
    <col min="1" max="2" width="8.88671875" style="43"/>
    <col min="3" max="3" width="13" style="43" bestFit="1" customWidth="1"/>
    <col min="4" max="4" width="8.109375" style="43" bestFit="1" customWidth="1"/>
    <col min="5" max="5" width="7.21875" style="43" bestFit="1" customWidth="1"/>
    <col min="6" max="6" width="7.44140625" style="43" bestFit="1" customWidth="1"/>
    <col min="7" max="7" width="7.21875" style="43" bestFit="1" customWidth="1"/>
    <col min="8" max="8" width="8.109375" style="43" bestFit="1" customWidth="1"/>
    <col min="9" max="9" width="7.77734375" style="43" bestFit="1" customWidth="1"/>
    <col min="10" max="10" width="7.88671875" style="43" bestFit="1" customWidth="1"/>
    <col min="11" max="11" width="7.77734375" style="43" bestFit="1" customWidth="1"/>
    <col min="12" max="12" width="8.109375" style="43" bestFit="1" customWidth="1"/>
    <col min="13" max="14" width="8.6640625" style="43" bestFit="1" customWidth="1"/>
    <col min="15" max="16384" width="8.88671875" style="43"/>
  </cols>
  <sheetData>
    <row r="5" spans="3:15" ht="10.8" thickBot="1" x14ac:dyDescent="0.25"/>
    <row r="6" spans="3:15" ht="51.6" thickBot="1" x14ac:dyDescent="0.25">
      <c r="C6" s="57" t="s">
        <v>8</v>
      </c>
      <c r="D6" s="65" t="s">
        <v>63</v>
      </c>
      <c r="E6" s="65" t="s">
        <v>64</v>
      </c>
      <c r="F6" s="65" t="s">
        <v>65</v>
      </c>
      <c r="G6" s="65" t="s">
        <v>66</v>
      </c>
      <c r="H6" s="65" t="s">
        <v>67</v>
      </c>
      <c r="I6" s="65" t="s">
        <v>68</v>
      </c>
      <c r="J6" s="65" t="s">
        <v>69</v>
      </c>
      <c r="K6" s="65" t="s">
        <v>70</v>
      </c>
      <c r="L6" s="65" t="s">
        <v>71</v>
      </c>
      <c r="M6" s="65" t="s">
        <v>72</v>
      </c>
      <c r="N6" s="65" t="s">
        <v>73</v>
      </c>
      <c r="O6" s="66" t="s">
        <v>74</v>
      </c>
    </row>
    <row r="7" spans="3:15" ht="40.799999999999997" x14ac:dyDescent="0.2">
      <c r="C7" s="63" t="s">
        <v>25</v>
      </c>
      <c r="D7" s="69">
        <v>0.44700000000000001</v>
      </c>
      <c r="E7" s="70">
        <v>0.109</v>
      </c>
      <c r="F7" s="70">
        <v>2.5000000000000001E-2</v>
      </c>
      <c r="G7" s="71">
        <v>8.2000000000000007E-3</v>
      </c>
      <c r="H7" s="71">
        <v>9.8699999999999996E-2</v>
      </c>
      <c r="I7" s="71">
        <v>3.1699999999999999E-2</v>
      </c>
      <c r="J7" s="71">
        <v>-0.3216</v>
      </c>
      <c r="K7" s="71">
        <v>-0.79949999999999999</v>
      </c>
      <c r="L7" s="71">
        <v>0.47770000000000001</v>
      </c>
      <c r="M7" s="72">
        <v>2.1</v>
      </c>
      <c r="N7" s="71">
        <v>0.27579999999999999</v>
      </c>
      <c r="O7" s="73">
        <v>1.26</v>
      </c>
    </row>
    <row r="8" spans="3:15" ht="30.6" x14ac:dyDescent="0.2">
      <c r="C8" s="63" t="s">
        <v>27</v>
      </c>
      <c r="D8" s="67">
        <v>0.55300000000000005</v>
      </c>
      <c r="E8" s="53">
        <v>0.307</v>
      </c>
      <c r="F8" s="53">
        <v>0.254</v>
      </c>
      <c r="G8" s="54">
        <v>0.20580000000000001</v>
      </c>
      <c r="H8" s="54">
        <v>5.28E-2</v>
      </c>
      <c r="I8" s="54">
        <v>-8.7099999999999997E-2</v>
      </c>
      <c r="J8" s="54">
        <v>-0.1239</v>
      </c>
      <c r="K8" s="54">
        <v>-0.214</v>
      </c>
      <c r="L8" s="54">
        <v>0.1016</v>
      </c>
      <c r="M8" s="55">
        <v>0.3</v>
      </c>
      <c r="N8" s="54">
        <v>0.16889999999999999</v>
      </c>
      <c r="O8" s="61">
        <v>1.1000000000000001</v>
      </c>
    </row>
    <row r="9" spans="3:15" ht="30.6" x14ac:dyDescent="0.2">
      <c r="C9" s="63" t="s">
        <v>28</v>
      </c>
      <c r="D9" s="67">
        <v>0.222</v>
      </c>
      <c r="E9" s="53">
        <v>7.5999999999999998E-2</v>
      </c>
      <c r="F9" s="53">
        <v>5.6000000000000001E-2</v>
      </c>
      <c r="G9" s="54">
        <v>2.3900000000000001E-2</v>
      </c>
      <c r="H9" s="54">
        <v>1.09E-2</v>
      </c>
      <c r="I9" s="54">
        <v>-7.1800000000000003E-2</v>
      </c>
      <c r="J9" s="54">
        <v>0.2387</v>
      </c>
      <c r="K9" s="54">
        <v>-0.56100000000000005</v>
      </c>
      <c r="L9" s="54">
        <v>1.1102000000000001</v>
      </c>
      <c r="M9" s="55">
        <v>3.7</v>
      </c>
      <c r="N9" s="54">
        <v>5.8299999999999998E-2</v>
      </c>
      <c r="O9" s="61">
        <v>0.97</v>
      </c>
    </row>
    <row r="10" spans="3:15" ht="40.799999999999997" x14ac:dyDescent="0.2">
      <c r="C10" s="63" t="s">
        <v>29</v>
      </c>
      <c r="D10" s="67">
        <v>0.33500000000000002</v>
      </c>
      <c r="E10" s="53">
        <v>0.16800000000000001</v>
      </c>
      <c r="F10" s="53">
        <v>8.2000000000000003E-2</v>
      </c>
      <c r="G10" s="54">
        <v>2.92E-2</v>
      </c>
      <c r="H10" s="54">
        <v>5.1299999999999998E-2</v>
      </c>
      <c r="I10" s="54">
        <v>2.1299999999999999E-2</v>
      </c>
      <c r="J10" s="54">
        <v>5.7700000000000001E-2</v>
      </c>
      <c r="K10" s="54">
        <v>-0.76970000000000005</v>
      </c>
      <c r="L10" s="54">
        <v>0.39429999999999998</v>
      </c>
      <c r="M10" s="55">
        <v>2.6</v>
      </c>
      <c r="N10" s="54">
        <v>4.7199999999999999E-2</v>
      </c>
      <c r="O10" s="61">
        <v>1.24</v>
      </c>
    </row>
    <row r="11" spans="3:15" ht="20.399999999999999" x14ac:dyDescent="0.2">
      <c r="C11" s="63" t="s">
        <v>30</v>
      </c>
      <c r="D11" s="67">
        <v>0.19700000000000001</v>
      </c>
      <c r="E11" s="53">
        <v>9.2999999999999999E-2</v>
      </c>
      <c r="F11" s="53">
        <v>0.08</v>
      </c>
      <c r="G11" s="54">
        <v>4.36E-2</v>
      </c>
      <c r="H11" s="54">
        <v>-7.8399999999999997E-2</v>
      </c>
      <c r="I11" s="54">
        <v>-0.1242</v>
      </c>
      <c r="J11" s="54">
        <v>-0.1439</v>
      </c>
      <c r="K11" s="54">
        <v>-0.60070000000000001</v>
      </c>
      <c r="L11" s="54">
        <v>1.4426000000000001</v>
      </c>
      <c r="M11" s="55">
        <v>2.1</v>
      </c>
      <c r="N11" s="54">
        <v>-0.03</v>
      </c>
      <c r="O11" s="61">
        <v>1.02</v>
      </c>
    </row>
    <row r="12" spans="3:15" ht="30.6" x14ac:dyDescent="0.2">
      <c r="C12" s="63" t="s">
        <v>31</v>
      </c>
      <c r="D12" s="67">
        <v>0.65400000000000003</v>
      </c>
      <c r="E12" s="53">
        <v>0.20599999999999999</v>
      </c>
      <c r="F12" s="53">
        <v>0.17599999999999999</v>
      </c>
      <c r="G12" s="54">
        <v>0.1993</v>
      </c>
      <c r="H12" s="54">
        <v>4.3299999999999998E-2</v>
      </c>
      <c r="I12" s="54">
        <v>-2.4199999999999999E-2</v>
      </c>
      <c r="J12" s="54">
        <v>-5.3199999999999997E-2</v>
      </c>
      <c r="K12" s="54">
        <v>0.2727</v>
      </c>
      <c r="L12" s="54">
        <v>0.70940000000000003</v>
      </c>
      <c r="M12" s="55">
        <v>1.9</v>
      </c>
      <c r="N12" s="54">
        <v>6.4699999999999994E-2</v>
      </c>
      <c r="O12" s="61">
        <v>1.18</v>
      </c>
    </row>
    <row r="13" spans="3:15" ht="40.799999999999997" x14ac:dyDescent="0.2">
      <c r="C13" s="63" t="s">
        <v>32</v>
      </c>
      <c r="D13" s="67">
        <v>0.57199999999999995</v>
      </c>
      <c r="E13" s="53">
        <v>0.379</v>
      </c>
      <c r="F13" s="53">
        <v>0.33800000000000002</v>
      </c>
      <c r="G13" s="54">
        <v>0.27400000000000002</v>
      </c>
      <c r="H13" s="54">
        <v>0.19209999999999999</v>
      </c>
      <c r="I13" s="54">
        <v>0.27789999999999998</v>
      </c>
      <c r="J13" s="54">
        <v>0.30680000000000002</v>
      </c>
      <c r="K13" s="54">
        <v>0.1787</v>
      </c>
      <c r="L13" s="54">
        <v>0.47289999999999999</v>
      </c>
      <c r="M13" s="55">
        <v>1</v>
      </c>
      <c r="N13" s="54">
        <v>5.8299999999999998E-2</v>
      </c>
      <c r="O13" s="61">
        <v>1.27</v>
      </c>
    </row>
    <row r="14" spans="3:15" ht="20.399999999999999" x14ac:dyDescent="0.2">
      <c r="C14" s="63" t="s">
        <v>33</v>
      </c>
      <c r="D14" s="67">
        <v>0.38300000000000001</v>
      </c>
      <c r="E14" s="53">
        <v>0.152</v>
      </c>
      <c r="F14" s="53">
        <v>-6.2E-2</v>
      </c>
      <c r="G14" s="54">
        <v>-5.0599999999999999E-2</v>
      </c>
      <c r="H14" s="54">
        <v>-0.27400000000000002</v>
      </c>
      <c r="I14" s="54">
        <v>-0.72799999999999998</v>
      </c>
      <c r="J14" s="56" t="s">
        <v>26</v>
      </c>
      <c r="K14" s="56" t="s">
        <v>26</v>
      </c>
      <c r="L14" s="54">
        <v>0.33360000000000001</v>
      </c>
      <c r="M14" s="55">
        <v>5.4</v>
      </c>
      <c r="N14" s="54">
        <v>5.6599999999999998E-2</v>
      </c>
      <c r="O14" s="61">
        <v>0.88</v>
      </c>
    </row>
    <row r="15" spans="3:15" ht="30.6" x14ac:dyDescent="0.2">
      <c r="C15" s="63" t="s">
        <v>34</v>
      </c>
      <c r="D15" s="67">
        <v>0.26300000000000001</v>
      </c>
      <c r="E15" s="53">
        <v>0.11</v>
      </c>
      <c r="F15" s="53">
        <v>5.5E-2</v>
      </c>
      <c r="G15" s="54">
        <v>-5.8999999999999999E-3</v>
      </c>
      <c r="H15" s="54">
        <v>-0.16839999999999999</v>
      </c>
      <c r="I15" s="54">
        <v>-0.4869</v>
      </c>
      <c r="J15" s="54">
        <v>-0.63590000000000002</v>
      </c>
      <c r="K15" s="56" t="s">
        <v>26</v>
      </c>
      <c r="L15" s="54">
        <v>0.378</v>
      </c>
      <c r="M15" s="55">
        <v>4.0999999999999996</v>
      </c>
      <c r="N15" s="54">
        <v>-5.8599999999999999E-2</v>
      </c>
      <c r="O15" s="61">
        <v>1.69</v>
      </c>
    </row>
    <row r="16" spans="3:15" ht="30.6" x14ac:dyDescent="0.2">
      <c r="C16" s="63" t="s">
        <v>35</v>
      </c>
      <c r="D16" s="67">
        <v>0.51100000000000001</v>
      </c>
      <c r="E16" s="53">
        <v>0.19900000000000001</v>
      </c>
      <c r="F16" s="53">
        <v>5.3999999999999999E-2</v>
      </c>
      <c r="G16" s="54">
        <v>5.5899999999999998E-2</v>
      </c>
      <c r="H16" s="54">
        <v>0.43609999999999999</v>
      </c>
      <c r="I16" s="54">
        <v>0.15909999999999999</v>
      </c>
      <c r="J16" s="54">
        <v>-0.65349999999999997</v>
      </c>
      <c r="K16" s="54">
        <v>-0.58250000000000002</v>
      </c>
      <c r="L16" s="54">
        <v>5.1200000000000002E-2</v>
      </c>
      <c r="M16" s="55">
        <v>0.6</v>
      </c>
      <c r="N16" s="54">
        <v>0.2747</v>
      </c>
      <c r="O16" s="61">
        <v>1.94</v>
      </c>
    </row>
    <row r="17" spans="3:15" ht="31.2" thickBot="1" x14ac:dyDescent="0.25">
      <c r="C17" s="64" t="s">
        <v>36</v>
      </c>
      <c r="D17" s="68">
        <v>0.43099999999999999</v>
      </c>
      <c r="E17" s="58">
        <v>0.32300000000000001</v>
      </c>
      <c r="F17" s="58">
        <v>0.29399999999999998</v>
      </c>
      <c r="G17" s="59">
        <v>0.24560000000000001</v>
      </c>
      <c r="H17" s="59">
        <v>2.4400000000000002E-2</v>
      </c>
      <c r="I17" s="59">
        <v>-2.29E-2</v>
      </c>
      <c r="J17" s="59">
        <v>-2.5100000000000001E-2</v>
      </c>
      <c r="K17" s="59">
        <v>-5.3499999999999999E-2</v>
      </c>
      <c r="L17" s="59">
        <v>0.66200000000000003</v>
      </c>
      <c r="M17" s="60">
        <v>0.8</v>
      </c>
      <c r="N17" s="59">
        <v>0.1031</v>
      </c>
      <c r="O17" s="62">
        <v>1.3</v>
      </c>
    </row>
    <row r="27" spans="3:15" ht="10.8" thickBot="1" x14ac:dyDescent="0.25"/>
    <row r="28" spans="3:15" ht="10.8" thickBot="1" x14ac:dyDescent="0.25">
      <c r="C28" s="51" t="s">
        <v>190</v>
      </c>
      <c r="D28" s="49">
        <f>AVERAGE(D29:O29)</f>
        <v>0.67500000000000016</v>
      </c>
    </row>
    <row r="29" spans="3:15" ht="10.8" thickBot="1" x14ac:dyDescent="0.25">
      <c r="C29" s="52" t="s">
        <v>191</v>
      </c>
      <c r="D29" s="50">
        <f>IFERROR(INDEX(C31:C51,MATCH(D17,D31:D51)),"NA")</f>
        <v>0.5</v>
      </c>
      <c r="E29" s="47">
        <f>IFERROR(INDEX(C31:C51,MATCH(E17,E31:E51)),"NA")</f>
        <v>0.9</v>
      </c>
      <c r="F29" s="47">
        <f>IFERROR(INDEX(C31:C51,MATCH(F17,F31:F51)),"NA")</f>
        <v>0.9</v>
      </c>
      <c r="G29" s="47">
        <f>IFERROR(INDEX(C31:C51,MATCH(G17,G31:G51)),"NA")</f>
        <v>0.95</v>
      </c>
      <c r="H29" s="47">
        <f>IFERROR(INDEX(C31:C51,MATCH(H17,H31:H51)),"NA")</f>
        <v>0.35</v>
      </c>
      <c r="I29" s="47">
        <f>IFERROR(INDEX(C31:C51,MATCH(I17,I31:I51)),"NA")</f>
        <v>0.55000000000000004</v>
      </c>
      <c r="J29" s="47">
        <f>IFERROR(INDEX(C31:C51,MATCH(J17,J31:J51)),"NA")</f>
        <v>0.65</v>
      </c>
      <c r="K29" s="47">
        <f>IFERROR(INDEX(C31:C51,MATCH(K17,K31:K51)),"NA")</f>
        <v>0.75</v>
      </c>
      <c r="L29" s="47">
        <f>IFERROR(INDEX(C31:C51,MATCH(L17,L31:L51)),"NA")</f>
        <v>0.75</v>
      </c>
      <c r="M29" s="47">
        <f>IFERROR((1-INDEX(C31:C51,MATCH(M17,M31:M51))),"NA")</f>
        <v>0.85</v>
      </c>
      <c r="N29" s="47">
        <f>IFERROR(INDEX(C31:C51,MATCH(N17,N31:N51)),"NA")</f>
        <v>0.7</v>
      </c>
      <c r="O29" s="48">
        <f>IFERROR((1-INDEX(C31:C51,MATCH(O17,O31:O51))),"NA")</f>
        <v>0.25</v>
      </c>
    </row>
    <row r="30" spans="3:15" ht="10.8" thickBot="1" x14ac:dyDescent="0.25">
      <c r="C30" s="43" t="s">
        <v>192</v>
      </c>
    </row>
    <row r="31" spans="3:15" x14ac:dyDescent="0.2">
      <c r="C31" s="45">
        <v>0</v>
      </c>
      <c r="D31" s="74">
        <f>PERCENTILE(D7:D16,C31)</f>
        <v>0.19700000000000001</v>
      </c>
      <c r="E31" s="74">
        <f>PERCENTILE(E7:E16,C31)</f>
        <v>7.5999999999999998E-2</v>
      </c>
      <c r="F31" s="74">
        <f>PERCENTILE(F7:F16,C31)</f>
        <v>-6.2E-2</v>
      </c>
      <c r="G31" s="74">
        <f>PERCENTILE(G7:G16,C31)</f>
        <v>-5.0599999999999999E-2</v>
      </c>
      <c r="H31" s="74">
        <f>PERCENTILE(H7:H16,C31)</f>
        <v>-0.27400000000000002</v>
      </c>
      <c r="I31" s="74">
        <f>PERCENTILE(I7:I16,C31)</f>
        <v>-0.72799999999999998</v>
      </c>
      <c r="J31" s="74">
        <f>PERCENTILE(J7:J16,C31)</f>
        <v>-0.65349999999999997</v>
      </c>
      <c r="K31" s="74">
        <f>PERCENTILE(K7:K16,C31)</f>
        <v>-0.79949999999999999</v>
      </c>
      <c r="L31" s="74">
        <f>PERCENTILE(L7:L16,C31)</f>
        <v>5.1200000000000002E-2</v>
      </c>
      <c r="M31" s="77">
        <f>PERCENTILE(M7:M16,C31)</f>
        <v>0.3</v>
      </c>
      <c r="N31" s="74">
        <f>PERCENTILE(N7:N16,C31)</f>
        <v>-5.8599999999999999E-2</v>
      </c>
      <c r="O31" s="80">
        <f>PERCENTILE(O7:O16,C31)</f>
        <v>0.88</v>
      </c>
    </row>
    <row r="32" spans="3:15" x14ac:dyDescent="0.2">
      <c r="C32" s="44">
        <v>0.05</v>
      </c>
      <c r="D32" s="75">
        <f>PERCENTILE(D7:D16,C32)</f>
        <v>0.20824999999999999</v>
      </c>
      <c r="E32" s="75">
        <f>PERCENTILE(E7:E16,C32)</f>
        <v>8.3650000000000002E-2</v>
      </c>
      <c r="F32" s="75">
        <f>PERCENTILE(F7:F16,C32)</f>
        <v>-2.2850000000000009E-2</v>
      </c>
      <c r="G32" s="75">
        <f>PERCENTILE(G7:G16,C32)</f>
        <v>-3.0485000000000002E-2</v>
      </c>
      <c r="H32" s="75">
        <f>PERCENTILE(H7:H16,C32)</f>
        <v>-0.22648000000000001</v>
      </c>
      <c r="I32" s="75">
        <f>PERCENTILE(I7:I16,C32)</f>
        <v>-0.61950499999999997</v>
      </c>
      <c r="J32" s="75">
        <f>PERCENTILE(J7:J16,C32)</f>
        <v>-0.64646000000000003</v>
      </c>
      <c r="K32" s="75">
        <f>PERCENTILE(K7:K16,C32)</f>
        <v>-0.78907000000000005</v>
      </c>
      <c r="L32" s="75">
        <f>PERCENTILE(L7:L16,C32)</f>
        <v>7.3880000000000001E-2</v>
      </c>
      <c r="M32" s="78">
        <f>PERCENTILE(M7:M16,C32)</f>
        <v>0.43499999999999994</v>
      </c>
      <c r="N32" s="75">
        <f>PERCENTILE(N7:N16,C32)</f>
        <v>-4.573E-2</v>
      </c>
      <c r="O32" s="81">
        <f>PERCENTILE(O7:O16,C32)</f>
        <v>0.92049999999999998</v>
      </c>
    </row>
    <row r="33" spans="3:15" x14ac:dyDescent="0.2">
      <c r="C33" s="44">
        <v>0.1</v>
      </c>
      <c r="D33" s="75">
        <f>PERCENTILE(D7:D16,C33)</f>
        <v>0.2195</v>
      </c>
      <c r="E33" s="75">
        <f>PERCENTILE(E7:E16,C33)</f>
        <v>9.1299999999999992E-2</v>
      </c>
      <c r="F33" s="75">
        <f>PERCENTILE(F7:F16,C33)</f>
        <v>1.6299999999999981E-2</v>
      </c>
      <c r="G33" s="75">
        <f>PERCENTILE(G7:G16,C33)</f>
        <v>-1.0370000000000004E-2</v>
      </c>
      <c r="H33" s="75">
        <f>PERCENTILE(H7:H16,C33)</f>
        <v>-0.17896000000000001</v>
      </c>
      <c r="I33" s="75">
        <f>PERCENTILE(I7:I16,C33)</f>
        <v>-0.51100999999999996</v>
      </c>
      <c r="J33" s="75">
        <f>PERCENTILE(J7:J16,C33)</f>
        <v>-0.63941999999999999</v>
      </c>
      <c r="K33" s="75">
        <f>PERCENTILE(K7:K16,C33)</f>
        <v>-0.77864</v>
      </c>
      <c r="L33" s="75">
        <f>PERCENTILE(L7:L16,C33)</f>
        <v>9.6559999999999993E-2</v>
      </c>
      <c r="M33" s="78">
        <f>PERCENTILE(M7:M16,C33)</f>
        <v>0.56999999999999995</v>
      </c>
      <c r="N33" s="75">
        <f>PERCENTILE(N7:N16,C33)</f>
        <v>-3.286E-2</v>
      </c>
      <c r="O33" s="81">
        <f>PERCENTILE(O7:O16,C33)</f>
        <v>0.96099999999999997</v>
      </c>
    </row>
    <row r="34" spans="3:15" x14ac:dyDescent="0.2">
      <c r="C34" s="44">
        <v>0.15</v>
      </c>
      <c r="D34" s="75">
        <f>PERCENTILE(D7:D16,C34)</f>
        <v>0.23635</v>
      </c>
      <c r="E34" s="75">
        <f>PERCENTILE(E7:E16,C34)</f>
        <v>9.8599999999999993E-2</v>
      </c>
      <c r="F34" s="75">
        <f>PERCENTILE(F7:F16,C34)</f>
        <v>3.5149999999999987E-2</v>
      </c>
      <c r="G34" s="75">
        <f>PERCENTILE(G7:G16,C34)</f>
        <v>-9.6500000000000405E-4</v>
      </c>
      <c r="H34" s="75">
        <f>PERCENTILE(H7:H16,C34)</f>
        <v>-0.13690000000000002</v>
      </c>
      <c r="I34" s="75">
        <f>PERCENTILE(I7:I16,C34)</f>
        <v>-0.35995500000000014</v>
      </c>
      <c r="J34" s="75">
        <f>PERCENTILE(J7:J16,C34)</f>
        <v>-0.57303999999999999</v>
      </c>
      <c r="K34" s="75">
        <f>PERCENTILE(K7:K16,C34)</f>
        <v>-0.76125000000000009</v>
      </c>
      <c r="L34" s="75">
        <f>PERCENTILE(L7:L16,C34)</f>
        <v>0.18279999999999991</v>
      </c>
      <c r="M34" s="78">
        <f>PERCENTILE(M7:M16,C34)</f>
        <v>0.73999999999999988</v>
      </c>
      <c r="N34" s="75">
        <f>PERCENTILE(N7:N16,C34)</f>
        <v>-2.9800000000000312E-3</v>
      </c>
      <c r="O34" s="81">
        <f>PERCENTILE(O7:O16,C34)</f>
        <v>0.98749999999999993</v>
      </c>
    </row>
    <row r="35" spans="3:15" x14ac:dyDescent="0.2">
      <c r="C35" s="44">
        <v>0.2</v>
      </c>
      <c r="D35" s="75">
        <f>PERCENTILE(D7:D16,C35)</f>
        <v>0.25480000000000003</v>
      </c>
      <c r="E35" s="75">
        <f>PERCENTILE(E7:E16,C35)</f>
        <v>0.10579999999999999</v>
      </c>
      <c r="F35" s="75">
        <f>PERCENTILE(F7:F16,C35)</f>
        <v>4.8199999999999993E-2</v>
      </c>
      <c r="G35" s="75">
        <f>PERCENTILE(G7:G16,C35)</f>
        <v>5.3799999999999985E-3</v>
      </c>
      <c r="H35" s="75">
        <f>PERCENTILE(H7:H16,C35)</f>
        <v>-9.6400000000000013E-2</v>
      </c>
      <c r="I35" s="75">
        <f>PERCENTILE(I7:I16,C35)</f>
        <v>-0.19674000000000003</v>
      </c>
      <c r="J35" s="75">
        <f>PERCENTILE(J7:J16,C35)</f>
        <v>-0.44731999999999994</v>
      </c>
      <c r="K35" s="75">
        <f>PERCENTILE(K7:K16,C35)</f>
        <v>-0.70209999999999995</v>
      </c>
      <c r="L35" s="75">
        <f>PERCENTILE(L7:L16,C35)</f>
        <v>0.28719999999999996</v>
      </c>
      <c r="M35" s="78">
        <f>PERCENTILE(M7:M16,C35)</f>
        <v>0.91999999999999993</v>
      </c>
      <c r="N35" s="75">
        <f>PERCENTILE(N7:N16,C35)</f>
        <v>3.1759999999999983E-2</v>
      </c>
      <c r="O35" s="81">
        <f>PERCENTILE(O7:O16,C35)</f>
        <v>1.01</v>
      </c>
    </row>
    <row r="36" spans="3:15" x14ac:dyDescent="0.2">
      <c r="C36" s="44">
        <v>0.25</v>
      </c>
      <c r="D36" s="75">
        <f>PERCENTILE(D7:D16,C36)</f>
        <v>0.28100000000000003</v>
      </c>
      <c r="E36" s="75">
        <f>PERCENTILE(E7:E16,C36)</f>
        <v>0.10925</v>
      </c>
      <c r="F36" s="75">
        <f>PERCENTILE(F7:F16,C36)</f>
        <v>5.425E-2</v>
      </c>
      <c r="G36" s="75">
        <f>PERCENTILE(G7:G16,C36)</f>
        <v>1.2125E-2</v>
      </c>
      <c r="H36" s="75">
        <f>PERCENTILE(H7:H16,C36)</f>
        <v>-5.6075E-2</v>
      </c>
      <c r="I36" s="75">
        <f>PERCENTILE(I7:I16,C36)</f>
        <v>-0.114925</v>
      </c>
      <c r="J36" s="75">
        <f>PERCENTILE(J7:J16,C36)</f>
        <v>-0.3216</v>
      </c>
      <c r="K36" s="75">
        <f>PERCENTILE(K7:K16,C36)</f>
        <v>-0.64295000000000002</v>
      </c>
      <c r="L36" s="75">
        <f>PERCENTILE(L7:L16,C36)</f>
        <v>0.34470000000000001</v>
      </c>
      <c r="M36" s="78">
        <f>PERCENTILE(M7:M16,C36)</f>
        <v>1.2250000000000001</v>
      </c>
      <c r="N36" s="75">
        <f>PERCENTILE(N7:N16,C36)</f>
        <v>4.9549999999999997E-2</v>
      </c>
      <c r="O36" s="81">
        <f>PERCENTILE(O7:O16,C36)</f>
        <v>1.04</v>
      </c>
    </row>
    <row r="37" spans="3:15" x14ac:dyDescent="0.2">
      <c r="C37" s="44">
        <v>0.3</v>
      </c>
      <c r="D37" s="75">
        <f>PERCENTILE(D7:D16,C37)</f>
        <v>0.31340000000000001</v>
      </c>
      <c r="E37" s="75">
        <f>PERCENTILE(E7:E16,C37)</f>
        <v>0.10970000000000001</v>
      </c>
      <c r="F37" s="75">
        <f>PERCENTILE(F7:F16,C37)</f>
        <v>5.4699999999999999E-2</v>
      </c>
      <c r="G37" s="75">
        <f>PERCENTILE(G7:G16,C37)</f>
        <v>1.9189999999999995E-2</v>
      </c>
      <c r="H37" s="75">
        <f>PERCENTILE(H7:H16,C37)</f>
        <v>-1.5890000000000029E-2</v>
      </c>
      <c r="I37" s="75">
        <f>PERCENTILE(I7:I16,C37)</f>
        <v>-9.8230000000000012E-2</v>
      </c>
      <c r="J37" s="75">
        <f>PERCENTILE(J7:J16,C37)</f>
        <v>-0.25052000000000002</v>
      </c>
      <c r="K37" s="75">
        <f>PERCENTILE(K7:K16,C37)</f>
        <v>-0.59887999999999997</v>
      </c>
      <c r="L37" s="75">
        <f>PERCENTILE(L7:L16,C37)</f>
        <v>0.36468</v>
      </c>
      <c r="M37" s="78">
        <f>PERCENTILE(M7:M16,C37)</f>
        <v>1.6299999999999997</v>
      </c>
      <c r="N37" s="75">
        <f>PERCENTILE(N7:N16,C37)</f>
        <v>5.3779999999999994E-2</v>
      </c>
      <c r="O37" s="81">
        <f>PERCENTILE(O7:O16,C37)</f>
        <v>1.0760000000000001</v>
      </c>
    </row>
    <row r="38" spans="3:15" x14ac:dyDescent="0.2">
      <c r="C38" s="44">
        <v>0.35</v>
      </c>
      <c r="D38" s="75">
        <f>PERCENTILE(D7:D16,C38)</f>
        <v>0.34220000000000006</v>
      </c>
      <c r="E38" s="75">
        <f>PERCENTILE(E7:E16,C38)</f>
        <v>0.11630000000000001</v>
      </c>
      <c r="F38" s="75">
        <f>PERCENTILE(F7:F16,C38)</f>
        <v>5.5149999999999998E-2</v>
      </c>
      <c r="G38" s="75">
        <f>PERCENTILE(G7:G16,C38)</f>
        <v>2.4695000000000002E-2</v>
      </c>
      <c r="H38" s="75">
        <f>PERCENTILE(H7:H16,C38)</f>
        <v>1.576000000000001E-2</v>
      </c>
      <c r="I38" s="75">
        <f>PERCENTILE(I7:I16,C38)</f>
        <v>-8.4804999999999992E-2</v>
      </c>
      <c r="J38" s="75">
        <f>PERCENTILE(J7:J16,C38)</f>
        <v>-0.17944000000000004</v>
      </c>
      <c r="K38" s="75">
        <f>PERCENTILE(K7:K16,C38)</f>
        <v>-0.59250999999999998</v>
      </c>
      <c r="L38" s="75">
        <f>PERCENTILE(L7:L16,C38)</f>
        <v>0.38044500000000003</v>
      </c>
      <c r="M38" s="78">
        <f>PERCENTILE(M7:M16,C38)</f>
        <v>1.93</v>
      </c>
      <c r="N38" s="75">
        <f>PERCENTILE(N7:N16,C38)</f>
        <v>5.6854999999999996E-2</v>
      </c>
      <c r="O38" s="81">
        <f>PERCENTILE(O7:O16,C38)</f>
        <v>1.1120000000000001</v>
      </c>
    </row>
    <row r="39" spans="3:15" x14ac:dyDescent="0.2">
      <c r="C39" s="44">
        <v>0.4</v>
      </c>
      <c r="D39" s="75">
        <f>PERCENTILE(D7:D16,C39)</f>
        <v>0.36380000000000001</v>
      </c>
      <c r="E39" s="75">
        <f>PERCENTILE(E7:E16,C39)</f>
        <v>0.13519999999999999</v>
      </c>
      <c r="F39" s="75">
        <f>PERCENTILE(F7:F16,C39)</f>
        <v>5.5600000000000004E-2</v>
      </c>
      <c r="G39" s="75">
        <f>PERCENTILE(G7:G16,C39)</f>
        <v>2.708E-2</v>
      </c>
      <c r="H39" s="75">
        <f>PERCENTILE(H7:H16,C39)</f>
        <v>3.0339999999999989E-2</v>
      </c>
      <c r="I39" s="75">
        <f>PERCENTILE(I7:I16,C39)</f>
        <v>-7.7920000000000003E-2</v>
      </c>
      <c r="J39" s="75">
        <f>PERCENTILE(J7:J16,C39)</f>
        <v>-0.1399</v>
      </c>
      <c r="K39" s="75">
        <f>PERCENTILE(K7:K16,C39)</f>
        <v>-0.58613999999999999</v>
      </c>
      <c r="L39" s="75">
        <f>PERCENTILE(L7:L16,C39)</f>
        <v>0.38778000000000001</v>
      </c>
      <c r="M39" s="78">
        <f>PERCENTILE(M7:M16,C39)</f>
        <v>2.02</v>
      </c>
      <c r="N39" s="75">
        <f>PERCENTILE(N7:N16,C39)</f>
        <v>5.7619999999999998E-2</v>
      </c>
      <c r="O39" s="81">
        <f>PERCENTILE(O7:O16,C39)</f>
        <v>1.1479999999999999</v>
      </c>
    </row>
    <row r="40" spans="3:15" x14ac:dyDescent="0.2">
      <c r="C40" s="44">
        <v>0.45</v>
      </c>
      <c r="D40" s="75">
        <f>PERCENTILE(D7:D16,C40)</f>
        <v>0.38619999999999999</v>
      </c>
      <c r="E40" s="75">
        <f>PERCENTILE(E7:E16,C40)</f>
        <v>0.15279999999999999</v>
      </c>
      <c r="F40" s="75">
        <f>PERCENTILE(F7:F16,C40)</f>
        <v>5.7199999999999994E-2</v>
      </c>
      <c r="G40" s="75">
        <f>PERCENTILE(G7:G16,C40)</f>
        <v>2.9919999999999999E-2</v>
      </c>
      <c r="H40" s="75">
        <f>PERCENTILE(H7:H16,C40)</f>
        <v>4.3699999999999996E-2</v>
      </c>
      <c r="I40" s="75">
        <f>PERCENTILE(I7:I16,C40)</f>
        <v>-6.9420000000000009E-2</v>
      </c>
      <c r="J40" s="75">
        <f>PERCENTILE(J7:J16,C40)</f>
        <v>-0.13190000000000002</v>
      </c>
      <c r="K40" s="75">
        <f>PERCENTILE(K7:K16,C40)</f>
        <v>-0.57927499999999998</v>
      </c>
      <c r="L40" s="75">
        <f>PERCENTILE(L7:L16,C40)</f>
        <v>0.39822999999999997</v>
      </c>
      <c r="M40" s="78">
        <f>PERCENTILE(M7:M16,C40)</f>
        <v>2.1</v>
      </c>
      <c r="N40" s="75">
        <f>PERCENTILE(N7:N16,C40)</f>
        <v>5.8299999999999998E-2</v>
      </c>
      <c r="O40" s="81">
        <f>PERCENTILE(O7:O16,C40)</f>
        <v>1.1829999999999998</v>
      </c>
    </row>
    <row r="41" spans="3:15" x14ac:dyDescent="0.2">
      <c r="C41" s="44">
        <v>0.5</v>
      </c>
      <c r="D41" s="75">
        <f>PERCENTILE(D7:D16,C41)</f>
        <v>0.41500000000000004</v>
      </c>
      <c r="E41" s="75">
        <f>PERCENTILE(E7:E16,C41)</f>
        <v>0.16</v>
      </c>
      <c r="F41" s="75">
        <f>PERCENTILE(F7:F16,C41)</f>
        <v>6.8000000000000005E-2</v>
      </c>
      <c r="G41" s="75">
        <f>PERCENTILE(G7:G16,C41)</f>
        <v>3.6400000000000002E-2</v>
      </c>
      <c r="H41" s="75">
        <f>PERCENTILE(H7:H16,C41)</f>
        <v>4.7299999999999995E-2</v>
      </c>
      <c r="I41" s="75">
        <f>PERCENTILE(I7:I16,C41)</f>
        <v>-4.8000000000000001E-2</v>
      </c>
      <c r="J41" s="75">
        <f>PERCENTILE(J7:J16,C41)</f>
        <v>-0.1239</v>
      </c>
      <c r="K41" s="75">
        <f>PERCENTILE(K7:K16,C41)</f>
        <v>-0.57174999999999998</v>
      </c>
      <c r="L41" s="75">
        <f>PERCENTILE(L7:L16,C41)</f>
        <v>0.43359999999999999</v>
      </c>
      <c r="M41" s="78">
        <f>PERCENTILE(M7:M16,C41)</f>
        <v>2.1</v>
      </c>
      <c r="N41" s="75">
        <f>PERCENTILE(N7:N16,C41)</f>
        <v>5.8299999999999998E-2</v>
      </c>
      <c r="O41" s="81">
        <f>PERCENTILE(O7:O16,C41)</f>
        <v>1.21</v>
      </c>
    </row>
    <row r="42" spans="3:15" x14ac:dyDescent="0.2">
      <c r="C42" s="44">
        <v>0.55000000000000004</v>
      </c>
      <c r="D42" s="75">
        <f>PERCENTILE(D7:D16,C42)</f>
        <v>0.44380000000000003</v>
      </c>
      <c r="E42" s="75">
        <f>PERCENTILE(E7:E16,C42)</f>
        <v>0.16720000000000002</v>
      </c>
      <c r="F42" s="75">
        <f>PERCENTILE(F7:F16,C42)</f>
        <v>7.8800000000000009E-2</v>
      </c>
      <c r="G42" s="75">
        <f>PERCENTILE(G7:G16,C42)</f>
        <v>4.2880000000000001E-2</v>
      </c>
      <c r="H42" s="75">
        <f>PERCENTILE(H7:H16,C42)</f>
        <v>5.0900000000000001E-2</v>
      </c>
      <c r="I42" s="75">
        <f>PERCENTILE(I7:I16,C42)</f>
        <v>-2.6579999999999993E-2</v>
      </c>
      <c r="J42" s="75">
        <f>PERCENTILE(J7:J16,C42)</f>
        <v>-9.5619999999999969E-2</v>
      </c>
      <c r="K42" s="75">
        <f>PERCENTILE(K7:K16,C42)</f>
        <v>-0.56422500000000009</v>
      </c>
      <c r="L42" s="75">
        <f>PERCENTILE(L7:L16,C42)</f>
        <v>0.46897</v>
      </c>
      <c r="M42" s="78">
        <f>PERCENTILE(M7:M16,C42)</f>
        <v>2.1</v>
      </c>
      <c r="N42" s="75">
        <f>PERCENTILE(N7:N16,C42)</f>
        <v>5.8299999999999998E-2</v>
      </c>
      <c r="O42" s="81">
        <f>PERCENTILE(O7:O16,C42)</f>
        <v>1.2370000000000001</v>
      </c>
    </row>
    <row r="43" spans="3:15" x14ac:dyDescent="0.2">
      <c r="C43" s="44">
        <v>0.6</v>
      </c>
      <c r="D43" s="75">
        <f>PERCENTILE(D7:D16,C43)</f>
        <v>0.47259999999999996</v>
      </c>
      <c r="E43" s="75">
        <f>PERCENTILE(E7:E16,C43)</f>
        <v>0.1804</v>
      </c>
      <c r="F43" s="75">
        <f>PERCENTILE(F7:F16,C43)</f>
        <v>8.0799999999999997E-2</v>
      </c>
      <c r="G43" s="75">
        <f>PERCENTILE(G7:G16,C43)</f>
        <v>4.8519999999999994E-2</v>
      </c>
      <c r="H43" s="75">
        <f>PERCENTILE(H7:H16,C43)</f>
        <v>5.1899999999999995E-2</v>
      </c>
      <c r="I43" s="75">
        <f>PERCENTILE(I7:I16,C43)</f>
        <v>-6.0000000000000227E-3</v>
      </c>
      <c r="J43" s="75">
        <f>PERCENTILE(J7:J16,C43)</f>
        <v>-6.7340000000000011E-2</v>
      </c>
      <c r="K43" s="75">
        <f>PERCENTILE(K7:K16,C43)</f>
        <v>-0.49159999999999998</v>
      </c>
      <c r="L43" s="75">
        <f>PERCENTILE(L7:L16,C43)</f>
        <v>0.47482000000000002</v>
      </c>
      <c r="M43" s="78">
        <f>PERCENTILE(M7:M16,C43)</f>
        <v>2.2999999999999998</v>
      </c>
      <c r="N43" s="75">
        <f>PERCENTILE(N7:N16,C43)</f>
        <v>6.085999999999999E-2</v>
      </c>
      <c r="O43" s="81">
        <f>PERCENTILE(O7:O16,C43)</f>
        <v>1.248</v>
      </c>
    </row>
    <row r="44" spans="3:15" x14ac:dyDescent="0.2">
      <c r="C44" s="44">
        <v>0.65</v>
      </c>
      <c r="D44" s="75">
        <f>PERCENTILE(D7:D16,C44)</f>
        <v>0.50140000000000007</v>
      </c>
      <c r="E44" s="75">
        <f>PERCENTILE(E7:E16,C44)</f>
        <v>0.19435000000000002</v>
      </c>
      <c r="F44" s="75">
        <f>PERCENTILE(F7:F16,C44)</f>
        <v>8.1700000000000009E-2</v>
      </c>
      <c r="G44" s="75">
        <f>PERCENTILE(G7:G16,C44)</f>
        <v>5.4055000000000006E-2</v>
      </c>
      <c r="H44" s="75">
        <f>PERCENTILE(H7:H16,C44)</f>
        <v>5.2574999999999997E-2</v>
      </c>
      <c r="I44" s="75">
        <f>PERCENTILE(I7:I16,C44)</f>
        <v>1.4475000000000023E-2</v>
      </c>
      <c r="J44" s="75">
        <f>PERCENTILE(J7:J16,C44)</f>
        <v>-3.1019999999999978E-2</v>
      </c>
      <c r="K44" s="75">
        <f>PERCENTILE(K7:K16,C44)</f>
        <v>-0.37015000000000009</v>
      </c>
      <c r="L44" s="75">
        <f>PERCENTILE(L7:L16,C44)</f>
        <v>0.47698000000000002</v>
      </c>
      <c r="M44" s="78">
        <f>PERCENTILE(M7:M16,C44)</f>
        <v>2.5250000000000004</v>
      </c>
      <c r="N44" s="75">
        <f>PERCENTILE(N7:N16,C44)</f>
        <v>6.3739999999999991E-2</v>
      </c>
      <c r="O44" s="81">
        <f>PERCENTILE(O7:O16,C44)</f>
        <v>1.2570000000000001</v>
      </c>
    </row>
    <row r="45" spans="3:15" x14ac:dyDescent="0.2">
      <c r="C45" s="44">
        <v>0.7</v>
      </c>
      <c r="D45" s="75">
        <f>PERCENTILE(D7:D16,C45)</f>
        <v>0.52360000000000007</v>
      </c>
      <c r="E45" s="75">
        <f>PERCENTILE(E7:E16,C45)</f>
        <v>0.2011</v>
      </c>
      <c r="F45" s="75">
        <f>PERCENTILE(F7:F16,C45)</f>
        <v>0.11019999999999998</v>
      </c>
      <c r="G45" s="75">
        <f>PERCENTILE(G7:G16,C45)</f>
        <v>9.891999999999998E-2</v>
      </c>
      <c r="H45" s="75">
        <f>PERCENTILE(H7:H16,C45)</f>
        <v>6.656999999999999E-2</v>
      </c>
      <c r="I45" s="75">
        <f>PERCENTILE(I7:I16,C45)</f>
        <v>2.4419999999999997E-2</v>
      </c>
      <c r="J45" s="75">
        <f>PERCENTILE(J7:J16,C45)</f>
        <v>1.3339999999999963E-2</v>
      </c>
      <c r="K45" s="75">
        <f>PERCENTILE(K7:K16,C45)</f>
        <v>-0.24870000000000014</v>
      </c>
      <c r="L45" s="75">
        <f>PERCENTILE(L7:L16,C45)</f>
        <v>0.54720999999999997</v>
      </c>
      <c r="M45" s="78">
        <f>PERCENTILE(M7:M16,C45)</f>
        <v>2.9299999999999997</v>
      </c>
      <c r="N45" s="75">
        <f>PERCENTILE(N7:N16,C45)</f>
        <v>9.5959999999999976E-2</v>
      </c>
      <c r="O45" s="81">
        <f>PERCENTILE(O7:O16,C45)</f>
        <v>1.2629999999999999</v>
      </c>
    </row>
    <row r="46" spans="3:15" x14ac:dyDescent="0.2">
      <c r="C46" s="44">
        <v>0.75</v>
      </c>
      <c r="D46" s="75">
        <f>PERCENTILE(D7:D16,C46)</f>
        <v>0.54249999999999998</v>
      </c>
      <c r="E46" s="75">
        <f>PERCENTILE(E7:E16,C46)</f>
        <v>0.20424999999999999</v>
      </c>
      <c r="F46" s="75">
        <f>PERCENTILE(F7:F16,C46)</f>
        <v>0.1525</v>
      </c>
      <c r="G46" s="75">
        <f>PERCENTILE(G7:G16,C46)</f>
        <v>0.16345000000000001</v>
      </c>
      <c r="H46" s="75">
        <f>PERCENTILE(H7:H16,C46)</f>
        <v>8.7224999999999997E-2</v>
      </c>
      <c r="I46" s="75">
        <f>PERCENTILE(I7:I16,C46)</f>
        <v>2.9100000000000001E-2</v>
      </c>
      <c r="J46" s="75">
        <f>PERCENTILE(J7:J16,C46)</f>
        <v>5.7700000000000001E-2</v>
      </c>
      <c r="K46" s="75">
        <f>PERCENTILE(K7:K16,C46)</f>
        <v>-0.115825</v>
      </c>
      <c r="L46" s="75">
        <f>PERCENTILE(L7:L16,C46)</f>
        <v>0.65147500000000003</v>
      </c>
      <c r="M46" s="78">
        <f>PERCENTILE(M7:M16,C46)</f>
        <v>3.4250000000000003</v>
      </c>
      <c r="N46" s="75">
        <f>PERCENTILE(N7:N16,C46)</f>
        <v>0.14284999999999998</v>
      </c>
      <c r="O46" s="81">
        <f>PERCENTILE(O7:O16,C46)</f>
        <v>1.2675000000000001</v>
      </c>
    </row>
    <row r="47" spans="3:15" x14ac:dyDescent="0.2">
      <c r="C47" s="44">
        <v>0.8</v>
      </c>
      <c r="D47" s="75">
        <f>PERCENTILE(D7:D16,C47)</f>
        <v>0.55679999999999996</v>
      </c>
      <c r="E47" s="75">
        <f>PERCENTILE(E7:E16,C47)</f>
        <v>0.22619999999999993</v>
      </c>
      <c r="F47" s="75">
        <f>PERCENTILE(F7:F16,C47)</f>
        <v>0.19159999999999994</v>
      </c>
      <c r="G47" s="75">
        <f>PERCENTILE(G7:G16,C47)</f>
        <v>0.2006</v>
      </c>
      <c r="H47" s="75">
        <f>PERCENTILE(H7:H16,C47)</f>
        <v>0.11737999999999993</v>
      </c>
      <c r="I47" s="75">
        <f>PERCENTILE(I7:I16,C47)</f>
        <v>5.7179999999999905E-2</v>
      </c>
      <c r="J47" s="75">
        <f>PERCENTILE(J7:J16,C47)</f>
        <v>0.13010000000000005</v>
      </c>
      <c r="K47" s="75">
        <f>PERCENTILE(K7:K16,C47)</f>
        <v>2.1620000000000222E-2</v>
      </c>
      <c r="L47" s="75">
        <f>PERCENTILE(L7:L16,C47)</f>
        <v>0.78955999999999971</v>
      </c>
      <c r="M47" s="78">
        <f>PERCENTILE(M7:M16,C47)</f>
        <v>3.78</v>
      </c>
      <c r="N47" s="75">
        <f>PERCENTILE(N7:N16,C47)</f>
        <v>0.19005999999999992</v>
      </c>
      <c r="O47" s="81">
        <f>PERCENTILE(O7:O16,C47)</f>
        <v>1.3539999999999996</v>
      </c>
    </row>
    <row r="48" spans="3:15" x14ac:dyDescent="0.2">
      <c r="C48" s="44">
        <v>0.85</v>
      </c>
      <c r="D48" s="75">
        <f>PERCENTILE(D7:D16,C48)</f>
        <v>0.56534999999999991</v>
      </c>
      <c r="E48" s="75">
        <f>PERCENTILE(E7:E16,C48)</f>
        <v>0.27164999999999984</v>
      </c>
      <c r="F48" s="75">
        <f>PERCENTILE(F7:F16,C48)</f>
        <v>0.2266999999999999</v>
      </c>
      <c r="G48" s="75">
        <f>PERCENTILE(G7:G16,C48)</f>
        <v>0.20352500000000001</v>
      </c>
      <c r="H48" s="75">
        <f>PERCENTILE(H7:H16,C48)</f>
        <v>0.15940999999999986</v>
      </c>
      <c r="I48" s="75">
        <f>PERCENTILE(I7:I16,C48)</f>
        <v>0.11450999999999981</v>
      </c>
      <c r="J48" s="75">
        <f>PERCENTILE(J7:J16,C48)</f>
        <v>0.20249999999999996</v>
      </c>
      <c r="K48" s="75">
        <f>PERCENTILE(K7:K16,C48)</f>
        <v>0.1590650000000001</v>
      </c>
      <c r="L48" s="75">
        <f>PERCENTILE(L7:L16,C48)</f>
        <v>0.96991999999999945</v>
      </c>
      <c r="M48" s="78">
        <f>PERCENTILE(M7:M16,C48)</f>
        <v>3.9599999999999991</v>
      </c>
      <c r="N48" s="75">
        <f>PERCENTILE(N7:N16,C48)</f>
        <v>0.23766999999999985</v>
      </c>
      <c r="O48" s="81">
        <f>PERCENTILE(O7:O16,C48)</f>
        <v>1.5429999999999993</v>
      </c>
    </row>
    <row r="49" spans="3:15" x14ac:dyDescent="0.2">
      <c r="C49" s="44">
        <v>0.9</v>
      </c>
      <c r="D49" s="75">
        <f>PERCENTILE(D7:D16,C49)</f>
        <v>0.58019999999999994</v>
      </c>
      <c r="E49" s="75">
        <f>PERCENTILE(E7:E16,C49)</f>
        <v>0.31419999999999998</v>
      </c>
      <c r="F49" s="75">
        <f>PERCENTILE(F7:F16,C49)</f>
        <v>0.26239999999999997</v>
      </c>
      <c r="G49" s="75">
        <f>PERCENTILE(G7:G16,C49)</f>
        <v>0.21261999999999998</v>
      </c>
      <c r="H49" s="75">
        <f>PERCENTILE(H7:H16,C49)</f>
        <v>0.21649999999999991</v>
      </c>
      <c r="I49" s="75">
        <f>PERCENTILE(I7:I16,C49)</f>
        <v>0.17097999999999994</v>
      </c>
      <c r="J49" s="75">
        <f>PERCENTILE(J7:J16,C49)</f>
        <v>0.25231999999999993</v>
      </c>
      <c r="K49" s="75">
        <f>PERCENTILE(K7:K16,C49)</f>
        <v>0.20689999999999997</v>
      </c>
      <c r="L49" s="75">
        <f>PERCENTILE(L7:L16,C49)</f>
        <v>1.14344</v>
      </c>
      <c r="M49" s="78">
        <f>PERCENTILE(M7:M16,C49)</f>
        <v>4.2299999999999995</v>
      </c>
      <c r="N49" s="75">
        <f>PERCENTILE(N7:N16,C49)</f>
        <v>0.27481</v>
      </c>
      <c r="O49" s="81">
        <f>PERCENTILE(O7:O16,C49)</f>
        <v>1.7149999999999999</v>
      </c>
    </row>
    <row r="50" spans="3:15" x14ac:dyDescent="0.2">
      <c r="C50" s="44">
        <v>0.95</v>
      </c>
      <c r="D50" s="75">
        <f>PERCENTILE(D7:D16,C50)</f>
        <v>0.61709999999999987</v>
      </c>
      <c r="E50" s="75">
        <f>PERCENTILE(E7:E16,C50)</f>
        <v>0.34659999999999991</v>
      </c>
      <c r="F50" s="75">
        <f>PERCENTILE(F7:F16,C50)</f>
        <v>0.30019999999999991</v>
      </c>
      <c r="G50" s="75">
        <f>PERCENTILE(G7:G16,C50)</f>
        <v>0.24330999999999994</v>
      </c>
      <c r="H50" s="75">
        <f>PERCENTILE(H7:H16,C50)</f>
        <v>0.3262999999999997</v>
      </c>
      <c r="I50" s="75">
        <f>PERCENTILE(I7:I16,C50)</f>
        <v>0.22443999999999986</v>
      </c>
      <c r="J50" s="75">
        <f>PERCENTILE(J7:J16,C50)</f>
        <v>0.27955999999999998</v>
      </c>
      <c r="K50" s="75">
        <f>PERCENTILE(K7:K16,C50)</f>
        <v>0.23979999999999996</v>
      </c>
      <c r="L50" s="75">
        <f>PERCENTILE(L7:L16,C50)</f>
        <v>1.2930199999999998</v>
      </c>
      <c r="M50" s="78">
        <f>PERCENTILE(M7:M16,C50)</f>
        <v>4.8149999999999986</v>
      </c>
      <c r="N50" s="75">
        <f>PERCENTILE(N7:N16,C50)</f>
        <v>0.27530499999999997</v>
      </c>
      <c r="O50" s="81">
        <f>PERCENTILE(O7:O16,C50)</f>
        <v>1.8274999999999997</v>
      </c>
    </row>
    <row r="51" spans="3:15" ht="10.8" thickBot="1" x14ac:dyDescent="0.25">
      <c r="C51" s="46">
        <v>1</v>
      </c>
      <c r="D51" s="76">
        <f>PERCENTILE(D7:D16,C51)</f>
        <v>0.65400000000000003</v>
      </c>
      <c r="E51" s="76">
        <f>PERCENTILE(E7:E16,C51)</f>
        <v>0.379</v>
      </c>
      <c r="F51" s="76">
        <f>PERCENTILE(F7:F16,C51)</f>
        <v>0.33800000000000002</v>
      </c>
      <c r="G51" s="76">
        <f>PERCENTILE(G7:G16,C51)</f>
        <v>0.27400000000000002</v>
      </c>
      <c r="H51" s="76">
        <f>PERCENTILE(H7:H16,C51)</f>
        <v>0.43609999999999999</v>
      </c>
      <c r="I51" s="76">
        <f>PERCENTILE(I7:I16,C51)</f>
        <v>0.27789999999999998</v>
      </c>
      <c r="J51" s="76">
        <f>PERCENTILE(J7:J16,C51)</f>
        <v>0.30680000000000002</v>
      </c>
      <c r="K51" s="76">
        <f>PERCENTILE(K7:K16,C51)</f>
        <v>0.2727</v>
      </c>
      <c r="L51" s="76">
        <f>PERCENTILE(L7:L16,C51)</f>
        <v>1.4426000000000001</v>
      </c>
      <c r="M51" s="79">
        <f>PERCENTILE(M7:M16,C51)</f>
        <v>5.4</v>
      </c>
      <c r="N51" s="76">
        <f>PERCENTILE(N7:N16,C51)</f>
        <v>0.27579999999999999</v>
      </c>
      <c r="O51" s="82">
        <f>PERCENTILE(O7:O16,C51)</f>
        <v>1.94</v>
      </c>
    </row>
  </sheetData>
  <conditionalFormatting sqref="D29:O2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0B5F1-9605-4E6A-87FF-268CCCB24DEA}">
  <sheetPr codeName="Sheet3">
    <outlinePr summaryBelow="0" summaryRight="0"/>
  </sheetPr>
  <dimension ref="A4:IU50"/>
  <sheetViews>
    <sheetView defaultGridColor="0" colorId="0" workbookViewId="0"/>
  </sheetViews>
  <sheetFormatPr defaultRowHeight="10.199999999999999" x14ac:dyDescent="0.2"/>
  <cols>
    <col min="1" max="1" width="47.88671875" customWidth="1"/>
    <col min="2" max="17" width="20.88671875" customWidth="1"/>
  </cols>
  <sheetData>
    <row r="4" spans="1:255" ht="16.2" x14ac:dyDescent="0.25">
      <c r="A4" s="1" t="s">
        <v>0</v>
      </c>
    </row>
    <row r="7" spans="1:255" x14ac:dyDescent="0.2">
      <c r="A7" s="2" t="s">
        <v>1</v>
      </c>
      <c r="B7" s="2"/>
      <c r="C7" s="2"/>
      <c r="D7" s="2"/>
      <c r="E7" s="2"/>
      <c r="F7" s="2"/>
      <c r="G7" s="2"/>
      <c r="H7" s="2"/>
      <c r="I7" s="2"/>
      <c r="J7" s="2"/>
      <c r="K7" s="2"/>
      <c r="L7" s="2"/>
      <c r="M7" s="2"/>
      <c r="N7" s="2"/>
      <c r="O7" s="2"/>
      <c r="P7" s="2"/>
      <c r="Q7" s="2"/>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2</v>
      </c>
      <c r="B8" s="4" t="s">
        <v>3</v>
      </c>
    </row>
    <row r="9" spans="1:255" x14ac:dyDescent="0.2">
      <c r="A9" s="3" t="s">
        <v>4</v>
      </c>
      <c r="B9" s="4" t="s">
        <v>5</v>
      </c>
    </row>
    <row r="10" spans="1:255" x14ac:dyDescent="0.2">
      <c r="A10" s="3" t="s">
        <v>6</v>
      </c>
      <c r="B10" s="5">
        <v>45043</v>
      </c>
    </row>
    <row r="11" spans="1:255" x14ac:dyDescent="0.2">
      <c r="A11" s="6"/>
    </row>
    <row r="13" spans="1:255" x14ac:dyDescent="0.2">
      <c r="A13" s="2" t="s">
        <v>7</v>
      </c>
      <c r="B13" s="2"/>
      <c r="C13" s="2"/>
      <c r="D13" s="2"/>
      <c r="E13" s="2"/>
      <c r="F13" s="2"/>
      <c r="G13" s="2"/>
      <c r="H13" s="2"/>
      <c r="I13" s="2"/>
      <c r="J13" s="2"/>
      <c r="K13" s="2"/>
      <c r="L13" s="2"/>
      <c r="M13" s="2"/>
      <c r="N13" s="2"/>
      <c r="O13" s="2"/>
      <c r="P13" s="2"/>
      <c r="Q13" s="2"/>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7" t="s">
        <v>8</v>
      </c>
      <c r="B14" s="11" t="s">
        <v>9</v>
      </c>
      <c r="C14" s="11" t="s">
        <v>10</v>
      </c>
      <c r="D14" s="11" t="s">
        <v>11</v>
      </c>
      <c r="E14" s="11" t="s">
        <v>12</v>
      </c>
      <c r="F14" s="11" t="s">
        <v>13</v>
      </c>
      <c r="G14" s="11" t="s">
        <v>14</v>
      </c>
      <c r="H14" s="11" t="s">
        <v>15</v>
      </c>
      <c r="I14" s="11" t="s">
        <v>16</v>
      </c>
      <c r="J14" s="15" t="s">
        <v>17</v>
      </c>
      <c r="K14" s="11" t="s">
        <v>18</v>
      </c>
      <c r="L14" s="11" t="s">
        <v>19</v>
      </c>
      <c r="M14" s="11" t="s">
        <v>20</v>
      </c>
      <c r="N14" s="11" t="s">
        <v>21</v>
      </c>
      <c r="O14" s="11" t="s">
        <v>22</v>
      </c>
      <c r="P14" s="11" t="s">
        <v>23</v>
      </c>
      <c r="Q14" s="11" t="s">
        <v>24</v>
      </c>
    </row>
    <row r="15" spans="1:255" ht="12" customHeight="1" x14ac:dyDescent="0.2">
      <c r="A15" s="7" t="s">
        <v>25</v>
      </c>
      <c r="B15" s="12">
        <v>109.82</v>
      </c>
      <c r="C15" s="13">
        <v>10258</v>
      </c>
      <c r="D15" s="13">
        <v>1126533.7</v>
      </c>
      <c r="E15" s="13">
        <v>76946</v>
      </c>
      <c r="F15" s="14" t="s">
        <v>26</v>
      </c>
      <c r="G15" s="14" t="s">
        <v>26</v>
      </c>
      <c r="H15" s="13">
        <v>1203479.7</v>
      </c>
      <c r="I15" s="12">
        <v>12.85</v>
      </c>
      <c r="J15" s="16">
        <v>45043</v>
      </c>
      <c r="K15" s="13">
        <v>524897</v>
      </c>
      <c r="L15" s="13">
        <v>57204</v>
      </c>
      <c r="M15" s="13">
        <v>13353</v>
      </c>
      <c r="N15" s="12">
        <v>0.42</v>
      </c>
      <c r="O15" s="14" t="s">
        <v>26</v>
      </c>
      <c r="P15" s="14" t="s">
        <v>26</v>
      </c>
      <c r="Q15" s="14" t="s">
        <v>26</v>
      </c>
    </row>
    <row r="16" spans="1:255" ht="12" customHeight="1" x14ac:dyDescent="0.2">
      <c r="A16" s="7" t="s">
        <v>27</v>
      </c>
      <c r="B16" s="12">
        <v>107.59</v>
      </c>
      <c r="C16" s="13">
        <v>12697</v>
      </c>
      <c r="D16" s="13">
        <v>1370652</v>
      </c>
      <c r="E16" s="13">
        <v>-85609</v>
      </c>
      <c r="F16" s="14" t="s">
        <v>26</v>
      </c>
      <c r="G16" s="14" t="s">
        <v>26</v>
      </c>
      <c r="H16" s="13">
        <v>1285043</v>
      </c>
      <c r="I16" s="12">
        <v>18.07</v>
      </c>
      <c r="J16" s="16">
        <v>45042</v>
      </c>
      <c r="K16" s="13">
        <v>284612</v>
      </c>
      <c r="L16" s="13">
        <v>87496</v>
      </c>
      <c r="M16" s="13">
        <v>72163</v>
      </c>
      <c r="N16" s="12">
        <v>4.5</v>
      </c>
      <c r="O16" s="12">
        <v>305093.65000000002</v>
      </c>
      <c r="P16" s="12">
        <v>122110.19</v>
      </c>
      <c r="Q16" s="12">
        <v>5.54</v>
      </c>
    </row>
    <row r="17" spans="1:17" ht="12" customHeight="1" x14ac:dyDescent="0.2">
      <c r="A17" s="7" t="s">
        <v>28</v>
      </c>
      <c r="B17" s="12">
        <v>42.8</v>
      </c>
      <c r="C17" s="13">
        <v>731.2</v>
      </c>
      <c r="D17" s="13">
        <v>31295.599999999999</v>
      </c>
      <c r="E17" s="13">
        <v>21877</v>
      </c>
      <c r="F17" s="14" t="s">
        <v>26</v>
      </c>
      <c r="G17" s="12">
        <v>97</v>
      </c>
      <c r="H17" s="13">
        <v>53269.599999999999</v>
      </c>
      <c r="I17" s="12">
        <v>-41.81</v>
      </c>
      <c r="J17" s="16">
        <v>45015</v>
      </c>
      <c r="K17" s="13">
        <v>102301</v>
      </c>
      <c r="L17" s="13">
        <v>7807</v>
      </c>
      <c r="M17" s="13">
        <v>5771</v>
      </c>
      <c r="N17" s="12">
        <v>3.24</v>
      </c>
      <c r="O17" s="12">
        <v>87066.23</v>
      </c>
      <c r="P17" s="12">
        <v>9420.16</v>
      </c>
      <c r="Q17" s="12">
        <v>5.3</v>
      </c>
    </row>
    <row r="18" spans="1:17" ht="12" customHeight="1" x14ac:dyDescent="0.2">
      <c r="A18" s="7" t="s">
        <v>29</v>
      </c>
      <c r="B18" s="12">
        <v>14.26</v>
      </c>
      <c r="C18" s="13">
        <v>1295.9000000000001</v>
      </c>
      <c r="D18" s="13">
        <v>18479.099999999999</v>
      </c>
      <c r="E18" s="13">
        <v>11533</v>
      </c>
      <c r="F18" s="14" t="s">
        <v>26</v>
      </c>
      <c r="G18" s="12">
        <v>52</v>
      </c>
      <c r="H18" s="13">
        <v>30064.1</v>
      </c>
      <c r="I18" s="12">
        <v>1.48</v>
      </c>
      <c r="J18" s="16">
        <v>44992</v>
      </c>
      <c r="K18" s="13">
        <v>29344</v>
      </c>
      <c r="L18" s="13">
        <v>4934</v>
      </c>
      <c r="M18" s="13">
        <v>2419</v>
      </c>
      <c r="N18" s="12">
        <v>0.65</v>
      </c>
      <c r="O18" s="12">
        <v>29639.11</v>
      </c>
      <c r="P18" s="12">
        <v>5420.7</v>
      </c>
      <c r="Q18" s="12">
        <v>1.95</v>
      </c>
    </row>
    <row r="19" spans="1:17" ht="12" customHeight="1" x14ac:dyDescent="0.2">
      <c r="A19" s="7" t="s">
        <v>30</v>
      </c>
      <c r="B19" s="12">
        <v>29.72</v>
      </c>
      <c r="C19" s="13">
        <v>985.3</v>
      </c>
      <c r="D19" s="13">
        <v>29284</v>
      </c>
      <c r="E19" s="13">
        <v>10388</v>
      </c>
      <c r="F19" s="14" t="s">
        <v>26</v>
      </c>
      <c r="G19" s="14" t="s">
        <v>26</v>
      </c>
      <c r="H19" s="13">
        <v>39672</v>
      </c>
      <c r="I19" s="12">
        <v>-14.39</v>
      </c>
      <c r="J19" s="16">
        <v>44986</v>
      </c>
      <c r="K19" s="13">
        <v>59783</v>
      </c>
      <c r="L19" s="13">
        <v>5562</v>
      </c>
      <c r="M19" s="13">
        <v>4770</v>
      </c>
      <c r="N19" s="12">
        <v>2.54</v>
      </c>
      <c r="O19" s="12">
        <v>55699.93</v>
      </c>
      <c r="P19" s="12">
        <v>5571.67</v>
      </c>
      <c r="Q19" s="12">
        <v>3.46</v>
      </c>
    </row>
    <row r="20" spans="1:17" ht="12" customHeight="1" x14ac:dyDescent="0.2">
      <c r="A20" s="7" t="s">
        <v>31</v>
      </c>
      <c r="B20" s="12">
        <v>63.44</v>
      </c>
      <c r="C20" s="13">
        <v>213.9</v>
      </c>
      <c r="D20" s="13">
        <v>13570.1</v>
      </c>
      <c r="E20" s="13">
        <v>-457</v>
      </c>
      <c r="F20" s="14" t="s">
        <v>26</v>
      </c>
      <c r="G20" s="14" t="s">
        <v>26</v>
      </c>
      <c r="H20" s="13">
        <v>13113.1</v>
      </c>
      <c r="I20" s="12">
        <v>-8.7100000000000009</v>
      </c>
      <c r="J20" s="16">
        <v>44986</v>
      </c>
      <c r="K20" s="13">
        <v>6461</v>
      </c>
      <c r="L20" s="13">
        <v>1330</v>
      </c>
      <c r="M20" s="13">
        <v>1138</v>
      </c>
      <c r="N20" s="12">
        <v>5.78</v>
      </c>
      <c r="O20" s="12">
        <v>6133.44</v>
      </c>
      <c r="P20" s="12">
        <v>1539.18</v>
      </c>
      <c r="Q20" s="12">
        <v>5.37</v>
      </c>
    </row>
    <row r="21" spans="1:17" ht="12" customHeight="1" x14ac:dyDescent="0.2">
      <c r="A21" s="7" t="s">
        <v>32</v>
      </c>
      <c r="B21" s="12">
        <v>113.92</v>
      </c>
      <c r="C21" s="13">
        <v>1115</v>
      </c>
      <c r="D21" s="13">
        <v>127020.8</v>
      </c>
      <c r="E21" s="13">
        <v>8639</v>
      </c>
      <c r="F21" s="14" t="s">
        <v>26</v>
      </c>
      <c r="G21" s="14" t="s">
        <v>26</v>
      </c>
      <c r="H21" s="13">
        <v>135659.79999999999</v>
      </c>
      <c r="I21" s="12">
        <v>5.76</v>
      </c>
      <c r="J21" s="16">
        <v>44959</v>
      </c>
      <c r="K21" s="13">
        <v>42958</v>
      </c>
      <c r="L21" s="13">
        <v>16295</v>
      </c>
      <c r="M21" s="13">
        <v>14541</v>
      </c>
      <c r="N21" s="12">
        <v>10.44</v>
      </c>
      <c r="O21" s="12">
        <v>39551.65</v>
      </c>
      <c r="P21" s="12">
        <v>15256.79</v>
      </c>
      <c r="Q21" s="12">
        <v>9.93</v>
      </c>
    </row>
    <row r="22" spans="1:17" ht="12" customHeight="1" x14ac:dyDescent="0.2">
      <c r="A22" s="7" t="s">
        <v>33</v>
      </c>
      <c r="B22" s="12">
        <v>29.86</v>
      </c>
      <c r="C22" s="13">
        <v>4137</v>
      </c>
      <c r="D22" s="13">
        <v>123530.8</v>
      </c>
      <c r="E22" s="13">
        <v>22739</v>
      </c>
      <c r="F22" s="14" t="s">
        <v>26</v>
      </c>
      <c r="G22" s="12">
        <v>2344</v>
      </c>
      <c r="H22" s="13">
        <v>148613.79999999999</v>
      </c>
      <c r="I22" s="12">
        <v>15.56</v>
      </c>
      <c r="J22" s="16">
        <v>45043</v>
      </c>
      <c r="K22" s="13">
        <v>56416</v>
      </c>
      <c r="L22" s="13">
        <v>8580</v>
      </c>
      <c r="M22" s="13">
        <v>-3473</v>
      </c>
      <c r="N22" s="12">
        <v>-0.7</v>
      </c>
      <c r="O22" s="14" t="s">
        <v>26</v>
      </c>
      <c r="P22" s="12">
        <v>15019.94</v>
      </c>
      <c r="Q22" s="12">
        <v>1</v>
      </c>
    </row>
    <row r="23" spans="1:17" ht="12" customHeight="1" x14ac:dyDescent="0.2">
      <c r="A23" s="7" t="s">
        <v>34</v>
      </c>
      <c r="B23" s="12">
        <v>32.76</v>
      </c>
      <c r="C23" s="13">
        <v>319.3</v>
      </c>
      <c r="D23" s="13">
        <v>10461.200000000001</v>
      </c>
      <c r="E23" s="13">
        <v>5490</v>
      </c>
      <c r="F23" s="14" t="s">
        <v>26</v>
      </c>
      <c r="G23" s="14" t="s">
        <v>26</v>
      </c>
      <c r="H23" s="13">
        <v>15951.2</v>
      </c>
      <c r="I23" s="12">
        <v>6.08</v>
      </c>
      <c r="J23" s="16">
        <v>44960</v>
      </c>
      <c r="K23" s="13">
        <v>15752</v>
      </c>
      <c r="L23" s="13">
        <v>1739</v>
      </c>
      <c r="M23" s="13">
        <v>872</v>
      </c>
      <c r="N23" s="12">
        <v>-0.3</v>
      </c>
      <c r="O23" s="12">
        <v>12221.77</v>
      </c>
      <c r="P23" s="12">
        <v>498.17</v>
      </c>
      <c r="Q23" s="12">
        <v>-3.25</v>
      </c>
    </row>
    <row r="24" spans="1:17" ht="12" customHeight="1" x14ac:dyDescent="0.2">
      <c r="A24" s="7" t="s">
        <v>35</v>
      </c>
      <c r="B24" s="12">
        <v>87.44</v>
      </c>
      <c r="C24" s="13">
        <v>1609.4</v>
      </c>
      <c r="D24" s="13">
        <v>140726.5</v>
      </c>
      <c r="E24" s="13">
        <v>-2899</v>
      </c>
      <c r="F24" s="14" t="s">
        <v>26</v>
      </c>
      <c r="G24" s="14" t="s">
        <v>26</v>
      </c>
      <c r="H24" s="13">
        <v>137827.5</v>
      </c>
      <c r="I24" s="12">
        <v>3.78</v>
      </c>
      <c r="J24" s="16">
        <v>44984</v>
      </c>
      <c r="K24" s="13">
        <v>23601</v>
      </c>
      <c r="L24" s="13">
        <v>4700</v>
      </c>
      <c r="M24" s="13">
        <v>1264</v>
      </c>
      <c r="N24" s="12">
        <v>0.84</v>
      </c>
      <c r="O24" s="12">
        <v>23591.23</v>
      </c>
      <c r="P24" s="12">
        <v>7149.65</v>
      </c>
      <c r="Q24" s="12">
        <v>3.02</v>
      </c>
    </row>
    <row r="25" spans="1:17" x14ac:dyDescent="0.2">
      <c r="A25" s="7" t="s">
        <v>36</v>
      </c>
      <c r="B25" s="12">
        <v>168.41</v>
      </c>
      <c r="C25" s="13">
        <v>15821.9</v>
      </c>
      <c r="D25" s="13">
        <v>2664573.9</v>
      </c>
      <c r="E25" s="13">
        <v>-54340</v>
      </c>
      <c r="F25" s="14" t="s">
        <v>26</v>
      </c>
      <c r="G25" s="14" t="s">
        <v>26</v>
      </c>
      <c r="H25" s="13">
        <v>2610233.9</v>
      </c>
      <c r="I25" s="12">
        <v>3.58</v>
      </c>
      <c r="J25" s="16">
        <v>44960</v>
      </c>
      <c r="K25" s="13">
        <v>387537</v>
      </c>
      <c r="L25" s="13">
        <v>125288</v>
      </c>
      <c r="M25" s="13">
        <v>113965</v>
      </c>
      <c r="N25" s="12">
        <v>5.87</v>
      </c>
      <c r="O25" s="12">
        <v>397148.5</v>
      </c>
      <c r="P25" s="12">
        <v>125332.62</v>
      </c>
      <c r="Q25" s="12">
        <v>6.17</v>
      </c>
    </row>
    <row r="26" spans="1:17" x14ac:dyDescent="0.2">
      <c r="A26" s="8"/>
      <c r="B26" s="8"/>
      <c r="C26" s="8"/>
      <c r="D26" s="8"/>
      <c r="E26" s="8"/>
      <c r="F26" s="8"/>
      <c r="G26" s="8"/>
      <c r="H26" s="8"/>
      <c r="I26" s="8"/>
      <c r="J26" s="8"/>
      <c r="K26" s="8"/>
      <c r="L26" s="8"/>
      <c r="M26" s="8"/>
      <c r="N26" s="8"/>
      <c r="O26" s="8"/>
      <c r="P26" s="8"/>
      <c r="Q26" s="8"/>
    </row>
    <row r="27" spans="1:17" ht="12" customHeight="1" x14ac:dyDescent="0.2">
      <c r="A27" s="7" t="s">
        <v>37</v>
      </c>
      <c r="B27" s="11" t="s">
        <v>9</v>
      </c>
      <c r="C27" s="11" t="s">
        <v>10</v>
      </c>
      <c r="D27" s="11" t="s">
        <v>11</v>
      </c>
      <c r="E27" s="11" t="s">
        <v>12</v>
      </c>
      <c r="F27" s="11" t="s">
        <v>13</v>
      </c>
      <c r="G27" s="11" t="s">
        <v>14</v>
      </c>
      <c r="H27" s="11" t="s">
        <v>15</v>
      </c>
      <c r="I27" s="11" t="s">
        <v>16</v>
      </c>
      <c r="J27" s="15" t="s">
        <v>17</v>
      </c>
      <c r="K27" s="11" t="s">
        <v>18</v>
      </c>
      <c r="L27" s="11" t="s">
        <v>19</v>
      </c>
      <c r="M27" s="11" t="s">
        <v>20</v>
      </c>
      <c r="N27" s="11" t="s">
        <v>21</v>
      </c>
      <c r="O27" s="11" t="s">
        <v>22</v>
      </c>
      <c r="P27" s="11" t="s">
        <v>23</v>
      </c>
      <c r="Q27" s="11" t="s">
        <v>24</v>
      </c>
    </row>
    <row r="28" spans="1:17" x14ac:dyDescent="0.2">
      <c r="A28" s="7" t="s">
        <v>38</v>
      </c>
      <c r="B28" s="12">
        <v>113.92</v>
      </c>
      <c r="C28" s="13">
        <v>12697</v>
      </c>
      <c r="D28" s="13">
        <v>1370652</v>
      </c>
      <c r="E28" s="13">
        <v>76946</v>
      </c>
      <c r="F28" s="14" t="s">
        <v>26</v>
      </c>
      <c r="G28" s="12">
        <v>2344</v>
      </c>
      <c r="H28" s="13">
        <v>1285043</v>
      </c>
      <c r="I28" s="12">
        <v>18.07</v>
      </c>
      <c r="J28" s="17" t="s">
        <v>26</v>
      </c>
      <c r="K28" s="13">
        <v>524897</v>
      </c>
      <c r="L28" s="13">
        <v>87496</v>
      </c>
      <c r="M28" s="13">
        <v>72163</v>
      </c>
      <c r="N28" s="12">
        <v>10.44</v>
      </c>
      <c r="O28" s="12">
        <v>305093.65000000002</v>
      </c>
      <c r="P28" s="12">
        <v>122110.19</v>
      </c>
      <c r="Q28" s="12">
        <v>9.93</v>
      </c>
    </row>
    <row r="29" spans="1:17" x14ac:dyDescent="0.2">
      <c r="A29" s="7" t="s">
        <v>39</v>
      </c>
      <c r="B29" s="12">
        <v>14.26</v>
      </c>
      <c r="C29" s="13">
        <v>213.9</v>
      </c>
      <c r="D29" s="13">
        <v>10461.200000000001</v>
      </c>
      <c r="E29" s="13">
        <v>-85609</v>
      </c>
      <c r="F29" s="14" t="s">
        <v>26</v>
      </c>
      <c r="G29" s="12">
        <v>52</v>
      </c>
      <c r="H29" s="13">
        <v>13113.1</v>
      </c>
      <c r="I29" s="12">
        <v>-41.81</v>
      </c>
      <c r="J29" s="17" t="s">
        <v>26</v>
      </c>
      <c r="K29" s="13">
        <v>6461</v>
      </c>
      <c r="L29" s="13">
        <v>1330</v>
      </c>
      <c r="M29" s="13">
        <v>-3473</v>
      </c>
      <c r="N29" s="12">
        <v>-0.7</v>
      </c>
      <c r="O29" s="12">
        <v>6133.44</v>
      </c>
      <c r="P29" s="12">
        <v>498.17</v>
      </c>
      <c r="Q29" s="12">
        <v>-3.25</v>
      </c>
    </row>
    <row r="30" spans="1:17" x14ac:dyDescent="0.2">
      <c r="A30" s="7" t="s">
        <v>40</v>
      </c>
      <c r="B30" s="12">
        <v>63.16</v>
      </c>
      <c r="C30" s="13">
        <v>3336.2</v>
      </c>
      <c r="D30" s="13">
        <v>299155.40000000002</v>
      </c>
      <c r="E30" s="13">
        <v>6864.7</v>
      </c>
      <c r="F30" s="14" t="s">
        <v>26</v>
      </c>
      <c r="G30" s="12">
        <v>831</v>
      </c>
      <c r="H30" s="13">
        <v>306269.40000000002</v>
      </c>
      <c r="I30" s="12">
        <v>-0.13</v>
      </c>
      <c r="J30" s="17" t="s">
        <v>26</v>
      </c>
      <c r="K30" s="13">
        <v>114612.5</v>
      </c>
      <c r="L30" s="13">
        <v>19564.7</v>
      </c>
      <c r="M30" s="13">
        <v>11281.8</v>
      </c>
      <c r="N30" s="12">
        <v>2.74</v>
      </c>
      <c r="O30" s="12">
        <v>69874.63</v>
      </c>
      <c r="P30" s="12">
        <v>20220.72</v>
      </c>
      <c r="Q30" s="12">
        <v>3.59</v>
      </c>
    </row>
    <row r="31" spans="1:17" x14ac:dyDescent="0.2">
      <c r="A31" s="7" t="s">
        <v>41</v>
      </c>
      <c r="B31" s="12">
        <v>53.12</v>
      </c>
      <c r="C31" s="13">
        <v>1205.4000000000001</v>
      </c>
      <c r="D31" s="13">
        <v>77413.2</v>
      </c>
      <c r="E31" s="13">
        <v>9513.5</v>
      </c>
      <c r="F31" s="14" t="s">
        <v>26</v>
      </c>
      <c r="G31" s="12">
        <v>97</v>
      </c>
      <c r="H31" s="13">
        <v>94464.7</v>
      </c>
      <c r="I31" s="12">
        <v>4.7699999999999996</v>
      </c>
      <c r="J31" s="17" t="s">
        <v>26</v>
      </c>
      <c r="K31" s="13">
        <v>49687</v>
      </c>
      <c r="L31" s="13">
        <v>6684.5</v>
      </c>
      <c r="M31" s="13">
        <v>3594.5</v>
      </c>
      <c r="N31" s="12">
        <v>1.69</v>
      </c>
      <c r="O31" s="12">
        <v>34595.379999999997</v>
      </c>
      <c r="P31" s="12">
        <v>7149.65</v>
      </c>
      <c r="Q31" s="12">
        <v>3.46</v>
      </c>
    </row>
    <row r="32" spans="1:17" x14ac:dyDescent="0.2">
      <c r="A32" s="10"/>
      <c r="B32" s="10"/>
      <c r="C32" s="10"/>
      <c r="D32" s="10"/>
      <c r="E32" s="10"/>
      <c r="F32" s="10"/>
      <c r="G32" s="10"/>
      <c r="H32" s="10"/>
      <c r="I32" s="10"/>
      <c r="J32" s="10"/>
      <c r="K32" s="10"/>
      <c r="L32" s="10"/>
      <c r="M32" s="10"/>
      <c r="N32" s="10"/>
      <c r="O32" s="10"/>
      <c r="P32" s="10"/>
      <c r="Q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DD62B-3D84-4BA2-BB06-89CD9E322706}">
  <sheetPr codeName="Sheet4">
    <outlinePr summaryBelow="0" summaryRight="0"/>
  </sheetPr>
  <dimension ref="A4:IU50"/>
  <sheetViews>
    <sheetView defaultGridColor="0" colorId="0" workbookViewId="0"/>
  </sheetViews>
  <sheetFormatPr defaultRowHeight="10.199999999999999" x14ac:dyDescent="0.2"/>
  <cols>
    <col min="1" max="1" width="47.88671875" customWidth="1"/>
    <col min="2" max="9" width="20.88671875" customWidth="1"/>
  </cols>
  <sheetData>
    <row r="4" spans="1:255" ht="16.2" x14ac:dyDescent="0.25">
      <c r="A4" s="1" t="s">
        <v>46</v>
      </c>
    </row>
    <row r="7" spans="1:255" x14ac:dyDescent="0.2">
      <c r="A7" s="2" t="s">
        <v>1</v>
      </c>
      <c r="B7" s="2"/>
      <c r="C7" s="2"/>
      <c r="D7" s="2"/>
      <c r="E7" s="2"/>
      <c r="F7" s="2"/>
      <c r="G7" s="2"/>
      <c r="H7" s="2"/>
      <c r="I7" s="2"/>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47</v>
      </c>
      <c r="B8" s="4" t="s">
        <v>3</v>
      </c>
    </row>
    <row r="9" spans="1:255" x14ac:dyDescent="0.2">
      <c r="A9" s="3" t="s">
        <v>48</v>
      </c>
      <c r="B9" s="4" t="s">
        <v>5</v>
      </c>
    </row>
    <row r="10" spans="1:255" x14ac:dyDescent="0.2">
      <c r="A10" s="3" t="s">
        <v>49</v>
      </c>
      <c r="B10" s="5">
        <v>45043</v>
      </c>
    </row>
    <row r="11" spans="1:255" x14ac:dyDescent="0.2">
      <c r="A11" s="6"/>
    </row>
    <row r="13" spans="1:255" x14ac:dyDescent="0.2">
      <c r="A13" s="2" t="s">
        <v>7</v>
      </c>
      <c r="B13" s="2"/>
      <c r="C13" s="2"/>
      <c r="D13" s="2"/>
      <c r="E13" s="2"/>
      <c r="F13" s="2"/>
      <c r="G13" s="2"/>
      <c r="H13" s="2"/>
      <c r="I13" s="2"/>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7" t="s">
        <v>8</v>
      </c>
      <c r="B14" s="11" t="s">
        <v>50</v>
      </c>
      <c r="C14" s="11" t="s">
        <v>51</v>
      </c>
      <c r="D14" s="11" t="s">
        <v>52</v>
      </c>
      <c r="E14" s="11" t="s">
        <v>53</v>
      </c>
      <c r="F14" s="11" t="s">
        <v>54</v>
      </c>
      <c r="G14" s="11" t="s">
        <v>55</v>
      </c>
      <c r="H14" s="11" t="s">
        <v>56</v>
      </c>
      <c r="I14" s="11" t="s">
        <v>57</v>
      </c>
    </row>
    <row r="15" spans="1:255" ht="12" customHeight="1" x14ac:dyDescent="0.2">
      <c r="A15" s="7" t="s">
        <v>25</v>
      </c>
      <c r="B15" s="14" t="s">
        <v>26</v>
      </c>
      <c r="C15" s="14" t="s">
        <v>26</v>
      </c>
      <c r="D15" s="14" t="s">
        <v>26</v>
      </c>
      <c r="E15" s="14" t="s">
        <v>26</v>
      </c>
      <c r="F15" s="14" t="s">
        <v>26</v>
      </c>
      <c r="G15" s="14" t="s">
        <v>26</v>
      </c>
      <c r="H15" s="14" t="s">
        <v>26</v>
      </c>
      <c r="I15" s="14" t="s">
        <v>26</v>
      </c>
    </row>
    <row r="16" spans="1:255" ht="12" customHeight="1" x14ac:dyDescent="0.2">
      <c r="A16" s="7" t="s">
        <v>27</v>
      </c>
      <c r="B16" s="14" t="s">
        <v>26</v>
      </c>
      <c r="C16" s="14" t="s">
        <v>26</v>
      </c>
      <c r="D16" s="14" t="s">
        <v>26</v>
      </c>
      <c r="E16" s="14" t="s">
        <v>26</v>
      </c>
      <c r="F16" s="14" t="s">
        <v>26</v>
      </c>
      <c r="G16" s="19">
        <v>4.21</v>
      </c>
      <c r="H16" s="19">
        <v>10.52</v>
      </c>
      <c r="I16" s="19">
        <v>19.440000000000001</v>
      </c>
    </row>
    <row r="17" spans="1:9" ht="12" customHeight="1" x14ac:dyDescent="0.2">
      <c r="A17" s="7" t="s">
        <v>28</v>
      </c>
      <c r="B17" s="14" t="s">
        <v>26</v>
      </c>
      <c r="C17" s="14" t="s">
        <v>26</v>
      </c>
      <c r="D17" s="14" t="s">
        <v>26</v>
      </c>
      <c r="E17" s="14" t="s">
        <v>26</v>
      </c>
      <c r="F17" s="14" t="s">
        <v>26</v>
      </c>
      <c r="G17" s="19">
        <v>0.61</v>
      </c>
      <c r="H17" s="19">
        <v>5.65</v>
      </c>
      <c r="I17" s="19">
        <v>8.08</v>
      </c>
    </row>
    <row r="18" spans="1:9" ht="12" customHeight="1" x14ac:dyDescent="0.2">
      <c r="A18" s="7" t="s">
        <v>29</v>
      </c>
      <c r="B18" s="14" t="s">
        <v>26</v>
      </c>
      <c r="C18" s="14" t="s">
        <v>26</v>
      </c>
      <c r="D18" s="14" t="s">
        <v>26</v>
      </c>
      <c r="E18" s="14" t="s">
        <v>26</v>
      </c>
      <c r="F18" s="14" t="s">
        <v>26</v>
      </c>
      <c r="G18" s="19">
        <v>1.01</v>
      </c>
      <c r="H18" s="19">
        <v>5.55</v>
      </c>
      <c r="I18" s="19">
        <v>7.32</v>
      </c>
    </row>
    <row r="19" spans="1:9" ht="12" customHeight="1" x14ac:dyDescent="0.2">
      <c r="A19" s="7" t="s">
        <v>30</v>
      </c>
      <c r="B19" s="14" t="s">
        <v>26</v>
      </c>
      <c r="C19" s="14" t="s">
        <v>26</v>
      </c>
      <c r="D19" s="14" t="s">
        <v>26</v>
      </c>
      <c r="E19" s="14" t="s">
        <v>26</v>
      </c>
      <c r="F19" s="14" t="s">
        <v>26</v>
      </c>
      <c r="G19" s="19">
        <v>0.71</v>
      </c>
      <c r="H19" s="19">
        <v>7.12</v>
      </c>
      <c r="I19" s="19">
        <v>8.59</v>
      </c>
    </row>
    <row r="20" spans="1:9" ht="12" customHeight="1" x14ac:dyDescent="0.2">
      <c r="A20" s="7" t="s">
        <v>31</v>
      </c>
      <c r="B20" s="14" t="s">
        <v>26</v>
      </c>
      <c r="C20" s="14" t="s">
        <v>26</v>
      </c>
      <c r="D20" s="14" t="s">
        <v>26</v>
      </c>
      <c r="E20" s="14" t="s">
        <v>26</v>
      </c>
      <c r="F20" s="14" t="s">
        <v>26</v>
      </c>
      <c r="G20" s="19">
        <v>2.14</v>
      </c>
      <c r="H20" s="19">
        <v>8.52</v>
      </c>
      <c r="I20" s="19">
        <v>11.82</v>
      </c>
    </row>
    <row r="21" spans="1:9" ht="12" customHeight="1" x14ac:dyDescent="0.2">
      <c r="A21" s="7" t="s">
        <v>32</v>
      </c>
      <c r="B21" s="14" t="s">
        <v>26</v>
      </c>
      <c r="C21" s="14" t="s">
        <v>26</v>
      </c>
      <c r="D21" s="14" t="s">
        <v>26</v>
      </c>
      <c r="E21" s="14" t="s">
        <v>26</v>
      </c>
      <c r="F21" s="14" t="s">
        <v>26</v>
      </c>
      <c r="G21" s="19">
        <v>3.43</v>
      </c>
      <c r="H21" s="19">
        <v>8.89</v>
      </c>
      <c r="I21" s="19">
        <v>11.48</v>
      </c>
    </row>
    <row r="22" spans="1:9" ht="12" customHeight="1" x14ac:dyDescent="0.2">
      <c r="A22" s="7" t="s">
        <v>33</v>
      </c>
      <c r="B22" s="14" t="s">
        <v>26</v>
      </c>
      <c r="C22" s="14" t="s">
        <v>26</v>
      </c>
      <c r="D22" s="14" t="s">
        <v>26</v>
      </c>
      <c r="E22" s="14" t="s">
        <v>26</v>
      </c>
      <c r="F22" s="14" t="s">
        <v>26</v>
      </c>
      <c r="G22" s="14" t="s">
        <v>26</v>
      </c>
      <c r="H22" s="19">
        <v>9.89</v>
      </c>
      <c r="I22" s="19">
        <v>29.85</v>
      </c>
    </row>
    <row r="23" spans="1:9" ht="12" customHeight="1" x14ac:dyDescent="0.2">
      <c r="A23" s="7" t="s">
        <v>34</v>
      </c>
      <c r="B23" s="14" t="s">
        <v>26</v>
      </c>
      <c r="C23" s="14" t="s">
        <v>26</v>
      </c>
      <c r="D23" s="14" t="s">
        <v>26</v>
      </c>
      <c r="E23" s="14" t="s">
        <v>26</v>
      </c>
      <c r="F23" s="14" t="s">
        <v>26</v>
      </c>
      <c r="G23" s="19">
        <v>1.31</v>
      </c>
      <c r="H23" s="19">
        <v>32.020000000000003</v>
      </c>
      <c r="I23" s="14" t="s">
        <v>58</v>
      </c>
    </row>
    <row r="24" spans="1:9" ht="12" customHeight="1" x14ac:dyDescent="0.2">
      <c r="A24" s="7" t="s">
        <v>35</v>
      </c>
      <c r="B24" s="14" t="s">
        <v>26</v>
      </c>
      <c r="C24" s="14" t="s">
        <v>26</v>
      </c>
      <c r="D24" s="14" t="s">
        <v>26</v>
      </c>
      <c r="E24" s="14" t="s">
        <v>26</v>
      </c>
      <c r="F24" s="14" t="s">
        <v>26</v>
      </c>
      <c r="G24" s="19">
        <v>5.84</v>
      </c>
      <c r="H24" s="19">
        <v>19.28</v>
      </c>
      <c r="I24" s="19">
        <v>28.98</v>
      </c>
    </row>
    <row r="25" spans="1:9" x14ac:dyDescent="0.2">
      <c r="A25" s="7" t="s">
        <v>36</v>
      </c>
      <c r="B25" s="14" t="s">
        <v>26</v>
      </c>
      <c r="C25" s="14" t="s">
        <v>26</v>
      </c>
      <c r="D25" s="14" t="s">
        <v>26</v>
      </c>
      <c r="E25" s="14" t="s">
        <v>26</v>
      </c>
      <c r="F25" s="14" t="s">
        <v>26</v>
      </c>
      <c r="G25" s="19">
        <v>6.57</v>
      </c>
      <c r="H25" s="19">
        <v>20.83</v>
      </c>
      <c r="I25" s="19">
        <v>27.27</v>
      </c>
    </row>
    <row r="26" spans="1:9" x14ac:dyDescent="0.2">
      <c r="A26" s="8"/>
      <c r="B26" s="8"/>
      <c r="C26" s="8"/>
      <c r="D26" s="8"/>
      <c r="E26" s="8"/>
      <c r="F26" s="8"/>
      <c r="G26" s="8"/>
      <c r="H26" s="8"/>
      <c r="I26" s="8"/>
    </row>
    <row r="27" spans="1:9" ht="12" customHeight="1" x14ac:dyDescent="0.2">
      <c r="A27" s="7" t="s">
        <v>37</v>
      </c>
      <c r="B27" s="11" t="s">
        <v>50</v>
      </c>
      <c r="C27" s="11" t="s">
        <v>51</v>
      </c>
      <c r="D27" s="11" t="s">
        <v>52</v>
      </c>
      <c r="E27" s="11" t="s">
        <v>53</v>
      </c>
      <c r="F27" s="11" t="s">
        <v>54</v>
      </c>
      <c r="G27" s="11" t="s">
        <v>55</v>
      </c>
      <c r="H27" s="11" t="s">
        <v>56</v>
      </c>
      <c r="I27" s="11" t="s">
        <v>57</v>
      </c>
    </row>
    <row r="28" spans="1:9" x14ac:dyDescent="0.2">
      <c r="A28" s="7" t="s">
        <v>38</v>
      </c>
      <c r="B28" s="14" t="s">
        <v>26</v>
      </c>
      <c r="C28" s="14" t="s">
        <v>26</v>
      </c>
      <c r="D28" s="14" t="s">
        <v>26</v>
      </c>
      <c r="E28" s="14" t="s">
        <v>26</v>
      </c>
      <c r="F28" s="14" t="s">
        <v>26</v>
      </c>
      <c r="G28" s="19">
        <v>5.84</v>
      </c>
      <c r="H28" s="19">
        <v>32.020000000000003</v>
      </c>
      <c r="I28" s="19">
        <v>29.85</v>
      </c>
    </row>
    <row r="29" spans="1:9" x14ac:dyDescent="0.2">
      <c r="A29" s="7" t="s">
        <v>39</v>
      </c>
      <c r="B29" s="14" t="s">
        <v>26</v>
      </c>
      <c r="C29" s="14" t="s">
        <v>26</v>
      </c>
      <c r="D29" s="14" t="s">
        <v>26</v>
      </c>
      <c r="E29" s="14" t="s">
        <v>26</v>
      </c>
      <c r="F29" s="14" t="s">
        <v>26</v>
      </c>
      <c r="G29" s="19">
        <v>0.61</v>
      </c>
      <c r="H29" s="19">
        <v>5.55</v>
      </c>
      <c r="I29" s="19">
        <v>7.32</v>
      </c>
    </row>
    <row r="30" spans="1:9" x14ac:dyDescent="0.2">
      <c r="A30" s="7" t="s">
        <v>40</v>
      </c>
      <c r="B30" s="14" t="s">
        <v>26</v>
      </c>
      <c r="C30" s="14" t="s">
        <v>26</v>
      </c>
      <c r="D30" s="14" t="s">
        <v>26</v>
      </c>
      <c r="E30" s="14" t="s">
        <v>26</v>
      </c>
      <c r="F30" s="14" t="s">
        <v>26</v>
      </c>
      <c r="G30" s="19">
        <v>2.41</v>
      </c>
      <c r="H30" s="19">
        <v>11.94</v>
      </c>
      <c r="I30" s="19">
        <v>15.69</v>
      </c>
    </row>
    <row r="31" spans="1:9" x14ac:dyDescent="0.2">
      <c r="A31" s="7" t="s">
        <v>41</v>
      </c>
      <c r="B31" s="14" t="s">
        <v>26</v>
      </c>
      <c r="C31" s="14" t="s">
        <v>26</v>
      </c>
      <c r="D31" s="14" t="s">
        <v>26</v>
      </c>
      <c r="E31" s="14" t="s">
        <v>26</v>
      </c>
      <c r="F31" s="14" t="s">
        <v>26</v>
      </c>
      <c r="G31" s="19">
        <v>1.72</v>
      </c>
      <c r="H31" s="19">
        <v>8.89</v>
      </c>
      <c r="I31" s="19">
        <v>11.65</v>
      </c>
    </row>
    <row r="32" spans="1:9" x14ac:dyDescent="0.2">
      <c r="A32" s="10"/>
      <c r="B32" s="10"/>
      <c r="C32" s="10"/>
      <c r="D32" s="10"/>
      <c r="E32" s="10"/>
      <c r="F32" s="10"/>
      <c r="G32" s="10"/>
      <c r="H32" s="10"/>
      <c r="I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8B936-94AE-4E41-B3C6-969461ED5D46}">
  <sheetPr codeName="Sheet5">
    <outlinePr summaryBelow="0" summaryRight="0"/>
  </sheetPr>
  <dimension ref="A4:IU50"/>
  <sheetViews>
    <sheetView defaultGridColor="0" colorId="0" workbookViewId="0"/>
  </sheetViews>
  <sheetFormatPr defaultRowHeight="10.199999999999999" x14ac:dyDescent="0.2"/>
  <cols>
    <col min="1" max="1" width="47.88671875" customWidth="1"/>
    <col min="2" max="13" width="20.88671875" customWidth="1"/>
  </cols>
  <sheetData>
    <row r="4" spans="1:255" ht="16.2" x14ac:dyDescent="0.25">
      <c r="A4" s="1" t="s">
        <v>59</v>
      </c>
    </row>
    <row r="7" spans="1:255" x14ac:dyDescent="0.2">
      <c r="A7" s="2" t="s">
        <v>1</v>
      </c>
      <c r="B7" s="2"/>
      <c r="C7" s="2"/>
      <c r="D7" s="2"/>
      <c r="E7" s="2"/>
      <c r="F7" s="2"/>
      <c r="G7" s="2"/>
      <c r="H7" s="2"/>
      <c r="I7" s="2"/>
      <c r="J7" s="2"/>
      <c r="K7" s="2"/>
      <c r="L7" s="2"/>
      <c r="M7" s="2"/>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60</v>
      </c>
      <c r="B8" s="4" t="s">
        <v>3</v>
      </c>
    </row>
    <row r="9" spans="1:255" x14ac:dyDescent="0.2">
      <c r="A9" s="3" t="s">
        <v>61</v>
      </c>
      <c r="B9" s="4" t="s">
        <v>5</v>
      </c>
    </row>
    <row r="10" spans="1:255" x14ac:dyDescent="0.2">
      <c r="A10" s="3" t="s">
        <v>62</v>
      </c>
      <c r="B10" s="5">
        <v>45043</v>
      </c>
    </row>
    <row r="11" spans="1:255" x14ac:dyDescent="0.2">
      <c r="A11" s="6"/>
    </row>
    <row r="13" spans="1:255" x14ac:dyDescent="0.2">
      <c r="A13" s="2" t="s">
        <v>7</v>
      </c>
      <c r="B13" s="2"/>
      <c r="C13" s="2"/>
      <c r="D13" s="2"/>
      <c r="E13" s="2"/>
      <c r="F13" s="2"/>
      <c r="G13" s="2"/>
      <c r="H13" s="2"/>
      <c r="I13" s="2"/>
      <c r="J13" s="2"/>
      <c r="K13" s="2"/>
      <c r="L13" s="2"/>
      <c r="M13" s="2"/>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7" t="s">
        <v>8</v>
      </c>
      <c r="B14" s="11" t="s">
        <v>63</v>
      </c>
      <c r="C14" s="11" t="s">
        <v>64</v>
      </c>
      <c r="D14" s="11" t="s">
        <v>65</v>
      </c>
      <c r="E14" s="11" t="s">
        <v>66</v>
      </c>
      <c r="F14" s="11" t="s">
        <v>67</v>
      </c>
      <c r="G14" s="11" t="s">
        <v>68</v>
      </c>
      <c r="H14" s="11" t="s">
        <v>69</v>
      </c>
      <c r="I14" s="11" t="s">
        <v>70</v>
      </c>
      <c r="J14" s="11" t="s">
        <v>71</v>
      </c>
      <c r="K14" s="11" t="s">
        <v>72</v>
      </c>
      <c r="L14" s="11" t="s">
        <v>73</v>
      </c>
      <c r="M14" s="11" t="s">
        <v>74</v>
      </c>
    </row>
    <row r="15" spans="1:255" ht="12" customHeight="1" x14ac:dyDescent="0.2">
      <c r="A15" s="7" t="s">
        <v>25</v>
      </c>
      <c r="B15" s="20">
        <v>0.44700000000000001</v>
      </c>
      <c r="C15" s="20">
        <v>0.109</v>
      </c>
      <c r="D15" s="20">
        <v>2.5000000000000001E-2</v>
      </c>
      <c r="E15" s="21">
        <v>8.2000000000000007E-3</v>
      </c>
      <c r="F15" s="21">
        <v>9.8699999999999996E-2</v>
      </c>
      <c r="G15" s="21">
        <v>3.1699999999999999E-2</v>
      </c>
      <c r="H15" s="21">
        <v>-0.3216</v>
      </c>
      <c r="I15" s="21">
        <v>-0.79949999999999999</v>
      </c>
      <c r="J15" s="21">
        <v>0.47770000000000001</v>
      </c>
      <c r="K15" s="22">
        <v>2.1</v>
      </c>
      <c r="L15" s="21">
        <v>0.27579999999999999</v>
      </c>
      <c r="M15" s="12">
        <v>1.26</v>
      </c>
    </row>
    <row r="16" spans="1:255" ht="12" customHeight="1" x14ac:dyDescent="0.2">
      <c r="A16" s="7" t="s">
        <v>27</v>
      </c>
      <c r="B16" s="20">
        <v>0.55300000000000005</v>
      </c>
      <c r="C16" s="20">
        <v>0.307</v>
      </c>
      <c r="D16" s="20">
        <v>0.254</v>
      </c>
      <c r="E16" s="21">
        <v>0.20580000000000001</v>
      </c>
      <c r="F16" s="21">
        <v>5.28E-2</v>
      </c>
      <c r="G16" s="21">
        <v>-8.7099999999999997E-2</v>
      </c>
      <c r="H16" s="21">
        <v>-0.1239</v>
      </c>
      <c r="I16" s="21">
        <v>-0.214</v>
      </c>
      <c r="J16" s="21">
        <v>0.1016</v>
      </c>
      <c r="K16" s="22">
        <v>0.3</v>
      </c>
      <c r="L16" s="21">
        <v>0.16889999999999999</v>
      </c>
      <c r="M16" s="12">
        <v>1.1000000000000001</v>
      </c>
    </row>
    <row r="17" spans="1:13" ht="12" customHeight="1" x14ac:dyDescent="0.2">
      <c r="A17" s="7" t="s">
        <v>28</v>
      </c>
      <c r="B17" s="20">
        <v>0.222</v>
      </c>
      <c r="C17" s="20">
        <v>7.5999999999999998E-2</v>
      </c>
      <c r="D17" s="20">
        <v>5.6000000000000001E-2</v>
      </c>
      <c r="E17" s="21">
        <v>2.3900000000000001E-2</v>
      </c>
      <c r="F17" s="21">
        <v>1.09E-2</v>
      </c>
      <c r="G17" s="21">
        <v>-7.1800000000000003E-2</v>
      </c>
      <c r="H17" s="21">
        <v>0.2387</v>
      </c>
      <c r="I17" s="21">
        <v>-0.56100000000000005</v>
      </c>
      <c r="J17" s="21">
        <v>1.1102000000000001</v>
      </c>
      <c r="K17" s="22">
        <v>3.7</v>
      </c>
      <c r="L17" s="21">
        <v>5.8299999999999998E-2</v>
      </c>
      <c r="M17" s="12">
        <v>0.97</v>
      </c>
    </row>
    <row r="18" spans="1:13" ht="12" customHeight="1" x14ac:dyDescent="0.2">
      <c r="A18" s="7" t="s">
        <v>29</v>
      </c>
      <c r="B18" s="20">
        <v>0.33500000000000002</v>
      </c>
      <c r="C18" s="20">
        <v>0.16800000000000001</v>
      </c>
      <c r="D18" s="20">
        <v>8.2000000000000003E-2</v>
      </c>
      <c r="E18" s="21">
        <v>2.92E-2</v>
      </c>
      <c r="F18" s="21">
        <v>5.1299999999999998E-2</v>
      </c>
      <c r="G18" s="21">
        <v>2.1299999999999999E-2</v>
      </c>
      <c r="H18" s="21">
        <v>5.7700000000000001E-2</v>
      </c>
      <c r="I18" s="21">
        <v>-0.76970000000000005</v>
      </c>
      <c r="J18" s="21">
        <v>0.39429999999999998</v>
      </c>
      <c r="K18" s="22">
        <v>2.6</v>
      </c>
      <c r="L18" s="21">
        <v>4.7199999999999999E-2</v>
      </c>
      <c r="M18" s="12">
        <v>1.24</v>
      </c>
    </row>
    <row r="19" spans="1:13" ht="12" customHeight="1" x14ac:dyDescent="0.2">
      <c r="A19" s="7" t="s">
        <v>30</v>
      </c>
      <c r="B19" s="20">
        <v>0.19700000000000001</v>
      </c>
      <c r="C19" s="20">
        <v>9.2999999999999999E-2</v>
      </c>
      <c r="D19" s="20">
        <v>0.08</v>
      </c>
      <c r="E19" s="21">
        <v>4.36E-2</v>
      </c>
      <c r="F19" s="21">
        <v>-7.8399999999999997E-2</v>
      </c>
      <c r="G19" s="21">
        <v>-0.1242</v>
      </c>
      <c r="H19" s="21">
        <v>-0.1439</v>
      </c>
      <c r="I19" s="21">
        <v>-0.60070000000000001</v>
      </c>
      <c r="J19" s="21">
        <v>1.4426000000000001</v>
      </c>
      <c r="K19" s="22">
        <v>2.1</v>
      </c>
      <c r="L19" s="21">
        <v>-0.03</v>
      </c>
      <c r="M19" s="12">
        <v>1.02</v>
      </c>
    </row>
    <row r="20" spans="1:13" ht="12" customHeight="1" x14ac:dyDescent="0.2">
      <c r="A20" s="7" t="s">
        <v>31</v>
      </c>
      <c r="B20" s="20">
        <v>0.65400000000000003</v>
      </c>
      <c r="C20" s="20">
        <v>0.20599999999999999</v>
      </c>
      <c r="D20" s="20">
        <v>0.17599999999999999</v>
      </c>
      <c r="E20" s="21">
        <v>0.1993</v>
      </c>
      <c r="F20" s="21">
        <v>4.3299999999999998E-2</v>
      </c>
      <c r="G20" s="21">
        <v>-2.4199999999999999E-2</v>
      </c>
      <c r="H20" s="21">
        <v>-5.3199999999999997E-2</v>
      </c>
      <c r="I20" s="21">
        <v>0.2727</v>
      </c>
      <c r="J20" s="21">
        <v>0.70940000000000003</v>
      </c>
      <c r="K20" s="22">
        <v>1.9</v>
      </c>
      <c r="L20" s="21">
        <v>6.4699999999999994E-2</v>
      </c>
      <c r="M20" s="12">
        <v>1.18</v>
      </c>
    </row>
    <row r="21" spans="1:13" ht="12" customHeight="1" x14ac:dyDescent="0.2">
      <c r="A21" s="7" t="s">
        <v>32</v>
      </c>
      <c r="B21" s="20">
        <v>0.57199999999999995</v>
      </c>
      <c r="C21" s="20">
        <v>0.379</v>
      </c>
      <c r="D21" s="20">
        <v>0.33800000000000002</v>
      </c>
      <c r="E21" s="21">
        <v>0.27400000000000002</v>
      </c>
      <c r="F21" s="21">
        <v>0.19209999999999999</v>
      </c>
      <c r="G21" s="21">
        <v>0.27789999999999998</v>
      </c>
      <c r="H21" s="21">
        <v>0.30680000000000002</v>
      </c>
      <c r="I21" s="21">
        <v>0.1787</v>
      </c>
      <c r="J21" s="21">
        <v>0.47289999999999999</v>
      </c>
      <c r="K21" s="22">
        <v>1</v>
      </c>
      <c r="L21" s="21">
        <v>5.8299999999999998E-2</v>
      </c>
      <c r="M21" s="12">
        <v>1.27</v>
      </c>
    </row>
    <row r="22" spans="1:13" ht="12" customHeight="1" x14ac:dyDescent="0.2">
      <c r="A22" s="7" t="s">
        <v>33</v>
      </c>
      <c r="B22" s="20">
        <v>0.38300000000000001</v>
      </c>
      <c r="C22" s="20">
        <v>0.152</v>
      </c>
      <c r="D22" s="20">
        <v>-6.2E-2</v>
      </c>
      <c r="E22" s="21">
        <v>-5.0599999999999999E-2</v>
      </c>
      <c r="F22" s="21">
        <v>-0.27400000000000002</v>
      </c>
      <c r="G22" s="21">
        <v>-0.72799999999999998</v>
      </c>
      <c r="H22" s="14" t="s">
        <v>26</v>
      </c>
      <c r="I22" s="14" t="s">
        <v>26</v>
      </c>
      <c r="J22" s="21">
        <v>0.33360000000000001</v>
      </c>
      <c r="K22" s="22">
        <v>5.4</v>
      </c>
      <c r="L22" s="21">
        <v>5.6599999999999998E-2</v>
      </c>
      <c r="M22" s="12">
        <v>0.88</v>
      </c>
    </row>
    <row r="23" spans="1:13" ht="12" customHeight="1" x14ac:dyDescent="0.2">
      <c r="A23" s="7" t="s">
        <v>34</v>
      </c>
      <c r="B23" s="20">
        <v>0.26300000000000001</v>
      </c>
      <c r="C23" s="20">
        <v>0.11</v>
      </c>
      <c r="D23" s="20">
        <v>5.5E-2</v>
      </c>
      <c r="E23" s="21">
        <v>-5.8999999999999999E-3</v>
      </c>
      <c r="F23" s="21">
        <v>-0.16839999999999999</v>
      </c>
      <c r="G23" s="21">
        <v>-0.4869</v>
      </c>
      <c r="H23" s="21">
        <v>-0.63590000000000002</v>
      </c>
      <c r="I23" s="14" t="s">
        <v>26</v>
      </c>
      <c r="J23" s="21">
        <v>0.378</v>
      </c>
      <c r="K23" s="22">
        <v>4.0999999999999996</v>
      </c>
      <c r="L23" s="21">
        <v>-5.8599999999999999E-2</v>
      </c>
      <c r="M23" s="12">
        <v>1.69</v>
      </c>
    </row>
    <row r="24" spans="1:13" ht="12" customHeight="1" x14ac:dyDescent="0.2">
      <c r="A24" s="7" t="s">
        <v>35</v>
      </c>
      <c r="B24" s="20">
        <v>0.51100000000000001</v>
      </c>
      <c r="C24" s="20">
        <v>0.19900000000000001</v>
      </c>
      <c r="D24" s="20">
        <v>5.3999999999999999E-2</v>
      </c>
      <c r="E24" s="21">
        <v>5.5899999999999998E-2</v>
      </c>
      <c r="F24" s="21">
        <v>0.43609999999999999</v>
      </c>
      <c r="G24" s="21">
        <v>0.15909999999999999</v>
      </c>
      <c r="H24" s="21">
        <v>-0.65349999999999997</v>
      </c>
      <c r="I24" s="21">
        <v>-0.58250000000000002</v>
      </c>
      <c r="J24" s="21">
        <v>5.1200000000000002E-2</v>
      </c>
      <c r="K24" s="22">
        <v>0.6</v>
      </c>
      <c r="L24" s="21">
        <v>0.2747</v>
      </c>
      <c r="M24" s="12">
        <v>1.94</v>
      </c>
    </row>
    <row r="25" spans="1:13" x14ac:dyDescent="0.2">
      <c r="A25" s="7" t="s">
        <v>36</v>
      </c>
      <c r="B25" s="20">
        <v>0.43099999999999999</v>
      </c>
      <c r="C25" s="20">
        <v>0.32300000000000001</v>
      </c>
      <c r="D25" s="20">
        <v>0.29399999999999998</v>
      </c>
      <c r="E25" s="21">
        <v>0.24560000000000001</v>
      </c>
      <c r="F25" s="21">
        <v>2.4400000000000002E-2</v>
      </c>
      <c r="G25" s="21">
        <v>-2.29E-2</v>
      </c>
      <c r="H25" s="21">
        <v>-2.5100000000000001E-2</v>
      </c>
      <c r="I25" s="21">
        <v>-5.3499999999999999E-2</v>
      </c>
      <c r="J25" s="21">
        <v>0.66200000000000003</v>
      </c>
      <c r="K25" s="22">
        <v>0.8</v>
      </c>
      <c r="L25" s="21">
        <v>0.1031</v>
      </c>
      <c r="M25" s="12">
        <v>1.3</v>
      </c>
    </row>
    <row r="26" spans="1:13" x14ac:dyDescent="0.2">
      <c r="A26" s="8"/>
      <c r="B26" s="8"/>
      <c r="C26" s="8"/>
      <c r="D26" s="8"/>
      <c r="E26" s="8"/>
      <c r="F26" s="8"/>
      <c r="G26" s="8"/>
      <c r="H26" s="8"/>
      <c r="I26" s="8"/>
      <c r="J26" s="8"/>
      <c r="K26" s="8"/>
      <c r="L26" s="8"/>
      <c r="M26" s="8"/>
    </row>
    <row r="27" spans="1:13" ht="12" customHeight="1" x14ac:dyDescent="0.2">
      <c r="A27" s="7" t="s">
        <v>37</v>
      </c>
      <c r="B27" s="11" t="s">
        <v>63</v>
      </c>
      <c r="C27" s="11" t="s">
        <v>64</v>
      </c>
      <c r="D27" s="11" t="s">
        <v>65</v>
      </c>
      <c r="E27" s="11" t="s">
        <v>66</v>
      </c>
      <c r="F27" s="11" t="s">
        <v>67</v>
      </c>
      <c r="G27" s="11" t="s">
        <v>68</v>
      </c>
      <c r="H27" s="11" t="s">
        <v>69</v>
      </c>
      <c r="I27" s="11" t="s">
        <v>70</v>
      </c>
      <c r="J27" s="11" t="s">
        <v>71</v>
      </c>
      <c r="K27" s="11" t="s">
        <v>72</v>
      </c>
      <c r="L27" s="11" t="s">
        <v>73</v>
      </c>
      <c r="M27" s="11" t="s">
        <v>74</v>
      </c>
    </row>
    <row r="28" spans="1:13" x14ac:dyDescent="0.2">
      <c r="A28" s="7" t="s">
        <v>38</v>
      </c>
      <c r="B28" s="20">
        <v>0.65400000000000003</v>
      </c>
      <c r="C28" s="20">
        <v>0.379</v>
      </c>
      <c r="D28" s="20">
        <v>0.33800000000000002</v>
      </c>
      <c r="E28" s="21">
        <v>0.27400000000000002</v>
      </c>
      <c r="F28" s="21">
        <v>0.43609999999999999</v>
      </c>
      <c r="G28" s="21">
        <v>0.27789999999999998</v>
      </c>
      <c r="H28" s="21">
        <v>0.30680000000000002</v>
      </c>
      <c r="I28" s="21">
        <v>0.2727</v>
      </c>
      <c r="J28" s="21">
        <v>1.4426000000000001</v>
      </c>
      <c r="K28" s="22">
        <v>5.4</v>
      </c>
      <c r="L28" s="21">
        <v>0.27579999999999999</v>
      </c>
      <c r="M28" s="12">
        <v>1.94</v>
      </c>
    </row>
    <row r="29" spans="1:13" x14ac:dyDescent="0.2">
      <c r="A29" s="7" t="s">
        <v>39</v>
      </c>
      <c r="B29" s="20">
        <v>0.19700000000000001</v>
      </c>
      <c r="C29" s="20">
        <v>7.5999999999999998E-2</v>
      </c>
      <c r="D29" s="20">
        <v>-6.2E-2</v>
      </c>
      <c r="E29" s="21">
        <v>-5.0599999999999999E-2</v>
      </c>
      <c r="F29" s="21">
        <v>-0.27400000000000002</v>
      </c>
      <c r="G29" s="21">
        <v>-0.72799999999999998</v>
      </c>
      <c r="H29" s="21">
        <v>-0.65349999999999997</v>
      </c>
      <c r="I29" s="21">
        <v>-0.79949999999999999</v>
      </c>
      <c r="J29" s="21">
        <v>5.1200000000000002E-2</v>
      </c>
      <c r="K29" s="22">
        <v>0.3</v>
      </c>
      <c r="L29" s="21">
        <v>-5.8599999999999999E-2</v>
      </c>
      <c r="M29" s="12">
        <v>0.88</v>
      </c>
    </row>
    <row r="30" spans="1:13" x14ac:dyDescent="0.2">
      <c r="A30" s="7" t="s">
        <v>40</v>
      </c>
      <c r="B30" s="20">
        <v>0.41399999999999998</v>
      </c>
      <c r="C30" s="20">
        <v>0.18</v>
      </c>
      <c r="D30" s="20">
        <v>0.106</v>
      </c>
      <c r="E30" s="21">
        <v>7.8299999999999995E-2</v>
      </c>
      <c r="F30" s="21">
        <v>3.6400000000000002E-2</v>
      </c>
      <c r="G30" s="21">
        <v>-0.1032</v>
      </c>
      <c r="H30" s="21">
        <v>-0.1477</v>
      </c>
      <c r="I30" s="21">
        <v>-0.38450000000000001</v>
      </c>
      <c r="J30" s="21">
        <v>0.54720000000000002</v>
      </c>
      <c r="K30" s="22">
        <v>2.4</v>
      </c>
      <c r="L30" s="21">
        <v>9.1600000000000001E-2</v>
      </c>
      <c r="M30" s="12">
        <v>1.25</v>
      </c>
    </row>
    <row r="31" spans="1:13" x14ac:dyDescent="0.2">
      <c r="A31" s="7" t="s">
        <v>41</v>
      </c>
      <c r="B31" s="20">
        <v>0.41499999999999998</v>
      </c>
      <c r="C31" s="20">
        <v>0.16</v>
      </c>
      <c r="D31" s="20">
        <v>6.8000000000000005E-2</v>
      </c>
      <c r="E31" s="21">
        <v>3.6400000000000002E-2</v>
      </c>
      <c r="F31" s="21">
        <v>4.7300000000000002E-2</v>
      </c>
      <c r="G31" s="21">
        <v>-4.8000000000000001E-2</v>
      </c>
      <c r="H31" s="21">
        <v>-0.1239</v>
      </c>
      <c r="I31" s="21">
        <v>-0.57179999999999997</v>
      </c>
      <c r="J31" s="21">
        <v>0.43359999999999999</v>
      </c>
      <c r="K31" s="22">
        <v>2.1</v>
      </c>
      <c r="L31" s="21">
        <v>5.8299999999999998E-2</v>
      </c>
      <c r="M31" s="12">
        <v>1.21</v>
      </c>
    </row>
    <row r="32" spans="1:13" x14ac:dyDescent="0.2">
      <c r="A32" s="10"/>
      <c r="B32" s="10"/>
      <c r="C32" s="10"/>
      <c r="D32" s="10"/>
      <c r="E32" s="10"/>
      <c r="F32" s="10"/>
      <c r="G32" s="10"/>
      <c r="H32" s="10"/>
      <c r="I32" s="10"/>
      <c r="J32" s="10"/>
      <c r="K32" s="10"/>
      <c r="L32" s="10"/>
      <c r="M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89F6E-4AAD-4811-AB6D-6C4B6459FAE0}">
  <sheetPr codeName="Sheet6">
    <outlinePr summaryBelow="0" summaryRight="0"/>
  </sheetPr>
  <dimension ref="A4:IU44"/>
  <sheetViews>
    <sheetView defaultGridColor="0" colorId="0" workbookViewId="0"/>
  </sheetViews>
  <sheetFormatPr defaultRowHeight="10.199999999999999" x14ac:dyDescent="0.2"/>
  <cols>
    <col min="1" max="1" width="47.88671875" customWidth="1"/>
    <col min="2" max="3" width="25.88671875" customWidth="1"/>
    <col min="4" max="9" width="9.33203125"/>
  </cols>
  <sheetData>
    <row r="4" spans="1:255" ht="16.2" x14ac:dyDescent="0.25">
      <c r="A4" s="1" t="s">
        <v>75</v>
      </c>
    </row>
    <row r="7" spans="1:255" x14ac:dyDescent="0.2">
      <c r="A7" s="2" t="s">
        <v>1</v>
      </c>
      <c r="B7" s="2"/>
      <c r="C7" s="2"/>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76</v>
      </c>
      <c r="B8" s="4" t="s">
        <v>3</v>
      </c>
    </row>
    <row r="9" spans="1:255" x14ac:dyDescent="0.2">
      <c r="A9" s="3" t="s">
        <v>77</v>
      </c>
      <c r="B9" s="4" t="s">
        <v>5</v>
      </c>
    </row>
    <row r="10" spans="1:255" x14ac:dyDescent="0.2">
      <c r="A10" s="3" t="s">
        <v>78</v>
      </c>
      <c r="B10" s="5">
        <v>45043</v>
      </c>
    </row>
    <row r="11" spans="1:255" x14ac:dyDescent="0.2">
      <c r="A11" s="6"/>
    </row>
    <row r="13" spans="1:255" x14ac:dyDescent="0.2">
      <c r="A13" s="2" t="s">
        <v>7</v>
      </c>
      <c r="B13" s="2"/>
      <c r="C13" s="2"/>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x14ac:dyDescent="0.2">
      <c r="A14" s="7" t="s">
        <v>8</v>
      </c>
      <c r="B14" s="7" t="s">
        <v>79</v>
      </c>
      <c r="C14" s="7" t="s">
        <v>80</v>
      </c>
    </row>
    <row r="15" spans="1:255" ht="12" customHeight="1" x14ac:dyDescent="0.2">
      <c r="A15" s="7" t="s">
        <v>25</v>
      </c>
      <c r="B15" s="23" t="s">
        <v>81</v>
      </c>
      <c r="C15" s="23" t="s">
        <v>82</v>
      </c>
    </row>
    <row r="16" spans="1:255" ht="12" customHeight="1" x14ac:dyDescent="0.2">
      <c r="A16" s="7" t="s">
        <v>27</v>
      </c>
      <c r="B16" s="23" t="s">
        <v>83</v>
      </c>
      <c r="C16" s="23" t="s">
        <v>84</v>
      </c>
    </row>
    <row r="17" spans="1:3" ht="12" customHeight="1" x14ac:dyDescent="0.2">
      <c r="A17" s="7" t="s">
        <v>28</v>
      </c>
      <c r="B17" s="23" t="s">
        <v>85</v>
      </c>
      <c r="C17" s="23" t="s">
        <v>86</v>
      </c>
    </row>
    <row r="18" spans="1:3" ht="12" customHeight="1" x14ac:dyDescent="0.2">
      <c r="A18" s="7" t="s">
        <v>29</v>
      </c>
      <c r="B18" s="23" t="s">
        <v>87</v>
      </c>
      <c r="C18" s="23" t="s">
        <v>88</v>
      </c>
    </row>
    <row r="19" spans="1:3" ht="12" customHeight="1" x14ac:dyDescent="0.2">
      <c r="A19" s="7" t="s">
        <v>30</v>
      </c>
      <c r="B19" s="23" t="s">
        <v>89</v>
      </c>
      <c r="C19" s="23" t="s">
        <v>90</v>
      </c>
    </row>
    <row r="20" spans="1:3" ht="12" customHeight="1" x14ac:dyDescent="0.2">
      <c r="A20" s="7" t="s">
        <v>31</v>
      </c>
      <c r="B20" s="23" t="s">
        <v>91</v>
      </c>
      <c r="C20" s="23" t="s">
        <v>92</v>
      </c>
    </row>
    <row r="21" spans="1:3" ht="12" customHeight="1" x14ac:dyDescent="0.2">
      <c r="A21" s="7" t="s">
        <v>32</v>
      </c>
      <c r="B21" s="23" t="s">
        <v>93</v>
      </c>
      <c r="C21" s="23" t="s">
        <v>94</v>
      </c>
    </row>
    <row r="22" spans="1:3" ht="12" customHeight="1" x14ac:dyDescent="0.2">
      <c r="A22" s="7" t="s">
        <v>33</v>
      </c>
      <c r="B22" s="23" t="s">
        <v>95</v>
      </c>
      <c r="C22" s="23" t="s">
        <v>96</v>
      </c>
    </row>
    <row r="23" spans="1:3" ht="12" customHeight="1" x14ac:dyDescent="0.2">
      <c r="A23" s="7" t="s">
        <v>34</v>
      </c>
      <c r="B23" s="23" t="s">
        <v>97</v>
      </c>
      <c r="C23" s="23" t="s">
        <v>98</v>
      </c>
    </row>
    <row r="24" spans="1:3" ht="12" customHeight="1" x14ac:dyDescent="0.2">
      <c r="A24" s="7" t="s">
        <v>35</v>
      </c>
      <c r="B24" s="23" t="s">
        <v>99</v>
      </c>
      <c r="C24" s="23" t="s">
        <v>100</v>
      </c>
    </row>
    <row r="25" spans="1:3" x14ac:dyDescent="0.2">
      <c r="A25" s="8"/>
      <c r="B25" s="8"/>
      <c r="C25" s="8"/>
    </row>
    <row r="26" spans="1:3" x14ac:dyDescent="0.2">
      <c r="A26" s="9"/>
      <c r="B26" s="9"/>
      <c r="C26" s="9"/>
    </row>
    <row r="27" spans="1:3" ht="12" customHeight="1" x14ac:dyDescent="0.2">
      <c r="A27" s="7" t="s">
        <v>36</v>
      </c>
      <c r="B27" s="23" t="s">
        <v>101</v>
      </c>
      <c r="C27" s="23" t="s">
        <v>102</v>
      </c>
    </row>
    <row r="28" spans="1:3" x14ac:dyDescent="0.2">
      <c r="A28" s="10"/>
      <c r="B28" s="10"/>
      <c r="C28" s="10"/>
    </row>
    <row r="30" spans="1:3" x14ac:dyDescent="0.2">
      <c r="A30" s="6" t="s">
        <v>42</v>
      </c>
    </row>
    <row r="35" spans="1:1" x14ac:dyDescent="0.2">
      <c r="A35" t="s">
        <v>43</v>
      </c>
    </row>
    <row r="36" spans="1:1" x14ac:dyDescent="0.2">
      <c r="A36" t="s">
        <v>44</v>
      </c>
    </row>
    <row r="44" spans="1:1" ht="25.05" customHeight="1" x14ac:dyDescent="0.2">
      <c r="A44" s="18" t="s">
        <v>45</v>
      </c>
    </row>
  </sheetData>
  <pageMargins left="0.2" right="0.2" top="0.5" bottom="0.5" header="0.5" footer="0.5"/>
  <pageSetup fitToWidth="0" fitToHeight="0" orientation="landscape"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F75867-5A5F-46E7-B84C-34577493C4F1}">
  <sheetPr codeName="Sheet7">
    <outlinePr summaryBelow="0" summaryRight="0"/>
  </sheetPr>
  <dimension ref="A4:IU69"/>
  <sheetViews>
    <sheetView defaultGridColor="0" colorId="0" workbookViewId="0"/>
  </sheetViews>
  <sheetFormatPr defaultRowHeight="10.199999999999999" x14ac:dyDescent="0.2"/>
  <cols>
    <col min="1" max="1" width="25.88671875" customWidth="1"/>
    <col min="2" max="3" width="20.88671875" customWidth="1"/>
    <col min="4" max="9" width="25.88671875" customWidth="1"/>
  </cols>
  <sheetData>
    <row r="4" spans="1:255" ht="16.2" x14ac:dyDescent="0.25">
      <c r="A4" s="1" t="s">
        <v>103</v>
      </c>
    </row>
    <row r="7" spans="1:255" x14ac:dyDescent="0.2">
      <c r="A7" s="2" t="s">
        <v>1</v>
      </c>
      <c r="B7" s="2"/>
      <c r="C7" s="2"/>
      <c r="D7" s="2"/>
      <c r="E7" s="2"/>
      <c r="F7" s="2"/>
      <c r="G7" s="2"/>
      <c r="H7" s="2"/>
      <c r="I7" s="2"/>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104</v>
      </c>
      <c r="B8" s="4" t="s">
        <v>3</v>
      </c>
    </row>
    <row r="9" spans="1:255" x14ac:dyDescent="0.2">
      <c r="A9" s="3" t="s">
        <v>105</v>
      </c>
      <c r="B9" s="4" t="s">
        <v>5</v>
      </c>
    </row>
    <row r="10" spans="1:255" x14ac:dyDescent="0.2">
      <c r="A10" s="3" t="s">
        <v>106</v>
      </c>
      <c r="B10" s="5">
        <v>45043</v>
      </c>
    </row>
    <row r="11" spans="1:255" x14ac:dyDescent="0.2">
      <c r="A11" s="6"/>
    </row>
    <row r="13" spans="1:255" x14ac:dyDescent="0.2">
      <c r="A13" s="2" t="s">
        <v>7</v>
      </c>
      <c r="B13" s="2"/>
      <c r="C13" s="2"/>
      <c r="D13" s="2"/>
      <c r="E13" s="2"/>
      <c r="F13" s="2"/>
      <c r="G13" s="2"/>
      <c r="H13" s="2"/>
      <c r="I13" s="2"/>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x14ac:dyDescent="0.2">
      <c r="A14" s="9" t="s">
        <v>8</v>
      </c>
      <c r="B14" s="11" t="s">
        <v>18</v>
      </c>
      <c r="C14" s="11" t="s">
        <v>19</v>
      </c>
      <c r="D14" s="11" t="s">
        <v>20</v>
      </c>
      <c r="E14" s="11" t="s">
        <v>22</v>
      </c>
      <c r="F14" s="11" t="s">
        <v>23</v>
      </c>
      <c r="G14" s="11" t="s">
        <v>107</v>
      </c>
      <c r="H14" s="11" t="s">
        <v>24</v>
      </c>
      <c r="I14" s="11" t="s">
        <v>16</v>
      </c>
    </row>
    <row r="15" spans="1:255" ht="12" customHeight="1" x14ac:dyDescent="0.2">
      <c r="A15" s="7" t="s">
        <v>36</v>
      </c>
      <c r="B15" s="13">
        <v>387537</v>
      </c>
      <c r="C15" s="13">
        <v>125288</v>
      </c>
      <c r="D15" s="13">
        <v>113965</v>
      </c>
      <c r="E15" s="12">
        <v>397148.5</v>
      </c>
      <c r="F15" s="12">
        <v>125332.62</v>
      </c>
      <c r="G15" s="12">
        <v>5.91</v>
      </c>
      <c r="H15" s="12">
        <v>6.17</v>
      </c>
      <c r="I15" s="12">
        <v>3.58</v>
      </c>
    </row>
    <row r="16" spans="1:255" x14ac:dyDescent="0.2">
      <c r="A16" s="8"/>
      <c r="B16" s="8"/>
      <c r="C16" s="8"/>
      <c r="D16" s="8"/>
      <c r="E16" s="8"/>
      <c r="F16" s="8"/>
      <c r="G16" s="8"/>
      <c r="H16" s="8"/>
      <c r="I16" s="8"/>
    </row>
    <row r="17" spans="1:9" x14ac:dyDescent="0.2">
      <c r="A17" s="9"/>
      <c r="B17" s="9" t="s">
        <v>108</v>
      </c>
      <c r="C17" s="9" t="s">
        <v>108</v>
      </c>
      <c r="D17" s="9" t="s">
        <v>108</v>
      </c>
      <c r="E17" s="9" t="s">
        <v>109</v>
      </c>
      <c r="F17" s="9" t="s">
        <v>108</v>
      </c>
      <c r="G17" s="9" t="s">
        <v>108</v>
      </c>
      <c r="H17" s="9" t="s">
        <v>110</v>
      </c>
      <c r="I17" s="9" t="s">
        <v>108</v>
      </c>
    </row>
    <row r="18" spans="1:9" ht="20.399999999999999" x14ac:dyDescent="0.2">
      <c r="A18" s="9"/>
      <c r="B18" s="11" t="s">
        <v>50</v>
      </c>
      <c r="C18" s="11" t="s">
        <v>51</v>
      </c>
      <c r="D18" s="11" t="s">
        <v>52</v>
      </c>
      <c r="E18" s="11" t="s">
        <v>111</v>
      </c>
      <c r="F18" s="11" t="s">
        <v>112</v>
      </c>
      <c r="G18" s="11" t="s">
        <v>53</v>
      </c>
      <c r="H18" s="11" t="s">
        <v>113</v>
      </c>
      <c r="I18" s="11" t="s">
        <v>54</v>
      </c>
    </row>
    <row r="19" spans="1:9" x14ac:dyDescent="0.2">
      <c r="A19" s="9" t="s">
        <v>38</v>
      </c>
      <c r="B19" s="14" t="s">
        <v>58</v>
      </c>
      <c r="C19" s="14" t="s">
        <v>58</v>
      </c>
      <c r="D19" s="14" t="s">
        <v>58</v>
      </c>
      <c r="E19" s="19">
        <v>5.84</v>
      </c>
      <c r="F19" s="19">
        <v>32.020000000000003</v>
      </c>
      <c r="G19" s="14" t="s">
        <v>58</v>
      </c>
      <c r="H19" s="19">
        <v>29.85</v>
      </c>
      <c r="I19" s="14" t="s">
        <v>58</v>
      </c>
    </row>
    <row r="20" spans="1:9" x14ac:dyDescent="0.2">
      <c r="A20" s="9" t="s">
        <v>39</v>
      </c>
      <c r="B20" s="14" t="s">
        <v>58</v>
      </c>
      <c r="C20" s="14" t="s">
        <v>58</v>
      </c>
      <c r="D20" s="14" t="s">
        <v>58</v>
      </c>
      <c r="E20" s="19">
        <v>0.61</v>
      </c>
      <c r="F20" s="19">
        <v>5.55</v>
      </c>
      <c r="G20" s="14" t="s">
        <v>58</v>
      </c>
      <c r="H20" s="19">
        <v>7.32</v>
      </c>
      <c r="I20" s="14" t="s">
        <v>58</v>
      </c>
    </row>
    <row r="21" spans="1:9" x14ac:dyDescent="0.2">
      <c r="A21" s="9" t="s">
        <v>40</v>
      </c>
      <c r="B21" s="14" t="s">
        <v>58</v>
      </c>
      <c r="C21" s="14" t="s">
        <v>58</v>
      </c>
      <c r="D21" s="14" t="s">
        <v>58</v>
      </c>
      <c r="E21" s="19">
        <v>2.41</v>
      </c>
      <c r="F21" s="19">
        <v>11.94</v>
      </c>
      <c r="G21" s="14" t="s">
        <v>58</v>
      </c>
      <c r="H21" s="19">
        <v>15.69</v>
      </c>
      <c r="I21" s="14" t="s">
        <v>58</v>
      </c>
    </row>
    <row r="22" spans="1:9" x14ac:dyDescent="0.2">
      <c r="A22" s="9" t="s">
        <v>41</v>
      </c>
      <c r="B22" s="14" t="s">
        <v>58</v>
      </c>
      <c r="C22" s="14" t="s">
        <v>58</v>
      </c>
      <c r="D22" s="14" t="s">
        <v>58</v>
      </c>
      <c r="E22" s="19">
        <v>1.72</v>
      </c>
      <c r="F22" s="19">
        <v>8.89</v>
      </c>
      <c r="G22" s="14" t="s">
        <v>58</v>
      </c>
      <c r="H22" s="19">
        <v>11.65</v>
      </c>
      <c r="I22" s="14" t="s">
        <v>58</v>
      </c>
    </row>
    <row r="23" spans="1:9" x14ac:dyDescent="0.2">
      <c r="A23" s="8"/>
      <c r="B23" s="8"/>
      <c r="C23" s="8"/>
      <c r="D23" s="8"/>
      <c r="E23" s="8"/>
      <c r="F23" s="8"/>
      <c r="G23" s="8"/>
      <c r="H23" s="8"/>
      <c r="I23" s="8"/>
    </row>
    <row r="24" spans="1:9" x14ac:dyDescent="0.2">
      <c r="A24" s="9" t="s">
        <v>114</v>
      </c>
      <c r="B24" s="9"/>
      <c r="C24" s="9"/>
      <c r="D24" s="9"/>
      <c r="E24" s="9"/>
      <c r="F24" s="9"/>
      <c r="G24" s="9"/>
      <c r="H24" s="9"/>
      <c r="I24" s="9"/>
    </row>
    <row r="25" spans="1:9" x14ac:dyDescent="0.2">
      <c r="A25" s="7" t="s">
        <v>38</v>
      </c>
      <c r="B25" s="14" t="s">
        <v>115</v>
      </c>
      <c r="C25" s="14" t="s">
        <v>115</v>
      </c>
      <c r="D25" s="14" t="s">
        <v>115</v>
      </c>
      <c r="E25" s="12">
        <v>2320267.88</v>
      </c>
      <c r="F25" s="12">
        <v>4013109.66</v>
      </c>
      <c r="G25" s="8"/>
      <c r="H25" s="8"/>
      <c r="I25" s="8"/>
    </row>
    <row r="26" spans="1:9" x14ac:dyDescent="0.2">
      <c r="A26" s="7" t="s">
        <v>39</v>
      </c>
      <c r="B26" s="14" t="s">
        <v>115</v>
      </c>
      <c r="C26" s="14" t="s">
        <v>115</v>
      </c>
      <c r="D26" s="14" t="s">
        <v>115</v>
      </c>
      <c r="E26" s="12">
        <v>242986.62</v>
      </c>
      <c r="F26" s="12">
        <v>695115.03</v>
      </c>
      <c r="G26" s="8"/>
      <c r="H26" s="8"/>
      <c r="I26" s="8"/>
    </row>
    <row r="27" spans="1:9" x14ac:dyDescent="0.2">
      <c r="A27" s="7" t="s">
        <v>40</v>
      </c>
      <c r="B27" s="14" t="s">
        <v>115</v>
      </c>
      <c r="C27" s="14" t="s">
        <v>115</v>
      </c>
      <c r="D27" s="14" t="s">
        <v>115</v>
      </c>
      <c r="E27" s="12">
        <v>956420.38</v>
      </c>
      <c r="F27" s="12">
        <v>1496302.69</v>
      </c>
      <c r="G27" s="8"/>
      <c r="H27" s="8"/>
      <c r="I27" s="8"/>
    </row>
    <row r="28" spans="1:9" x14ac:dyDescent="0.2">
      <c r="A28" s="7" t="s">
        <v>41</v>
      </c>
      <c r="B28" s="14" t="s">
        <v>115</v>
      </c>
      <c r="C28" s="14" t="s">
        <v>115</v>
      </c>
      <c r="D28" s="14" t="s">
        <v>115</v>
      </c>
      <c r="E28" s="12">
        <v>683714.37</v>
      </c>
      <c r="F28" s="12">
        <v>1114428.1399999999</v>
      </c>
      <c r="G28" s="8"/>
      <c r="H28" s="8"/>
      <c r="I28" s="8"/>
    </row>
    <row r="29" spans="1:9" x14ac:dyDescent="0.2">
      <c r="A29" s="8"/>
      <c r="B29" s="8"/>
      <c r="C29" s="8"/>
      <c r="D29" s="8"/>
      <c r="E29" s="8"/>
      <c r="F29" s="8"/>
      <c r="G29" s="8"/>
      <c r="H29" s="8"/>
      <c r="I29" s="8"/>
    </row>
    <row r="30" spans="1:9" ht="12" customHeight="1" x14ac:dyDescent="0.2">
      <c r="A30" s="9" t="s">
        <v>116</v>
      </c>
      <c r="B30" s="13">
        <v>51355</v>
      </c>
      <c r="C30" s="13">
        <v>51355</v>
      </c>
      <c r="D30" s="13">
        <v>51355</v>
      </c>
      <c r="E30" s="13">
        <v>51355</v>
      </c>
      <c r="F30" s="13">
        <v>51355</v>
      </c>
      <c r="G30" s="8"/>
      <c r="H30" s="8"/>
      <c r="I30" s="8"/>
    </row>
    <row r="31" spans="1:9" ht="12" customHeight="1" x14ac:dyDescent="0.2">
      <c r="A31" s="9" t="s">
        <v>117</v>
      </c>
      <c r="B31" s="13">
        <v>111110</v>
      </c>
      <c r="C31" s="13">
        <v>111110</v>
      </c>
      <c r="D31" s="13">
        <v>111110</v>
      </c>
      <c r="E31" s="13">
        <v>111110</v>
      </c>
      <c r="F31" s="13">
        <v>111110</v>
      </c>
      <c r="G31" s="8"/>
      <c r="H31" s="8"/>
      <c r="I31" s="8"/>
    </row>
    <row r="32" spans="1:9" ht="12" customHeight="1" x14ac:dyDescent="0.2">
      <c r="A32" s="9" t="s">
        <v>118</v>
      </c>
      <c r="B32" s="14" t="s">
        <v>26</v>
      </c>
      <c r="C32" s="14" t="s">
        <v>26</v>
      </c>
      <c r="D32" s="14" t="s">
        <v>26</v>
      </c>
      <c r="E32" s="14" t="s">
        <v>26</v>
      </c>
      <c r="F32" s="14" t="s">
        <v>26</v>
      </c>
      <c r="G32" s="8"/>
      <c r="H32" s="8"/>
      <c r="I32" s="8"/>
    </row>
    <row r="33" spans="1:9" ht="12" customHeight="1" x14ac:dyDescent="0.2">
      <c r="A33" s="9" t="s">
        <v>119</v>
      </c>
      <c r="B33" s="14" t="s">
        <v>26</v>
      </c>
      <c r="C33" s="14" t="s">
        <v>26</v>
      </c>
      <c r="D33" s="14" t="s">
        <v>26</v>
      </c>
      <c r="E33" s="14" t="s">
        <v>26</v>
      </c>
      <c r="F33" s="14" t="s">
        <v>26</v>
      </c>
      <c r="G33" s="8"/>
      <c r="H33" s="8"/>
      <c r="I33" s="8"/>
    </row>
    <row r="34" spans="1:9" x14ac:dyDescent="0.2">
      <c r="A34" s="8"/>
      <c r="B34" s="8"/>
      <c r="C34" s="8"/>
      <c r="D34" s="8"/>
      <c r="E34" s="8"/>
      <c r="F34" s="8"/>
      <c r="G34" s="8"/>
      <c r="H34" s="8"/>
      <c r="I34" s="8"/>
    </row>
    <row r="35" spans="1:9" x14ac:dyDescent="0.2">
      <c r="A35" s="9" t="s">
        <v>120</v>
      </c>
      <c r="B35" s="9"/>
      <c r="C35" s="9"/>
      <c r="D35" s="9"/>
      <c r="E35" s="9"/>
      <c r="F35" s="9"/>
      <c r="G35" s="9"/>
      <c r="H35" s="9"/>
      <c r="I35" s="9"/>
    </row>
    <row r="36" spans="1:9" x14ac:dyDescent="0.2">
      <c r="A36" s="7" t="s">
        <v>38</v>
      </c>
      <c r="B36" s="14" t="s">
        <v>115</v>
      </c>
      <c r="C36" s="14" t="s">
        <v>115</v>
      </c>
      <c r="D36" s="14" t="s">
        <v>115</v>
      </c>
      <c r="E36" s="12">
        <v>2260512.88</v>
      </c>
      <c r="F36" s="12">
        <v>3953354.66</v>
      </c>
      <c r="G36" s="14" t="s">
        <v>115</v>
      </c>
      <c r="H36" s="12">
        <v>2916029.28</v>
      </c>
      <c r="I36" s="14" t="s">
        <v>115</v>
      </c>
    </row>
    <row r="37" spans="1:9" x14ac:dyDescent="0.2">
      <c r="A37" s="7" t="s">
        <v>39</v>
      </c>
      <c r="B37" s="14" t="s">
        <v>115</v>
      </c>
      <c r="C37" s="14" t="s">
        <v>115</v>
      </c>
      <c r="D37" s="14" t="s">
        <v>115</v>
      </c>
      <c r="E37" s="12">
        <v>183231.62</v>
      </c>
      <c r="F37" s="12">
        <v>635360.03</v>
      </c>
      <c r="G37" s="14" t="s">
        <v>115</v>
      </c>
      <c r="H37" s="12">
        <v>715385.48</v>
      </c>
      <c r="I37" s="14" t="s">
        <v>115</v>
      </c>
    </row>
    <row r="38" spans="1:9" x14ac:dyDescent="0.2">
      <c r="A38" s="7" t="s">
        <v>40</v>
      </c>
      <c r="B38" s="14" t="s">
        <v>115</v>
      </c>
      <c r="C38" s="14" t="s">
        <v>115</v>
      </c>
      <c r="D38" s="14" t="s">
        <v>115</v>
      </c>
      <c r="E38" s="12">
        <v>896665.38</v>
      </c>
      <c r="F38" s="12">
        <v>1436547.69</v>
      </c>
      <c r="G38" s="14" t="s">
        <v>115</v>
      </c>
      <c r="H38" s="12">
        <v>1533220.71</v>
      </c>
      <c r="I38" s="14" t="s">
        <v>115</v>
      </c>
    </row>
    <row r="39" spans="1:9" x14ac:dyDescent="0.2">
      <c r="A39" s="7" t="s">
        <v>41</v>
      </c>
      <c r="B39" s="14" t="s">
        <v>115</v>
      </c>
      <c r="C39" s="14" t="s">
        <v>115</v>
      </c>
      <c r="D39" s="14" t="s">
        <v>115</v>
      </c>
      <c r="E39" s="12">
        <v>623959.37</v>
      </c>
      <c r="F39" s="12">
        <v>1054673.1399999999</v>
      </c>
      <c r="G39" s="14" t="s">
        <v>115</v>
      </c>
      <c r="H39" s="12">
        <v>1137704.26</v>
      </c>
      <c r="I39" s="14" t="s">
        <v>115</v>
      </c>
    </row>
    <row r="40" spans="1:9" x14ac:dyDescent="0.2">
      <c r="A40" s="8"/>
      <c r="B40" s="8"/>
      <c r="C40" s="8"/>
      <c r="D40" s="8"/>
      <c r="E40" s="8"/>
      <c r="F40" s="8"/>
      <c r="G40" s="8"/>
      <c r="H40" s="8"/>
      <c r="I40" s="8"/>
    </row>
    <row r="41" spans="1:9" ht="12" customHeight="1" x14ac:dyDescent="0.2">
      <c r="A41" s="9" t="s">
        <v>121</v>
      </c>
      <c r="B41" s="12">
        <v>15821.95</v>
      </c>
      <c r="C41" s="12">
        <v>15821.95</v>
      </c>
      <c r="D41" s="12">
        <v>15821.95</v>
      </c>
      <c r="E41" s="12">
        <v>15821.95</v>
      </c>
      <c r="F41" s="12">
        <v>15821.95</v>
      </c>
      <c r="G41" s="12">
        <v>15821.95</v>
      </c>
      <c r="H41" s="12">
        <v>15821.95</v>
      </c>
      <c r="I41" s="12">
        <v>15821.95</v>
      </c>
    </row>
    <row r="42" spans="1:9" x14ac:dyDescent="0.2">
      <c r="A42" s="8"/>
      <c r="B42" s="8"/>
      <c r="C42" s="8"/>
      <c r="D42" s="8"/>
      <c r="E42" s="8"/>
      <c r="F42" s="8"/>
      <c r="G42" s="8"/>
      <c r="H42" s="8"/>
      <c r="I42" s="8"/>
    </row>
    <row r="43" spans="1:9" x14ac:dyDescent="0.2">
      <c r="A43" s="9" t="s">
        <v>122</v>
      </c>
      <c r="B43" s="9"/>
      <c r="C43" s="9"/>
      <c r="D43" s="9"/>
      <c r="E43" s="9"/>
      <c r="F43" s="9"/>
      <c r="G43" s="9"/>
      <c r="H43" s="9"/>
      <c r="I43" s="9"/>
    </row>
    <row r="44" spans="1:9" x14ac:dyDescent="0.2">
      <c r="A44" s="7" t="s">
        <v>38</v>
      </c>
      <c r="B44" s="14" t="s">
        <v>115</v>
      </c>
      <c r="C44" s="14" t="s">
        <v>115</v>
      </c>
      <c r="D44" s="14" t="s">
        <v>115</v>
      </c>
      <c r="E44" s="12">
        <v>142.87</v>
      </c>
      <c r="F44" s="12">
        <v>249.87</v>
      </c>
      <c r="G44" s="14" t="s">
        <v>115</v>
      </c>
      <c r="H44" s="12">
        <v>184.3</v>
      </c>
      <c r="I44" s="14" t="s">
        <v>115</v>
      </c>
    </row>
    <row r="45" spans="1:9" x14ac:dyDescent="0.2">
      <c r="A45" s="7" t="s">
        <v>39</v>
      </c>
      <c r="B45" s="14" t="s">
        <v>115</v>
      </c>
      <c r="C45" s="14" t="s">
        <v>115</v>
      </c>
      <c r="D45" s="14" t="s">
        <v>115</v>
      </c>
      <c r="E45" s="12">
        <v>11.58</v>
      </c>
      <c r="F45" s="12">
        <v>40.159999999999997</v>
      </c>
      <c r="G45" s="14" t="s">
        <v>115</v>
      </c>
      <c r="H45" s="12">
        <v>45.21</v>
      </c>
      <c r="I45" s="14" t="s">
        <v>115</v>
      </c>
    </row>
    <row r="46" spans="1:9" x14ac:dyDescent="0.2">
      <c r="A46" s="7" t="s">
        <v>40</v>
      </c>
      <c r="B46" s="14" t="s">
        <v>115</v>
      </c>
      <c r="C46" s="14" t="s">
        <v>115</v>
      </c>
      <c r="D46" s="14" t="s">
        <v>115</v>
      </c>
      <c r="E46" s="12">
        <v>56.67</v>
      </c>
      <c r="F46" s="12">
        <v>90.79</v>
      </c>
      <c r="G46" s="14" t="s">
        <v>115</v>
      </c>
      <c r="H46" s="12">
        <v>96.9</v>
      </c>
      <c r="I46" s="14" t="s">
        <v>115</v>
      </c>
    </row>
    <row r="47" spans="1:9" x14ac:dyDescent="0.2">
      <c r="A47" s="7" t="s">
        <v>41</v>
      </c>
      <c r="B47" s="14" t="s">
        <v>115</v>
      </c>
      <c r="C47" s="14" t="s">
        <v>115</v>
      </c>
      <c r="D47" s="14" t="s">
        <v>115</v>
      </c>
      <c r="E47" s="12">
        <v>39.44</v>
      </c>
      <c r="F47" s="12">
        <v>66.66</v>
      </c>
      <c r="G47" s="14" t="s">
        <v>115</v>
      </c>
      <c r="H47" s="12">
        <v>71.91</v>
      </c>
      <c r="I47" s="14" t="s">
        <v>115</v>
      </c>
    </row>
    <row r="48" spans="1:9" x14ac:dyDescent="0.2">
      <c r="A48" s="8"/>
      <c r="B48" s="8"/>
      <c r="C48" s="8"/>
      <c r="D48" s="8"/>
      <c r="E48" s="8"/>
      <c r="F48" s="8"/>
      <c r="G48" s="8"/>
      <c r="H48" s="8"/>
      <c r="I48" s="8"/>
    </row>
    <row r="49" spans="1:9" ht="20.399999999999999" x14ac:dyDescent="0.2">
      <c r="A49" s="9" t="s">
        <v>123</v>
      </c>
      <c r="B49" s="11" t="s">
        <v>124</v>
      </c>
      <c r="C49" s="11" t="s">
        <v>125</v>
      </c>
      <c r="D49" s="9"/>
      <c r="E49" s="9"/>
      <c r="F49" s="9"/>
      <c r="G49" s="9"/>
      <c r="H49" s="9"/>
      <c r="I49" s="9"/>
    </row>
    <row r="50" spans="1:9" x14ac:dyDescent="0.2">
      <c r="A50" s="9" t="s">
        <v>38</v>
      </c>
      <c r="B50" s="24">
        <v>3043298.94</v>
      </c>
      <c r="C50" s="24">
        <v>192.35</v>
      </c>
      <c r="D50" s="8"/>
      <c r="E50" s="8"/>
      <c r="F50" s="8"/>
      <c r="G50" s="8"/>
      <c r="H50" s="8"/>
      <c r="I50" s="8"/>
    </row>
    <row r="51" spans="1:9" x14ac:dyDescent="0.2">
      <c r="A51" s="9" t="s">
        <v>39</v>
      </c>
      <c r="B51" s="24">
        <v>511325.71</v>
      </c>
      <c r="C51" s="24">
        <v>32.32</v>
      </c>
      <c r="D51" s="8"/>
      <c r="E51" s="8"/>
      <c r="F51" s="8"/>
      <c r="G51" s="8"/>
      <c r="H51" s="8"/>
      <c r="I51" s="8"/>
    </row>
    <row r="52" spans="1:9" x14ac:dyDescent="0.2">
      <c r="A52" s="9" t="s">
        <v>40</v>
      </c>
      <c r="B52" s="24">
        <v>1288811.26</v>
      </c>
      <c r="C52" s="24">
        <v>81.459999999999994</v>
      </c>
      <c r="D52" s="8"/>
      <c r="E52" s="8"/>
      <c r="F52" s="8"/>
      <c r="G52" s="8"/>
      <c r="H52" s="8"/>
      <c r="I52" s="8"/>
    </row>
    <row r="53" spans="1:9" x14ac:dyDescent="0.2">
      <c r="A53" s="9" t="s">
        <v>41</v>
      </c>
      <c r="B53" s="24">
        <v>938778.92</v>
      </c>
      <c r="C53" s="24">
        <v>59.33</v>
      </c>
      <c r="D53" s="8"/>
      <c r="E53" s="8"/>
      <c r="F53" s="8"/>
      <c r="G53" s="8"/>
      <c r="H53" s="8"/>
      <c r="I53" s="8"/>
    </row>
    <row r="54" spans="1:9" x14ac:dyDescent="0.2">
      <c r="A54" s="10"/>
      <c r="B54" s="10"/>
      <c r="C54" s="10"/>
      <c r="D54" s="10"/>
      <c r="E54" s="10"/>
      <c r="F54" s="10"/>
      <c r="G54" s="10"/>
      <c r="H54" s="10"/>
      <c r="I54" s="10"/>
    </row>
    <row r="55" spans="1:9" x14ac:dyDescent="0.2">
      <c r="A55" s="6"/>
    </row>
    <row r="60" spans="1:9" x14ac:dyDescent="0.2">
      <c r="A60" t="s">
        <v>43</v>
      </c>
    </row>
    <row r="69" spans="1:1" ht="25.05" customHeight="1" x14ac:dyDescent="0.2">
      <c r="A69" s="18" t="s">
        <v>45</v>
      </c>
    </row>
  </sheetData>
  <pageMargins left="0.2" right="0.2" top="0.5" bottom="0.5" header="0.5" footer="0.5"/>
  <pageSetup fitToWidth="0" fitToHeight="0" orientation="landscape" horizontalDpi="300" verticalDpi="300"/>
  <headerFooter alignWithMargins="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ABD6D-693B-47A3-9FBA-5D8692EBD458}">
  <sheetPr codeName="Sheet8">
    <outlinePr summaryBelow="0" summaryRight="0"/>
  </sheetPr>
  <dimension ref="A4:IU32"/>
  <sheetViews>
    <sheetView defaultGridColor="0" colorId="0" workbookViewId="0"/>
  </sheetViews>
  <sheetFormatPr defaultRowHeight="10.199999999999999" x14ac:dyDescent="0.2"/>
  <cols>
    <col min="1" max="1" width="25.88671875" customWidth="1"/>
    <col min="2" max="2" width="75.88671875" customWidth="1"/>
    <col min="3" max="8" width="9.33203125"/>
  </cols>
  <sheetData>
    <row r="4" spans="1:255" ht="16.2" x14ac:dyDescent="0.25">
      <c r="A4" s="1" t="s">
        <v>126</v>
      </c>
    </row>
    <row r="7" spans="1:255" x14ac:dyDescent="0.2">
      <c r="A7" s="2" t="s">
        <v>1</v>
      </c>
      <c r="B7" s="2"/>
      <c r="C7" s="41"/>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127</v>
      </c>
      <c r="B8" s="4" t="s">
        <v>3</v>
      </c>
    </row>
    <row r="9" spans="1:255" x14ac:dyDescent="0.2">
      <c r="A9" s="3" t="s">
        <v>128</v>
      </c>
      <c r="B9" s="4" t="s">
        <v>5</v>
      </c>
    </row>
    <row r="10" spans="1:255" x14ac:dyDescent="0.2">
      <c r="A10" s="3" t="s">
        <v>129</v>
      </c>
      <c r="B10" s="5">
        <v>45043</v>
      </c>
    </row>
    <row r="11" spans="1:255" x14ac:dyDescent="0.2">
      <c r="A11" s="6"/>
    </row>
    <row r="13" spans="1:255" x14ac:dyDescent="0.2">
      <c r="A13" s="2" t="s">
        <v>7</v>
      </c>
      <c r="B13" s="2"/>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x14ac:dyDescent="0.2">
      <c r="A14" s="25"/>
      <c r="B14" s="27"/>
    </row>
    <row r="15" spans="1:255" ht="400.05" customHeight="1" x14ac:dyDescent="0.2">
      <c r="A15" s="26"/>
      <c r="B15" s="10"/>
    </row>
    <row r="18" spans="1:1" x14ac:dyDescent="0.2">
      <c r="A18" s="6"/>
    </row>
    <row r="23" spans="1:1" x14ac:dyDescent="0.2">
      <c r="A23" t="s">
        <v>43</v>
      </c>
    </row>
    <row r="32" spans="1:1" ht="25.05" customHeight="1" x14ac:dyDescent="0.2">
      <c r="A32" s="18" t="s">
        <v>45</v>
      </c>
    </row>
  </sheetData>
  <pageMargins left="0.2" right="0.2" top="0.5" bottom="0.5" header="0.5" footer="0.5"/>
  <pageSetup fitToWidth="0" fitToHeight="0" orientation="landscape" horizontalDpi="300" verticalDpi="300"/>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78670-25E1-4ED4-A884-39CABE887FB1}">
  <sheetPr codeName="Sheet9">
    <outlinePr summaryBelow="0" summaryRight="0"/>
  </sheetPr>
  <dimension ref="A4:IU48"/>
  <sheetViews>
    <sheetView defaultGridColor="0" colorId="0" workbookViewId="0"/>
  </sheetViews>
  <sheetFormatPr defaultRowHeight="10.199999999999999" x14ac:dyDescent="0.2"/>
  <cols>
    <col min="1" max="1" width="47.88671875" customWidth="1"/>
    <col min="2" max="5" width="13.88671875" customWidth="1"/>
    <col min="6" max="12" width="25.88671875" customWidth="1"/>
  </cols>
  <sheetData>
    <row r="4" spans="1:255" ht="16.2" x14ac:dyDescent="0.25">
      <c r="A4" s="1" t="s">
        <v>130</v>
      </c>
    </row>
    <row r="7" spans="1:255" x14ac:dyDescent="0.2">
      <c r="A7" s="2" t="s">
        <v>1</v>
      </c>
      <c r="B7" s="2"/>
      <c r="C7" s="2"/>
      <c r="D7" s="2"/>
      <c r="E7" s="2"/>
      <c r="F7" s="2"/>
      <c r="G7" s="2"/>
      <c r="H7" s="2"/>
      <c r="I7" s="2"/>
      <c r="J7" s="2"/>
      <c r="K7" s="2"/>
      <c r="L7" s="2"/>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131</v>
      </c>
      <c r="B8" s="4" t="s">
        <v>3</v>
      </c>
    </row>
    <row r="9" spans="1:255" x14ac:dyDescent="0.2">
      <c r="A9" s="3" t="s">
        <v>132</v>
      </c>
      <c r="B9" s="4" t="s">
        <v>5</v>
      </c>
    </row>
    <row r="10" spans="1:255" x14ac:dyDescent="0.2">
      <c r="A10" s="3" t="s">
        <v>133</v>
      </c>
      <c r="B10" s="5">
        <v>45043</v>
      </c>
    </row>
    <row r="11" spans="1:255" x14ac:dyDescent="0.2">
      <c r="A11" s="6"/>
    </row>
    <row r="13" spans="1:255" x14ac:dyDescent="0.2">
      <c r="A13" s="2" t="s">
        <v>7</v>
      </c>
      <c r="B13" s="2"/>
      <c r="C13" s="2"/>
      <c r="D13" s="2"/>
      <c r="E13" s="2"/>
      <c r="F13" s="2"/>
      <c r="G13" s="2"/>
      <c r="H13" s="2"/>
      <c r="I13" s="2"/>
      <c r="J13" s="2"/>
      <c r="K13" s="2"/>
      <c r="L13" s="2"/>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28" t="s">
        <v>8</v>
      </c>
      <c r="B14" s="29" t="s">
        <v>134</v>
      </c>
      <c r="C14" s="29" t="s">
        <v>135</v>
      </c>
      <c r="D14" s="29" t="s">
        <v>136</v>
      </c>
      <c r="E14" s="29" t="s">
        <v>137</v>
      </c>
      <c r="F14" s="34" t="s">
        <v>138</v>
      </c>
      <c r="G14" s="34" t="s">
        <v>139</v>
      </c>
      <c r="H14" s="29" t="s">
        <v>140</v>
      </c>
      <c r="I14" s="29" t="s">
        <v>141</v>
      </c>
      <c r="J14" s="29" t="s">
        <v>142</v>
      </c>
      <c r="K14" s="28" t="s">
        <v>143</v>
      </c>
      <c r="L14" s="28" t="s">
        <v>144</v>
      </c>
    </row>
    <row r="15" spans="1:255" ht="12" customHeight="1" x14ac:dyDescent="0.2">
      <c r="A15" s="28" t="s">
        <v>27</v>
      </c>
      <c r="B15" s="30">
        <v>1</v>
      </c>
      <c r="C15" s="30">
        <v>1</v>
      </c>
      <c r="D15" s="30">
        <v>1</v>
      </c>
      <c r="E15" s="30">
        <v>1</v>
      </c>
      <c r="F15" s="35">
        <v>44926</v>
      </c>
      <c r="G15" s="35">
        <v>45043</v>
      </c>
      <c r="H15" s="36" t="s">
        <v>145</v>
      </c>
      <c r="I15" s="36" t="s">
        <v>146</v>
      </c>
      <c r="J15" s="36" t="s">
        <v>147</v>
      </c>
      <c r="K15" s="37" t="s">
        <v>148</v>
      </c>
      <c r="L15" s="37" t="s">
        <v>149</v>
      </c>
    </row>
    <row r="16" spans="1:255" ht="12" customHeight="1" x14ac:dyDescent="0.2">
      <c r="A16" s="28" t="s">
        <v>32</v>
      </c>
      <c r="B16" s="30">
        <v>1</v>
      </c>
      <c r="C16" s="31">
        <v>2</v>
      </c>
      <c r="D16" s="31">
        <v>2</v>
      </c>
      <c r="E16" s="31">
        <v>2</v>
      </c>
      <c r="F16" s="35">
        <v>44920</v>
      </c>
      <c r="G16" s="35">
        <v>44961</v>
      </c>
      <c r="H16" s="36" t="s">
        <v>150</v>
      </c>
      <c r="I16" s="36" t="s">
        <v>151</v>
      </c>
      <c r="J16" s="36" t="s">
        <v>152</v>
      </c>
      <c r="K16" s="37" t="s">
        <v>148</v>
      </c>
      <c r="L16" s="37" t="s">
        <v>153</v>
      </c>
    </row>
    <row r="17" spans="1:12" ht="12" customHeight="1" x14ac:dyDescent="0.2">
      <c r="A17" s="28" t="s">
        <v>35</v>
      </c>
      <c r="B17" s="31">
        <v>2</v>
      </c>
      <c r="C17" s="32">
        <v>3</v>
      </c>
      <c r="D17" s="30">
        <v>1</v>
      </c>
      <c r="E17" s="30">
        <v>1</v>
      </c>
      <c r="F17" s="35">
        <v>44926</v>
      </c>
      <c r="G17" s="35">
        <v>44985</v>
      </c>
      <c r="H17" s="36" t="s">
        <v>154</v>
      </c>
      <c r="I17" s="36" t="s">
        <v>155</v>
      </c>
      <c r="J17" s="36" t="s">
        <v>156</v>
      </c>
      <c r="K17" s="37" t="s">
        <v>148</v>
      </c>
      <c r="L17" s="37" t="s">
        <v>153</v>
      </c>
    </row>
    <row r="18" spans="1:12" ht="12" customHeight="1" x14ac:dyDescent="0.2">
      <c r="A18" s="28" t="s">
        <v>33</v>
      </c>
      <c r="B18" s="31">
        <v>2</v>
      </c>
      <c r="C18" s="32">
        <v>3</v>
      </c>
      <c r="D18" s="31">
        <v>2</v>
      </c>
      <c r="E18" s="31">
        <v>2</v>
      </c>
      <c r="F18" s="35">
        <v>44926</v>
      </c>
      <c r="G18" s="35">
        <v>44954</v>
      </c>
      <c r="H18" s="36" t="s">
        <v>150</v>
      </c>
      <c r="I18" s="36" t="s">
        <v>157</v>
      </c>
      <c r="J18" s="36" t="s">
        <v>158</v>
      </c>
      <c r="K18" s="37" t="s">
        <v>148</v>
      </c>
      <c r="L18" s="37" t="s">
        <v>153</v>
      </c>
    </row>
    <row r="19" spans="1:12" ht="12" customHeight="1" x14ac:dyDescent="0.2">
      <c r="A19" s="28" t="s">
        <v>25</v>
      </c>
      <c r="B19" s="32">
        <v>3</v>
      </c>
      <c r="C19" s="31">
        <v>2</v>
      </c>
      <c r="D19" s="31">
        <v>2</v>
      </c>
      <c r="E19" s="33">
        <v>4</v>
      </c>
      <c r="F19" s="35">
        <v>44926</v>
      </c>
      <c r="G19" s="35">
        <v>45028</v>
      </c>
      <c r="H19" s="36" t="s">
        <v>159</v>
      </c>
      <c r="I19" s="36" t="s">
        <v>160</v>
      </c>
      <c r="J19" s="36" t="s">
        <v>161</v>
      </c>
      <c r="K19" s="37" t="s">
        <v>148</v>
      </c>
      <c r="L19" s="37" t="s">
        <v>162</v>
      </c>
    </row>
    <row r="20" spans="1:12" ht="12" customHeight="1" x14ac:dyDescent="0.2">
      <c r="A20" s="28" t="s">
        <v>31</v>
      </c>
      <c r="B20" s="32">
        <v>3</v>
      </c>
      <c r="C20" s="32">
        <v>3</v>
      </c>
      <c r="D20" s="33">
        <v>4</v>
      </c>
      <c r="E20" s="31">
        <v>2</v>
      </c>
      <c r="F20" s="35">
        <v>44953</v>
      </c>
      <c r="G20" s="35">
        <v>44987</v>
      </c>
      <c r="H20" s="36" t="s">
        <v>163</v>
      </c>
      <c r="I20" s="36" t="s">
        <v>157</v>
      </c>
      <c r="J20" s="36" t="s">
        <v>164</v>
      </c>
      <c r="K20" s="37" t="s">
        <v>148</v>
      </c>
      <c r="L20" s="37" t="s">
        <v>165</v>
      </c>
    </row>
    <row r="21" spans="1:12" ht="12" customHeight="1" x14ac:dyDescent="0.2">
      <c r="A21" s="28" t="s">
        <v>34</v>
      </c>
      <c r="B21" s="32">
        <v>3</v>
      </c>
      <c r="C21" s="33">
        <v>4</v>
      </c>
      <c r="D21" s="32">
        <v>3</v>
      </c>
      <c r="E21" s="32">
        <v>3</v>
      </c>
      <c r="F21" s="35">
        <v>44925</v>
      </c>
      <c r="G21" s="35">
        <v>44961</v>
      </c>
      <c r="H21" s="36" t="s">
        <v>166</v>
      </c>
      <c r="I21" s="36" t="s">
        <v>167</v>
      </c>
      <c r="J21" s="36" t="s">
        <v>168</v>
      </c>
      <c r="K21" s="37" t="s">
        <v>148</v>
      </c>
      <c r="L21" s="37" t="s">
        <v>165</v>
      </c>
    </row>
    <row r="22" spans="1:12" ht="12" customHeight="1" x14ac:dyDescent="0.2">
      <c r="A22" s="28" t="s">
        <v>30</v>
      </c>
      <c r="B22" s="33">
        <v>4</v>
      </c>
      <c r="C22" s="31">
        <v>2</v>
      </c>
      <c r="D22" s="33">
        <v>4</v>
      </c>
      <c r="E22" s="33">
        <v>4</v>
      </c>
      <c r="F22" s="35">
        <v>44957</v>
      </c>
      <c r="G22" s="35">
        <v>44987</v>
      </c>
      <c r="H22" s="36" t="s">
        <v>169</v>
      </c>
      <c r="I22" s="36" t="s">
        <v>155</v>
      </c>
      <c r="J22" s="36" t="s">
        <v>170</v>
      </c>
      <c r="K22" s="37" t="s">
        <v>148</v>
      </c>
      <c r="L22" s="37" t="s">
        <v>165</v>
      </c>
    </row>
    <row r="23" spans="1:12" ht="12" customHeight="1" x14ac:dyDescent="0.2">
      <c r="A23" s="28" t="s">
        <v>29</v>
      </c>
      <c r="B23" s="33">
        <v>4</v>
      </c>
      <c r="C23" s="33">
        <v>4</v>
      </c>
      <c r="D23" s="32">
        <v>3</v>
      </c>
      <c r="E23" s="32">
        <v>3</v>
      </c>
      <c r="F23" s="35">
        <v>44957</v>
      </c>
      <c r="G23" s="35">
        <v>45002</v>
      </c>
      <c r="H23" s="36" t="s">
        <v>169</v>
      </c>
      <c r="I23" s="36" t="s">
        <v>171</v>
      </c>
      <c r="J23" s="36" t="s">
        <v>172</v>
      </c>
      <c r="K23" s="37" t="s">
        <v>148</v>
      </c>
      <c r="L23" s="37" t="s">
        <v>165</v>
      </c>
    </row>
    <row r="24" spans="1:12" ht="12" customHeight="1" x14ac:dyDescent="0.2">
      <c r="A24" s="28" t="s">
        <v>28</v>
      </c>
      <c r="B24" s="33">
        <v>4</v>
      </c>
      <c r="C24" s="33">
        <v>4</v>
      </c>
      <c r="D24" s="33">
        <v>4</v>
      </c>
      <c r="E24" s="33">
        <v>4</v>
      </c>
      <c r="F24" s="35">
        <v>44960</v>
      </c>
      <c r="G24" s="35">
        <v>45016</v>
      </c>
      <c r="H24" s="36" t="s">
        <v>169</v>
      </c>
      <c r="I24" s="36" t="s">
        <v>157</v>
      </c>
      <c r="J24" s="36" t="s">
        <v>173</v>
      </c>
      <c r="K24" s="37" t="s">
        <v>148</v>
      </c>
      <c r="L24" s="37" t="s">
        <v>165</v>
      </c>
    </row>
    <row r="25" spans="1:12" x14ac:dyDescent="0.2">
      <c r="A25" s="8"/>
      <c r="B25" s="8"/>
      <c r="C25" s="8"/>
      <c r="D25" s="8"/>
      <c r="E25" s="8"/>
      <c r="F25" s="8"/>
      <c r="G25" s="8"/>
      <c r="H25" s="8"/>
      <c r="I25" s="8"/>
      <c r="J25" s="8"/>
      <c r="K25" s="8"/>
      <c r="L25" s="8"/>
    </row>
    <row r="26" spans="1:12" x14ac:dyDescent="0.2">
      <c r="A26" s="9"/>
      <c r="B26" s="9"/>
      <c r="C26" s="9"/>
      <c r="D26" s="9"/>
      <c r="E26" s="9"/>
      <c r="F26" s="9"/>
      <c r="G26" s="9"/>
      <c r="H26" s="9"/>
      <c r="I26" s="9"/>
      <c r="J26" s="9"/>
      <c r="K26" s="9"/>
      <c r="L26" s="9"/>
    </row>
    <row r="27" spans="1:12" ht="12" customHeight="1" x14ac:dyDescent="0.2">
      <c r="A27" s="28" t="s">
        <v>36</v>
      </c>
      <c r="B27" s="31">
        <v>2</v>
      </c>
      <c r="C27" s="30">
        <v>1</v>
      </c>
      <c r="D27" s="32">
        <v>3</v>
      </c>
      <c r="E27" s="32">
        <v>3</v>
      </c>
      <c r="F27" s="35">
        <v>44926</v>
      </c>
      <c r="G27" s="35">
        <v>44961</v>
      </c>
      <c r="H27" s="36" t="s">
        <v>145</v>
      </c>
      <c r="I27" s="36" t="s">
        <v>146</v>
      </c>
      <c r="J27" s="36" t="s">
        <v>174</v>
      </c>
      <c r="K27" s="37" t="s">
        <v>148</v>
      </c>
      <c r="L27" s="37" t="s">
        <v>165</v>
      </c>
    </row>
    <row r="28" spans="1:12" x14ac:dyDescent="0.2">
      <c r="A28" s="10"/>
      <c r="B28" s="10"/>
      <c r="C28" s="10"/>
      <c r="D28" s="10"/>
      <c r="E28" s="10"/>
      <c r="F28" s="10"/>
      <c r="G28" s="10"/>
      <c r="H28" s="10"/>
      <c r="I28" s="10"/>
      <c r="J28" s="10"/>
      <c r="K28" s="10"/>
      <c r="L28" s="10"/>
    </row>
    <row r="30" spans="1:12" x14ac:dyDescent="0.2">
      <c r="A30" s="6" t="s">
        <v>42</v>
      </c>
    </row>
    <row r="35" spans="1:1" x14ac:dyDescent="0.2">
      <c r="A35" t="s">
        <v>43</v>
      </c>
    </row>
    <row r="38" spans="1:1" x14ac:dyDescent="0.2">
      <c r="A38" t="s">
        <v>175</v>
      </c>
    </row>
    <row r="45" spans="1:1" ht="25.05" customHeight="1" x14ac:dyDescent="0.2">
      <c r="A45" s="18" t="s">
        <v>176</v>
      </c>
    </row>
    <row r="48" spans="1:1" ht="120" customHeight="1" x14ac:dyDescent="0.2">
      <c r="A48" s="38" t="s">
        <v>177</v>
      </c>
    </row>
  </sheetData>
  <pageMargins left="0.2" right="0.2" top="0.5" bottom="0.5" header="0.5" footer="0.5"/>
  <pageSetup fitToWidth="0" fitToHeight="0" orientation="landscape" horizontalDpi="300" verticalDpi="300"/>
  <headerFooter alignWithMargin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8BC6BB-6854-40C8-B9B4-988E1B9BBEC3}">
  <sheetPr codeName="Sheet10">
    <outlinePr summaryBelow="0" summaryRight="0"/>
  </sheetPr>
  <dimension ref="A6:A26"/>
  <sheetViews>
    <sheetView defaultGridColor="0" colorId="0" workbookViewId="0"/>
  </sheetViews>
  <sheetFormatPr defaultRowHeight="10.199999999999999" x14ac:dyDescent="0.2"/>
  <cols>
    <col min="1" max="1" width="150.88671875" customWidth="1"/>
    <col min="2" max="2" width="9.33203125"/>
  </cols>
  <sheetData>
    <row r="6" spans="1:1" ht="16.5" customHeight="1" x14ac:dyDescent="0.25">
      <c r="A6" s="1" t="s">
        <v>178</v>
      </c>
    </row>
    <row r="8" spans="1:1" x14ac:dyDescent="0.2">
      <c r="A8" t="s">
        <v>179</v>
      </c>
    </row>
    <row r="10" spans="1:1" ht="120" customHeight="1" x14ac:dyDescent="0.2">
      <c r="A10" s="39" t="s">
        <v>180</v>
      </c>
    </row>
    <row r="12" spans="1:1" ht="72" customHeight="1" x14ac:dyDescent="0.2">
      <c r="A12" s="39" t="s">
        <v>181</v>
      </c>
    </row>
    <row r="14" spans="1:1" ht="36" customHeight="1" x14ac:dyDescent="0.2">
      <c r="A14" s="39" t="s">
        <v>182</v>
      </c>
    </row>
    <row r="16" spans="1:1" ht="36" customHeight="1" x14ac:dyDescent="0.2">
      <c r="A16" s="40" t="s">
        <v>183</v>
      </c>
    </row>
    <row r="18" spans="1:1" ht="36" customHeight="1" x14ac:dyDescent="0.2">
      <c r="A18" s="40" t="s">
        <v>184</v>
      </c>
    </row>
    <row r="20" spans="1:1" ht="36" customHeight="1" x14ac:dyDescent="0.2">
      <c r="A20" s="40" t="s">
        <v>185</v>
      </c>
    </row>
    <row r="22" spans="1:1" ht="24" customHeight="1" x14ac:dyDescent="0.2">
      <c r="A22" s="40" t="s">
        <v>186</v>
      </c>
    </row>
    <row r="24" spans="1:1" ht="24" customHeight="1" x14ac:dyDescent="0.2">
      <c r="A24" s="40" t="s">
        <v>187</v>
      </c>
    </row>
    <row r="26" spans="1:1" ht="24" customHeight="1" x14ac:dyDescent="0.2">
      <c r="A26" s="40" t="s">
        <v>188</v>
      </c>
    </row>
  </sheetData>
  <pageMargins left="0.2" right="0.2" top="0.5" bottom="0.5" header="0.5" footer="0.5"/>
  <pageSetup fitToWidth="0" fitToHeight="0" orientation="landscape" horizontalDpi="300" verticalDpi="300"/>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66C1E-9830-4809-A47C-306A7ECD897B}">
  <sheetPr codeName="Sheet11"/>
  <dimension ref="A5"/>
  <sheetViews>
    <sheetView workbookViewId="0"/>
  </sheetViews>
  <sheetFormatPr defaultRowHeight="10.199999999999999" x14ac:dyDescent="0.2"/>
  <sheetData>
    <row r="5" spans="1:1" ht="23.25" customHeight="1" x14ac:dyDescent="0.4">
      <c r="A5" s="42" t="s">
        <v>189</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11</vt:i4>
      </vt:variant>
      <vt:variant>
        <vt:lpstr>Named Ranges</vt:lpstr>
      </vt:variant>
      <vt:variant>
        <vt:i4>8</vt:i4>
      </vt:variant>
    </vt:vector>
  </HeadingPairs>
  <TitlesOfParts>
    <vt:vector size="19" baseType="lpstr">
      <vt:lpstr>COMPCO</vt:lpstr>
      <vt:lpstr>BENCHMARKING</vt:lpstr>
      <vt:lpstr>Financial Data</vt:lpstr>
      <vt:lpstr>Trading Multiples</vt:lpstr>
      <vt:lpstr>Operating Statistics</vt:lpstr>
      <vt:lpstr>Business Description</vt:lpstr>
      <vt:lpstr>Implied Valuation</vt:lpstr>
      <vt:lpstr>Valuation Chart</vt:lpstr>
      <vt:lpstr>Credit Health Panel</vt:lpstr>
      <vt:lpstr>Disclaimer</vt:lpstr>
      <vt:lpstr>Evaluation Warning</vt:lpstr>
      <vt:lpstr>'Business Description'!Print_Titles</vt:lpstr>
      <vt:lpstr>'Credit Health Panel'!Print_Titles</vt:lpstr>
      <vt:lpstr>Disclaimer!Print_Titles</vt:lpstr>
      <vt:lpstr>'Financial Data'!Print_Titles</vt:lpstr>
      <vt:lpstr>'Implied Valuation'!Print_Titles</vt:lpstr>
      <vt:lpstr>'Operating Statistics'!Print_Titles</vt:lpstr>
      <vt:lpstr>'Trading Multiples'!Print_Titles</vt:lpstr>
      <vt:lpstr>'Valuation Chart'!Print_Titles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2004-07-20T21:40:42Z</dcterms:created>
  <dcterms:modified xsi:type="dcterms:W3CDTF">2023-04-28T02:48:24Z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ed By">
    <vt:lpwstr>SoftArtisans OfficeWriter for Excel 8.6.2.281 (http://officewriter.softartisans.com)</vt:lpwstr>
  </property>
</Properties>
</file>