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filterPrivacy="1" codeName="ThisWorkbook" defaultThemeVersion="166925"/>
  <xr:revisionPtr revIDLastSave="0" documentId="13_ncr:1_{E13F1DF7-22CB-46DD-9278-059580F8C5DE}" xr6:coauthVersionLast="47" xr6:coauthVersionMax="47" xr10:uidLastSave="{00000000-0000-0000-0000-000000000000}"/>
  <bookViews>
    <workbookView xWindow="8300" yWindow="120" windowWidth="10900" windowHeight="11420" xr2:uid="{00000000-000D-0000-FFFF-FFFF00000000}"/>
  </bookViews>
  <sheets>
    <sheet name="COMPCO" sheetId="11" r:id="rId1"/>
    <sheet name="BENCHMARKING" sheetId="10" r:id="rId2"/>
    <sheet name="Financial Data" sheetId="1" r:id="rId3"/>
    <sheet name="Trading Multiples" sheetId="2" r:id="rId4"/>
    <sheet name="Operating Statistics" sheetId="3" r:id="rId5"/>
    <sheet name="Business Description" sheetId="4" r:id="rId6"/>
    <sheet name="Implied Valuation" sheetId="5" r:id="rId7"/>
    <sheet name="Valuation Chart" sheetId="6" r:id="rId8"/>
    <sheet name="Credit Health Panel" sheetId="7" r:id="rId9"/>
    <sheet name="Disclaimer" sheetId="8" r:id="rId10"/>
    <sheet name="Evaluation Warning" sheetId="9" r:id="rId11"/>
  </sheets>
  <definedNames>
    <definedName name="_xlnm.Print_Titles" localSheetId="5">'Business Description'!$1:$3</definedName>
    <definedName name="_xlnm.Print_Titles" localSheetId="8">'Credit Health Panel'!$1:$3</definedName>
    <definedName name="_xlnm.Print_Titles" localSheetId="9">Disclaimer!$1:$3</definedName>
    <definedName name="_xlnm.Print_Titles" localSheetId="2">'Financial Data'!$1:$3</definedName>
    <definedName name="_xlnm.Print_Titles" localSheetId="6">'Implied Valuation'!$1:$3</definedName>
    <definedName name="_xlnm.Print_Titles" localSheetId="4">'Operating Statistics'!$1:$3</definedName>
    <definedName name="_xlnm.Print_Titles" localSheetId="3">'Trading Multiples'!$1:$3</definedName>
    <definedName name="_xlnm.Print_Titles" localSheetId="7">'Valuation Chart'!$1:$3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0" i="11" l="1"/>
  <c r="R8" i="11"/>
  <c r="R10" i="11" s="1"/>
  <c r="R12" i="11" s="1"/>
  <c r="R14" i="11" s="1"/>
  <c r="N44" i="11"/>
  <c r="N43" i="11"/>
  <c r="N42" i="11"/>
  <c r="N41" i="11"/>
  <c r="N40" i="11"/>
  <c r="N39" i="11"/>
  <c r="N38" i="11"/>
  <c r="N37" i="11"/>
  <c r="N36" i="11"/>
  <c r="N35" i="11"/>
  <c r="N34" i="11"/>
  <c r="N33" i="11"/>
  <c r="N32" i="11"/>
  <c r="N31" i="11"/>
  <c r="N30" i="11"/>
  <c r="N29" i="11"/>
  <c r="N28" i="11"/>
  <c r="N27" i="11"/>
  <c r="N26" i="11"/>
  <c r="N25" i="11"/>
  <c r="N24" i="11"/>
  <c r="M44" i="11"/>
  <c r="M43" i="11"/>
  <c r="M42" i="11"/>
  <c r="M41" i="11"/>
  <c r="M40" i="11"/>
  <c r="M39" i="11"/>
  <c r="M38" i="11"/>
  <c r="M37" i="11"/>
  <c r="M36" i="11"/>
  <c r="M35" i="11"/>
  <c r="M34" i="11"/>
  <c r="M33" i="11"/>
  <c r="M32" i="11"/>
  <c r="M31" i="11"/>
  <c r="M30" i="11"/>
  <c r="M29" i="11"/>
  <c r="M28" i="11"/>
  <c r="M27" i="11"/>
  <c r="M26" i="11"/>
  <c r="M25" i="11"/>
  <c r="M24" i="11"/>
  <c r="L44" i="11"/>
  <c r="L43" i="11"/>
  <c r="L42" i="11"/>
  <c r="L41" i="11"/>
  <c r="L40" i="11"/>
  <c r="L39" i="11"/>
  <c r="L38" i="11"/>
  <c r="L37" i="11"/>
  <c r="L36" i="11"/>
  <c r="L35" i="11"/>
  <c r="L34" i="11"/>
  <c r="L33" i="11"/>
  <c r="L32" i="11"/>
  <c r="L31" i="11"/>
  <c r="L30" i="11"/>
  <c r="L29" i="11"/>
  <c r="L28" i="11"/>
  <c r="L27" i="11"/>
  <c r="L26" i="11"/>
  <c r="L25" i="11"/>
  <c r="L24" i="11"/>
  <c r="L22" i="11"/>
  <c r="S8" i="11" s="1"/>
  <c r="S14" i="11" s="1"/>
  <c r="S12" i="11" s="1"/>
  <c r="S10" i="11" s="1"/>
  <c r="D28" i="10"/>
  <c r="O29" i="10"/>
  <c r="N29" i="10"/>
  <c r="M29" i="10"/>
  <c r="L29" i="10"/>
  <c r="K29" i="10"/>
  <c r="J29" i="10"/>
  <c r="I29" i="10"/>
  <c r="H29" i="10"/>
  <c r="G29" i="10"/>
  <c r="F29" i="10"/>
  <c r="E29" i="10"/>
  <c r="D29" i="10"/>
  <c r="O51" i="10"/>
  <c r="O50" i="10"/>
  <c r="O49" i="10"/>
  <c r="O48" i="10"/>
  <c r="O47" i="10"/>
  <c r="O46" i="10"/>
  <c r="O45" i="10"/>
  <c r="O44" i="10"/>
  <c r="O43" i="10"/>
  <c r="O42" i="10"/>
  <c r="O41" i="10"/>
  <c r="O40" i="10"/>
  <c r="O39" i="10"/>
  <c r="O38" i="10"/>
  <c r="O37" i="10"/>
  <c r="O36" i="10"/>
  <c r="O35" i="10"/>
  <c r="O34" i="10"/>
  <c r="O33" i="10"/>
  <c r="O32" i="10"/>
  <c r="O31" i="10"/>
  <c r="N51" i="10"/>
  <c r="N50" i="10"/>
  <c r="N49" i="10"/>
  <c r="N48" i="10"/>
  <c r="N47" i="10"/>
  <c r="N46" i="10"/>
  <c r="N45" i="10"/>
  <c r="N44" i="10"/>
  <c r="N43" i="10"/>
  <c r="N42" i="10"/>
  <c r="N41" i="10"/>
  <c r="N40" i="10"/>
  <c r="N39" i="10"/>
  <c r="N38" i="10"/>
  <c r="N37" i="10"/>
  <c r="N36" i="10"/>
  <c r="N35" i="10"/>
  <c r="N34" i="10"/>
  <c r="N33" i="10"/>
  <c r="N32" i="10"/>
  <c r="N31" i="10"/>
  <c r="M51" i="10"/>
  <c r="M50" i="10"/>
  <c r="M49" i="10"/>
  <c r="M48" i="10"/>
  <c r="M47" i="10"/>
  <c r="M46" i="10"/>
  <c r="M45" i="10"/>
  <c r="M44" i="10"/>
  <c r="M43" i="10"/>
  <c r="M42" i="10"/>
  <c r="M41" i="10"/>
  <c r="M40" i="10"/>
  <c r="M39" i="10"/>
  <c r="M38" i="10"/>
  <c r="M37" i="10"/>
  <c r="M36" i="10"/>
  <c r="M35" i="10"/>
  <c r="M34" i="10"/>
  <c r="M33" i="10"/>
  <c r="M32" i="10"/>
  <c r="M31" i="10"/>
  <c r="L51" i="10"/>
  <c r="L50" i="10"/>
  <c r="L49" i="10"/>
  <c r="L48" i="10"/>
  <c r="L47" i="10"/>
  <c r="L46" i="10"/>
  <c r="L45" i="10"/>
  <c r="L44" i="10"/>
  <c r="L43" i="10"/>
  <c r="L42" i="10"/>
  <c r="L41" i="10"/>
  <c r="L40" i="10"/>
  <c r="L39" i="10"/>
  <c r="L38" i="10"/>
  <c r="L37" i="10"/>
  <c r="L36" i="10"/>
  <c r="L35" i="10"/>
  <c r="L34" i="10"/>
  <c r="L33" i="10"/>
  <c r="L32" i="10"/>
  <c r="L31" i="10"/>
  <c r="K51" i="10"/>
  <c r="K50" i="10"/>
  <c r="K49" i="10"/>
  <c r="K48" i="10"/>
  <c r="K47" i="10"/>
  <c r="K46" i="10"/>
  <c r="K45" i="10"/>
  <c r="K44" i="10"/>
  <c r="K43" i="10"/>
  <c r="K42" i="10"/>
  <c r="K41" i="10"/>
  <c r="K40" i="10"/>
  <c r="K39" i="10"/>
  <c r="K38" i="10"/>
  <c r="K37" i="10"/>
  <c r="K36" i="10"/>
  <c r="K35" i="10"/>
  <c r="K34" i="10"/>
  <c r="K33" i="10"/>
  <c r="K32" i="10"/>
  <c r="K31" i="10"/>
  <c r="J51" i="10"/>
  <c r="J50" i="10"/>
  <c r="J49" i="10"/>
  <c r="J48" i="10"/>
  <c r="J47" i="10"/>
  <c r="J46" i="10"/>
  <c r="J45" i="10"/>
  <c r="J44" i="10"/>
  <c r="J43" i="10"/>
  <c r="J42" i="10"/>
  <c r="J41" i="10"/>
  <c r="J40" i="10"/>
  <c r="J39" i="10"/>
  <c r="J38" i="10"/>
  <c r="J37" i="10"/>
  <c r="J36" i="10"/>
  <c r="J35" i="10"/>
  <c r="J34" i="10"/>
  <c r="J33" i="10"/>
  <c r="J32" i="10"/>
  <c r="J31" i="10"/>
  <c r="I51" i="10"/>
  <c r="I50" i="10"/>
  <c r="I49" i="10"/>
  <c r="I48" i="10"/>
  <c r="I47" i="10"/>
  <c r="I46" i="10"/>
  <c r="I45" i="10"/>
  <c r="I44" i="10"/>
  <c r="I43" i="10"/>
  <c r="I42" i="10"/>
  <c r="I41" i="10"/>
  <c r="I40" i="10"/>
  <c r="I39" i="10"/>
  <c r="I38" i="10"/>
  <c r="I37" i="10"/>
  <c r="I36" i="10"/>
  <c r="I35" i="10"/>
  <c r="I34" i="10"/>
  <c r="I33" i="10"/>
  <c r="I32" i="10"/>
  <c r="I31" i="10"/>
  <c r="H51" i="10"/>
  <c r="H50" i="10"/>
  <c r="H49" i="10"/>
  <c r="H48" i="10"/>
  <c r="H47" i="10"/>
  <c r="H46" i="10"/>
  <c r="H45" i="10"/>
  <c r="H44" i="10"/>
  <c r="H43" i="10"/>
  <c r="H42" i="10"/>
  <c r="H41" i="10"/>
  <c r="H40" i="10"/>
  <c r="H39" i="10"/>
  <c r="H38" i="10"/>
  <c r="H37" i="10"/>
  <c r="H36" i="10"/>
  <c r="H35" i="10"/>
  <c r="H34" i="10"/>
  <c r="H33" i="10"/>
  <c r="H32" i="10"/>
  <c r="H31" i="10"/>
  <c r="G51" i="10"/>
  <c r="G50" i="10"/>
  <c r="G49" i="10"/>
  <c r="G48" i="10"/>
  <c r="G47" i="10"/>
  <c r="G46" i="10"/>
  <c r="G45" i="10"/>
  <c r="G44" i="10"/>
  <c r="G43" i="10"/>
  <c r="G42" i="10"/>
  <c r="G41" i="10"/>
  <c r="G40" i="10"/>
  <c r="G39" i="10"/>
  <c r="G38" i="10"/>
  <c r="G37" i="10"/>
  <c r="G36" i="10"/>
  <c r="G35" i="10"/>
  <c r="G34" i="10"/>
  <c r="G33" i="10"/>
  <c r="G32" i="10"/>
  <c r="G31" i="10"/>
  <c r="F51" i="10"/>
  <c r="F50" i="10"/>
  <c r="F49" i="10"/>
  <c r="F48" i="10"/>
  <c r="F47" i="10"/>
  <c r="F46" i="10"/>
  <c r="F45" i="10"/>
  <c r="F44" i="10"/>
  <c r="F43" i="10"/>
  <c r="F42" i="10"/>
  <c r="F41" i="10"/>
  <c r="F40" i="10"/>
  <c r="F39" i="10"/>
  <c r="F38" i="10"/>
  <c r="F37" i="10"/>
  <c r="F36" i="10"/>
  <c r="F35" i="10"/>
  <c r="F34" i="10"/>
  <c r="F33" i="10"/>
  <c r="F32" i="10"/>
  <c r="F31" i="10"/>
  <c r="E51" i="10"/>
  <c r="E50" i="10"/>
  <c r="E49" i="10"/>
  <c r="E48" i="10"/>
  <c r="E47" i="10"/>
  <c r="E46" i="10"/>
  <c r="E45" i="10"/>
  <c r="E44" i="10"/>
  <c r="E43" i="10"/>
  <c r="E42" i="10"/>
  <c r="E41" i="10"/>
  <c r="E40" i="10"/>
  <c r="E39" i="10"/>
  <c r="E38" i="10"/>
  <c r="E37" i="10"/>
  <c r="E36" i="10"/>
  <c r="E35" i="10"/>
  <c r="E34" i="10"/>
  <c r="E33" i="10"/>
  <c r="E32" i="10"/>
  <c r="E31" i="10"/>
  <c r="D51" i="10"/>
  <c r="D50" i="10"/>
  <c r="D49" i="10"/>
  <c r="D48" i="10"/>
  <c r="D47" i="10"/>
  <c r="D46" i="10"/>
  <c r="D45" i="10"/>
  <c r="D44" i="10"/>
  <c r="D43" i="10"/>
  <c r="D42" i="10"/>
  <c r="D41" i="10"/>
  <c r="D40" i="10"/>
  <c r="D39" i="10"/>
  <c r="D38" i="10"/>
  <c r="D37" i="10"/>
  <c r="D36" i="10"/>
  <c r="D35" i="10"/>
  <c r="D34" i="10"/>
  <c r="D33" i="10"/>
  <c r="D32" i="10"/>
  <c r="D31" i="10"/>
  <c r="Q8" i="11" l="1"/>
  <c r="Q10" i="11" s="1"/>
  <c r="Q12" i="11" s="1"/>
  <c r="Q14" i="11" s="1"/>
  <c r="Q15" i="11" s="1"/>
  <c r="Q17" i="11" s="1"/>
</calcChain>
</file>

<file path=xl/sharedStrings.xml><?xml version="1.0" encoding="utf-8"?>
<sst xmlns="http://schemas.openxmlformats.org/spreadsheetml/2006/main" count="554" uniqueCount="187">
  <si>
    <t>Target Corporation (NYSE:TGT) &gt;  Quick Comparable Analysis &gt; Financial Data</t>
  </si>
  <si>
    <t>Details</t>
  </si>
  <si>
    <t>Template:</t>
  </si>
  <si>
    <t>Capital IQ Default Comps</t>
  </si>
  <si>
    <t>Currency:</t>
  </si>
  <si>
    <t>US Dollar</t>
  </si>
  <si>
    <t>As-Of Date:</t>
  </si>
  <si>
    <t>Company Comp Set</t>
  </si>
  <si>
    <t>Company Name</t>
  </si>
  <si>
    <t>Day Close Price Latest</t>
  </si>
  <si>
    <t>Shares Outstanding Latest</t>
  </si>
  <si>
    <t>Market Capitalization Latest</t>
  </si>
  <si>
    <t xml:space="preserve">LTM Net Debt </t>
  </si>
  <si>
    <t>LTM Total Pref. Equity</t>
  </si>
  <si>
    <t>LTM Minority Interest</t>
  </si>
  <si>
    <t>Total Enterprise Value Latest</t>
  </si>
  <si>
    <t xml:space="preserve">LTM Tangible Book Value/Share </t>
  </si>
  <si>
    <t xml:space="preserve">LTM Filing Date, Income Statement </t>
  </si>
  <si>
    <t xml:space="preserve">LTM Total Revenue </t>
  </si>
  <si>
    <t xml:space="preserve">LTM EBITDA </t>
  </si>
  <si>
    <t xml:space="preserve">LTM EBIT </t>
  </si>
  <si>
    <t xml:space="preserve">LTM Diluted EPS Excl. Extra Items </t>
  </si>
  <si>
    <t xml:space="preserve">NTM Revenue (Capital IQ) </t>
  </si>
  <si>
    <t xml:space="preserve">NTM EBITDA (Capital IQ) </t>
  </si>
  <si>
    <t xml:space="preserve">NTM EPS (Capital IQ) </t>
  </si>
  <si>
    <t>Costco Wholesale Corporation (NasdaqGS:COST)</t>
  </si>
  <si>
    <t>-</t>
  </si>
  <si>
    <t>Dollar General Corporation (NYSE:DG)</t>
  </si>
  <si>
    <t>Walmart Inc. (NYSE:WMT)</t>
  </si>
  <si>
    <t>Dollar Tree, Inc. (NasdaqGS:DLTR)</t>
  </si>
  <si>
    <t>BJ's Wholesale Club Holdings, Inc. (NYSE:BJ)</t>
  </si>
  <si>
    <t>E-MART Inc. (KOSE:A139480)</t>
  </si>
  <si>
    <t>Target Corporation (NYSE:TGT)</t>
  </si>
  <si>
    <t>Summary Statistics</t>
  </si>
  <si>
    <t>High</t>
  </si>
  <si>
    <t>Low</t>
  </si>
  <si>
    <t>Mean</t>
  </si>
  <si>
    <t>Median</t>
  </si>
  <si>
    <t>Displaying 7 Companies.</t>
  </si>
  <si>
    <t>Values converted at today's spot rate.</t>
  </si>
  <si>
    <t>Companies by default are sorted by S&amp;P Capital IQ’s proprietary relevancy score.</t>
  </si>
  <si>
    <t>Historical Equity Pricing Data supplied by Interactive Data Pricing and Reference Data LLC</t>
  </si>
  <si>
    <t>Target Corporation (NYSE:TGT) &gt;  Quick Comparable Analysis &gt; Trading Multiples</t>
  </si>
  <si>
    <t>Template:</t>
  </si>
  <si>
    <t>Currency:</t>
  </si>
  <si>
    <t>As-Of Date:</t>
  </si>
  <si>
    <t>TEV/Total Revenues LTM - Latest</t>
  </si>
  <si>
    <t>TEV/EBITDA LTM - Latest</t>
  </si>
  <si>
    <t>TEV/EBIT LTM - Latest</t>
  </si>
  <si>
    <t>P/Diluted EPS Before Extra LTM - Latest</t>
  </si>
  <si>
    <t>P/TangBV LTM - Latest</t>
  </si>
  <si>
    <t xml:space="preserve">NTM TEV/Forward Total Revenue (Capital IQ) </t>
  </si>
  <si>
    <t xml:space="preserve">NTM TEV/Forward EBITDA (Capital IQ) </t>
  </si>
  <si>
    <t xml:space="preserve">NTM Forward P/E (Capital IQ) </t>
  </si>
  <si>
    <t>Target Corporation (NYSE:TGT) &gt;  Quick Comparable Analysis &gt; Operating Statistics</t>
  </si>
  <si>
    <t>Template:</t>
  </si>
  <si>
    <t>Currency:</t>
  </si>
  <si>
    <t>As-Of Date:</t>
  </si>
  <si>
    <t xml:space="preserve">LTM Gross Margin % </t>
  </si>
  <si>
    <t xml:space="preserve">LTM EBITDA Margin % </t>
  </si>
  <si>
    <t xml:space="preserve">LTM EBIT Margin % </t>
  </si>
  <si>
    <t xml:space="preserve">LTM Net Income Margin % </t>
  </si>
  <si>
    <t xml:space="preserve">LTM Total Revenues, 1 Yr Growth % </t>
  </si>
  <si>
    <t xml:space="preserve">LTM EBITDA, 1 Yr Growth % </t>
  </si>
  <si>
    <t xml:space="preserve">LTM EBIT, 1 Yr Growth % </t>
  </si>
  <si>
    <t xml:space="preserve">LTM Net Income, 1 Yr Growth % </t>
  </si>
  <si>
    <t>LTM Total Debt/Capital %</t>
  </si>
  <si>
    <t xml:space="preserve">LTM Total Debt/EBITDA </t>
  </si>
  <si>
    <t xml:space="preserve">NTM LT EPS Growth Rate (Capital IQ) </t>
  </si>
  <si>
    <t>5 Year Beta</t>
  </si>
  <si>
    <t>Target Corporation (NYSE:TGT) &gt;  Quick Comparable Analysis &gt; Business Description</t>
  </si>
  <si>
    <t>Template:</t>
  </si>
  <si>
    <t>Currency:</t>
  </si>
  <si>
    <t>As-Of Date:</t>
  </si>
  <si>
    <t>Business Description</t>
  </si>
  <si>
    <t>Headquarters</t>
  </si>
  <si>
    <t>Costco Wholesale Corporation, together with its subsidiaries, engages in the operation of membership warehouses in the United States, Puerto Rico, Canada, the United Kingdom, Mexico, Japan, Korea, Australia, Spain, France, Iceland, China, and Taiwan. It offers branded and private-label products in a range of merchandise categories. The company offers sundries, dry groceries, candies, coolers, freezers, liquor, and tobacco and deli products; appliances, electronics, health and beauty aids, hardware, garden and patio products, sporting goods, tires, toys and seasonal products, office supplies, automotive care products, postages, tickets, apparel, small appliances, furniture, domestics, housewares, special order kiosks, and jewelry; and meat, produce, service deli, and bakery products. It also operates pharmacies, opticals, food courts, hearing-aid centers, and tire installation centers, gas stations; and offers business delivery, travel, same-day grocery, and various other services online in various countries. The company has warehouses in the United States, Puerto Rico, Canada, Mexico, Japan, the United Kingdom, South Korea, Taiwan, Australia, Spain, Iceland, France, and China. It also operates e-commerce websites in the United States, Canada, the United Kingdom, Mexico, South Korea, Taiwan, Japan, and Australia. The company was formerly known as Costco Companies, Inc. and changed its name to Costco Wholesale Corporation in August 1999. Costco Wholesale Corporation was founded in 1976 and is based in Issaquah, Washington.</t>
  </si>
  <si>
    <t>999 Lake Drive, Issaquah, Washington, 98027, United States</t>
  </si>
  <si>
    <t>Dollar General Corporation, a discount retailer, provides various merchandise products in the southern, southwestern, midwestern, and eastern United States. It offers consumable products, including paper and cleaning products, such as paper towels, bath tissues, paper dinnerware, trash and storage bags, disinfectants, and laundry products; packaged food comprising cereals, pasta, canned soups, fruits and vegetables, condiments, spices, sugar, and flour; and perishables that include milk, eggs, bread, refrigerated and frozen food, beer, and wine. The company’s consumable products also comprise snacks, such as candies, cookies, crackers, salty snacks, and carbonated beverages; health and beauty products, including over-the-counter medicines and personal care products, such as soaps, body washes, shampoos, cosmetics, and dental hygiene and foot care products; pet supplies and pet food; and tobacco products. In addition, it offers seasonal products comprising holiday items, toys, batteries, small electronics, greeting cards, stationery, prepaid phones and accessories, gardening supplies, hardware, and automotive and home office supplies; and home products that include kitchen supplies, cookware, small appliances, light bulbs, storage containers, frames, candles, craft supplies and kitchen, and bed and bath soft goods. Further, the company provides apparel, which comprise casual everyday apparel for infants, toddlers, girls, boys, women, and men, as well as socks, underwear, disposable diapers, shoes, and accessories. The company was formerly known as J.L. Turner &amp; Son, Inc. and changed its name to Dollar General Corporation in 1968. Dollar General Corporation was founded in 1939 and is based in Goodlettsville, Tennessee.</t>
  </si>
  <si>
    <t>100 Mission Ridge, Goodlettsville, Tennessee, 37072, United States</t>
  </si>
  <si>
    <t>Walmart Inc. engages in the operation of retail, wholesale, and other units worldwide. The company operates through three segments: Walmart U.S., Walmart International, and Sam's Club. It operates supercenters, supermarkets, hypermarkets, warehouse clubs, cash and carry stores, and discount stores under Walmart and Walmart Neighborhood Market brands; membership-only warehouse clubs; ecommerce websites, such as walmart.com, walmart.com.mx, walmart.ca, flipkart.com, and samsclub.com; and mobile commerce applications. The company offers grocery and consumables, including dry grocery, snacks, dairy, meat, produce, bakery and deli, alcoholic and nonalcoholic beverages, floral, candy, and other grocery items, as well as dry, chilled, or frozen packaged foods; and health and beauty aids, paper goods, laundry and home care, baby care, pet supplies, and other consumable items. It is also involved in the operation of gasoline stations; provision of tobacco; and health and wellness products covering pharmacy, optical and hearing services, and over-the-counter drugs and other medical products. In addition, the company offers home improvement, outdoor living, gardening, furniture, apparel, jewelry, tools and power equipment, housewares, toys, seasonal items, mattresses, and tire and battery centers; and consumer electronics and accessories, software, video games, office supplies, appliances, and third-party gift cards. Further, it operates digital payment platforms; and offers financial services and related products, including money transfers, bill payments, money orders, check cashing, prepaid access, co-branded credit cards, installment lending, and earned wage access. The company was formerly known as Wal-Mart Stores, Inc. and changed its name to Walmart Inc. in February 2018. Walmart Inc. was founded in 1945 and is based in Bentonville, Arkansas.</t>
  </si>
  <si>
    <t>702 South West 8th Street, Bentonville, Arkansas, 72716, United States</t>
  </si>
  <si>
    <t>Dollar Tree, Inc. operates discount variety retail stores. The company operates in two segments, Dollar Tree and Family Dollar. The Dollar Tree segment offers merchandise at the fixed price of $ 1.25. It provides consumable merchandise, which includes everyday consumables, such as household paper and chemicals, food, candy, health, personal care products, and frozen and refrigerated food; variety merchandise comprising toys, durable housewares, gifts, stationery, party goods, greeting cards, softlines, arts and crafts supplies, and other items; and seasonal goods that include Christmas, Easter, Halloween, and Valentine’s Day merchandise. It operates stores under the Dollar Tree and Dollar Tree Canada brands, as well as distribution centers in the United States and Canada. The Family Dollar segment operates general merchandise retail discount stores that offer consumable merchandise, which comprise food and beverages, tobacco, health and personal care, household chemicals, paper products, hardware and automotive supplies, diapers, batteries, and pet food and supplies; and home products, including housewares, home décor, and giftware, as well as domestics, such as comforters, sheets, and towels. It also provides apparel and accessories merchandise comprising clothing, fashion accessories, and shoes; and seasonal and electronics merchandise that include Christmas, Easter, Halloween, and Valentine’s Day merchandise, as well as personal electronics, which comprise pre-paid cellular phones and services, stationery and school supplies, and toys. The company was founded in 1986 and is based in Chesapeake, Virginia.</t>
  </si>
  <si>
    <t>500 Volvo Parkway, Chesapeake, Virginia, 23320, United States</t>
  </si>
  <si>
    <t>BJ's Wholesale Club Holdings, Inc., together with its subsidiaries, operates warehouse clubs on the eastern half of the United States. It provides perishable, general merchandise, gasoline, coupon books, promotions, and other ancillary services. The company sells its products through the websites BJs.com, BerkleyJensen.com, and Wellsleyfarms.com, as well as the mobile app. The company was formerly known as Beacon Holding Inc. and changed its name to BJ's Wholesale Club Holdings, Inc. in February 2018. BJ's Wholesale Club Holdings, Inc. was founded in 1984 and is headquartered in Westborough, Massachusetts.</t>
  </si>
  <si>
    <t>350 Campus Drive, Marlborough, Massachusetts, 01752, United States</t>
  </si>
  <si>
    <t>E-MART Inc., together with its subsidiaries, operates as a hypermarket retail company in South Korea. The company operates Emart, a discount store; Emart Traders, an everyday low-price store for small business owners; and Emart Mall and Traders Mall, the online shopping stores. It also operates SSG Food Market, an urban-style supermarket. In addition, the company operates specialty stores, including Electro Mart, an electronics and appliance store; Molly’s Pet Shop, a pet store; No Brand, a private label hard discount store; PK Market, a food store; Toy Kingdom, a toy store; and Marie’s Baby Circle, an infant and toddler product store. The company was founded in 1993 and is headquartered in Seoul, South Korea. E-MART Inc. is a subsidiary of Shinsegae Inc.</t>
  </si>
  <si>
    <t>377, Ttukseom-ro, Seongdong-gu, Seoul    South Korea</t>
  </si>
  <si>
    <t>Target Corporation operates as a general merchandise retailer in the United States. The company offers apparel for women, men, boys, girls, toddlers, and infants and newborns, as well as jewelry, accessories, and shoes; and beauty and personal care, baby gear, cleaning, paper products, and pet supplies. It also provides dry grocery, dairy, frozen food, beverages, candy, snacks, deli, bakery, meat, and food service; electronics, which includes video game hardware and software, toys, entertainment, sporting goods, and luggage; and furniture, lighting, storage, kitchenware, small appliances, home décor, bed and bath, home improvement, school/office supplies, greeting cards and party supplies, and other seasonal merchandise. In addition, the company sells merchandise through periodic design and creative partnerships, and shop-in-shop experience; and in-store amenities. Further, it sells its products through its stores; and digital channels, including Target.com. Target Corporation was incorporated in 1902 and is headquartered in Minneapolis, Minnesota.</t>
  </si>
  <si>
    <t>1000 Nicollet Mall, Minneapolis, Minnesota, 55403, United States</t>
  </si>
  <si>
    <t>Target Corporation (NYSE:TGT) &gt;  Quick Comparable Analysis &gt; Implied Valuation</t>
  </si>
  <si>
    <t>Template:</t>
  </si>
  <si>
    <t>Currency:</t>
  </si>
  <si>
    <t>As-Of Date:</t>
  </si>
  <si>
    <t xml:space="preserve">LTM Basic EPS </t>
  </si>
  <si>
    <t xml:space="preserve"> </t>
  </si>
  <si>
    <t>Total Enterprise Value Multiples</t>
  </si>
  <si>
    <t>Pricing Multiples</t>
  </si>
  <si>
    <t xml:space="preserve">NTM TEV/Forward Total Revenue </t>
  </si>
  <si>
    <t xml:space="preserve">NTM TEV/Forward EBITDA </t>
  </si>
  <si>
    <t xml:space="preserve">NTM Forward P/E </t>
  </si>
  <si>
    <t>NM</t>
  </si>
  <si>
    <t>Implied Enterprise Value</t>
  </si>
  <si>
    <t>NA</t>
  </si>
  <si>
    <t>+ Total Cash &amp; ST Investments</t>
  </si>
  <si>
    <t>- Total Debt</t>
  </si>
  <si>
    <t>- Total Pref. Equity</t>
  </si>
  <si>
    <t>- Minority Interest</t>
  </si>
  <si>
    <t>= Implied Equity Value</t>
  </si>
  <si>
    <t>/ Shares Outstanding</t>
  </si>
  <si>
    <t>= Implied Price per Share</t>
  </si>
  <si>
    <t>Mean Equity Value Across Multiples</t>
  </si>
  <si>
    <t>Equity Value</t>
  </si>
  <si>
    <t>Price Per Share</t>
  </si>
  <si>
    <t>Target Corporation (NYSE:TGT) &gt;  Quick Comparable Analysis &gt; Valuation Chart</t>
  </si>
  <si>
    <t>Template:</t>
  </si>
  <si>
    <t>Currency:</t>
  </si>
  <si>
    <t>As-Of Date:</t>
  </si>
  <si>
    <t>Target Corporation (NYSE:TGT) &gt;  Quick Comparable Analysis &gt; Credit Health Panel</t>
  </si>
  <si>
    <t>Template:</t>
  </si>
  <si>
    <t>Currency:</t>
  </si>
  <si>
    <t>As-Of Date:</t>
  </si>
  <si>
    <t>Overall</t>
  </si>
  <si>
    <t>Operational</t>
  </si>
  <si>
    <t>Solvency</t>
  </si>
  <si>
    <t>Liquidity</t>
  </si>
  <si>
    <t>LTM Period Ending</t>
  </si>
  <si>
    <t>Financials Updated</t>
  </si>
  <si>
    <t>S&amp;P Issuer Credit Rating Foreign Currency LT Rating</t>
  </si>
  <si>
    <t>CreditModel Score</t>
  </si>
  <si>
    <t>Market Signal Probability of Default %</t>
  </si>
  <si>
    <t>Country/Region</t>
  </si>
  <si>
    <t>Primary Industry Classification</t>
  </si>
  <si>
    <t>A+</t>
  </si>
  <si>
    <t>a+</t>
  </si>
  <si>
    <t>0.1074%</t>
  </si>
  <si>
    <t>United States</t>
  </si>
  <si>
    <t>Consumer Staples Merchandise Retail</t>
  </si>
  <si>
    <t>AA</t>
  </si>
  <si>
    <t>0.1369%</t>
  </si>
  <si>
    <t>BBB</t>
  </si>
  <si>
    <t>bbb</t>
  </si>
  <si>
    <t>0.6322%</t>
  </si>
  <si>
    <t>BB+</t>
  </si>
  <si>
    <t>bb+</t>
  </si>
  <si>
    <t>0.3744%</t>
  </si>
  <si>
    <t>0.3412%</t>
  </si>
  <si>
    <t>NR</t>
  </si>
  <si>
    <t>b+</t>
  </si>
  <si>
    <t>2.9299%</t>
  </si>
  <si>
    <t>South Korea</t>
  </si>
  <si>
    <t>A</t>
  </si>
  <si>
    <t>bbb+</t>
  </si>
  <si>
    <t>0.4767%</t>
  </si>
  <si>
    <t>Credit Health Panel metric values are calculated by converting all currencies to USD based on yesterday’s spot rate. Currencies displayed on the page are converted at today’s spot rate from yesterday’s USD value.</t>
  </si>
  <si>
    <t>S&amp;P Credit Ratings and Research provided by</t>
  </si>
  <si>
    <t>No content (including ratings, credit-related analyses and data, valuations, model, software or other application or output therefrom) or any part thereof (Content) may be modified, reverse engineered, reproduced or distributed in any form by any means, or stored in a database or retrieval system, without the prior written permission of S&amp;P Global Market Intelligence or its affiliates (collectively, S&amp;P Global). The Content shall not be used for any unlawful or unauthorized purposes. S&amp;P Global and any third-party providers, as well as their directors, officers, shareholders, employees or agents (collectively S&amp;P Global Parties) do not guarantee the accuracy, completeness, timeliness or availability of the Content. S&amp;P Global Parties are not responsible for any errors or omissions (negligent or otherwise), regardless of the cause, for the results obtained from the use of the Content, or for the security or maintenance of any data input by the user. The Content is provided on an "as is" basis. S&amp;P GLOBAL PARTIES DISCLAIM ANY AND ALL EXPRESS OR IMPLIED WARRANTIES, INCLUDING, BUT NOT LIMITED TO, ANY WARRANTIES OF MERCHANTABILITY OR FITNESS FOR A PARTICULAR PURPOSE OR USE, FREEDOM FROM BUGS, SOFTWARE ERRORS OR DEFECTS, THAT THE CONTENT’S FUNCTIONING WILL BE UNINTERRUPTED OR THAT THE CONTENT WILL OPERATE WITH ANY SOFTWARE OR HARDWARE CONFIGURATION. In no event shall S&amp;P Global Parties be liable to any party for any direct, indirect, incidental, exemplary, compensatory, punitive, special or consequential damages, costs, expenses, legal fees, or losses (including, without limitation, lost income or lost profits and opportunity costs or losses caused by negligence) in connection with any use of the Content even if advised of the possibility of such damages.Credit-related and other analyses, including ratings, and statements in the Content are statements of opinion as of the date they are expressed and not statements of fact. S&amp;P Global Market Intelligence’s opinions, analyses and rating acknowledgment decisions (described below) are not recommendations to purchase, hold, or sell any securities or to make any investment decisions, and do not address the suitability of any security. S&amp;P Global Market Intelligence assumes no obligation to update the Content following publication in any form or format. The Content should not be relied on and is not a substitute for the skill, judgment and experience of the user, its management, employees, advisors and/or clients when making investment and other business decisions. S&amp;P Global Market Intelligence does not act as a fiduciary or an investment advisor except where registered as such. While S&amp;P Global Market Intelligence has obtained information from sources it believes to be reliable, S&amp;P Global Market Intelligence does not perform an audit and undertakes no duty of due diligence or independent verification of any information it receives.S&amp;P Global keeps certain activities of its divisions separate from each other in order to preserve the independence and objectivity of their respective activities. As a result, certain divisions of S&amp;P Global may have information that is not available to other S&amp;P Global divisions. S&amp;P Global has established policies and procedures to maintain the confidentiality of certain non-public information received in connection with each analytical process.S&amp;P Global Ratings does not contribute to or participate in the creation of credit scores generated by S&amp;P Global Market Intelligence. Lowercase nomenclature is used to differentiate S&amp;P Global Market Intelligence PD credit model scores from the credit ratings issued by S&amp;P Global Ratings.S&amp;P Global may receive compensation for its ratings and certain analyses, normally from issuers or underwriters of securities or from obligors. S&amp;P Global reserves the right to disseminate its opinions and analyses. S&amp;P Global's public ratings and analyses are made available on its Web sites, http://www.standardandpoors.com (free of charge), and http://www.capitaliq.com (subscription), and may be distributed through other means, including via S&amp;P Global publications and third-party redistributors. Additional information about our ratings fees is available at http://www.standardandpoors.com/usratingsfees..</t>
  </si>
  <si>
    <t>Target Corporation (NYSE:TGT) &gt; Credit Health Panel &gt; Disclaimer</t>
  </si>
  <si>
    <t>Copyright © 2023 by Standard &amp; Poor’s Financial Services LLC. All rights reserved.</t>
  </si>
  <si>
    <t>No content (including ratings, credit-related analyses and data, valuations, model, software or other application or output therefrom) or any part thereof (Content) may be modified, reverse engineered, reproduced or distributed in any form by any means, or stored in a database or retrieval system, without the prior written permission of Standard &amp; Poor’s Financial Services LLC or its affiliates (collectively, S&amp;P). The Content shall not be used for any unlawful or unauthorized purposes. S&amp;P and any third-party providers, as well as their directors, officers, shareholders, employees or agents (collectively S&amp;P Parties) do not guarantee the accuracy, completeness, timeliness or availability of the Content. S&amp;P Parties are not responsible for any errors or omissions (negligent or otherwise), regardless of the cause, for the results obtained from the use of the Content, or for the security or maintenance of any data input by the user. The Content is provided on an “as is” basis. S&amp;P PARTIES DISCLAIM ANY AND ALL EXPRESS OR IMPLIED WARRANTIES, INCLUDING, BUT NOT LIMITED TO, ANY WARRANTIES OF MERCHANTABILITY OR FITNESS FOR A PARTICULAR PURPOSE OR USE, FREEDOM FROM BUGS, SOFTWARE ERRORS OR DEFECTS, THAT THE CONTENT’S FUNCTIONING WILL BE UNINTERRUPTED OR THAT THE CONTENT WILL OPERATE WITH ANY SOFTWARE OR HARDWARE CONFIGURATION.  In no event shall S&amp;P Parties be liable to any party for any direct, indirect, incidental, exemplary, compensatory, punitive, special or consequential damages, costs, expenses, legal fees, or losses (including, without limitation, lost income or lost profits and opportunity costs or losses caused by negligence) in connection with any use of the Content even if advised of the possibility of such damages.</t>
  </si>
  <si>
    <t>Credit-related and other analyses, including ratings, and statements in the Content are statements of opinion as of the date they are expressed and not statements of fact. S&amp;P’s opinions, analyses and rating acknowledgment decisions (described below) are not recommendations to purchase, hold, or sell any securities or to make any investment decisions, and do not address the suitability of any security. S&amp;P assumes no obligation to update the Content following publication in any form or format. The Content should not be relied on and is not a substitute for the skill, judgment and experience of the user, its management, employees, advisors and/or clients when making investment and other business decisions. S&amp;P does not act as a fiduciary or an investment advisor except where registered as such.  While S&amp;P has obtained information from sources it believes to be reliable, S&amp;P does not perform an audit and undertakes no duty of due diligence or independent verification of any information it receives.</t>
  </si>
  <si>
    <t>To the extent that regulatory authorities allow a rating agency to acknowledge in one jurisdiction a rating issued in another jurisdiction for certain regulatory purposes, S&amp;P reserves the right to assign, withdraw or suspend such acknowledgement at any time and in its sole discretion. S&amp;P Parties disclaim any duty whatsoever arising out of the assignment, withdrawal or suspension of an acknowledgment as well as any liability for any damage alleged to have been suffered on account thereof.</t>
  </si>
  <si>
    <t>S&amp;P keeps certain activities of its business units separate from each other in order to preserve the independence and objectivity of their respective activities. As a result, certain business units of S&amp;P may have information that is not available to other S&amp;P business units. S&amp;P has established policies and procedures to maintain the confidentiality of certain non-public information received in connection with each analytical process.</t>
  </si>
  <si>
    <t>S&amp;P may receive compensation for its ratings and certain analyses, normally from issuers or underwriters of securities or from obligors. S&amp;P reserves the right to disseminate its opinions and analyses. S&amp;P’s public ratings and analyses are made available on its Web sites, www.standardandpoors.com (free of charge), and www.ratingsdirect.com and www.globalcreditportal.com (subscription), and may be distributed through other means, including via S&amp;P publications and third-party redistributors. Additional information about our ratings fees is available at www.standardandpoors.com/usratingsfees.</t>
  </si>
  <si>
    <t>You are using a functionality that permits you to export content from the S&amp;P Capital IQ Platform. You are permitted to provide limited excerpts of information from this export to others provided you: (1) do so solely in the ordinary course of your internal business; (2) do not provide S&amp;P Capital IQ information in any manner that may obviate the need for the individuals who receive such excerpts to obtain their own S&amp;P Capital IQ Platform password/license; and, (3) provide S&amp;P with appropriate attribution and a disclaimer on S&amp;P’s behalf.</t>
  </si>
  <si>
    <t>To reprint, translate, or use the data or information other than as provided herein, contact Client Services, 55 Water Street, New York, NY 10041; (1) 877-773-4732 or by e-mail to: research_request@standardandpoors.com.</t>
  </si>
  <si>
    <t>Any Passwords/user IDs issued by S&amp;P Capital IQ to users are single user dedicated and may ONLY be used by the individual to whom they have been assigned. No sharing of passwords/user IDs and no simultaneous access via the same password/user ID is permitted.</t>
  </si>
  <si>
    <t>Standard &amp; Poor’s, S&amp;P, and Credit Health Panel are registered trademarks of Standard &amp; Poor’s Financial Services LLC.  Capital IQ is a registered trademark of Capital IQ, Excel is a registered trademark of Microsoft.</t>
  </si>
  <si>
    <t>Evaluation Only. Created with Aspose.Cells for .NET.Copyright 2003 - 2023 Aspose Pty Ltd.</t>
  </si>
  <si>
    <t>Percentile Average</t>
  </si>
  <si>
    <t>Company vs Peers</t>
  </si>
  <si>
    <t>Percentiles</t>
  </si>
  <si>
    <t>Applied Percentile</t>
  </si>
  <si>
    <t>NTM EV/REV</t>
  </si>
  <si>
    <t>NTM EV/EBITDA</t>
  </si>
  <si>
    <t>NTM P/E</t>
  </si>
  <si>
    <t>Weighting %</t>
  </si>
  <si>
    <t>Applied Multiple</t>
  </si>
  <si>
    <t>Company Metric</t>
  </si>
  <si>
    <t>EV</t>
  </si>
  <si>
    <t>Net Debt</t>
  </si>
  <si>
    <t>Shares Outstanding</t>
  </si>
  <si>
    <t>Implied Price / Share</t>
  </si>
  <si>
    <t>Weighted Price</t>
  </si>
  <si>
    <t>Current Price</t>
  </si>
  <si>
    <t>Implied Market Upside(Downside)</t>
  </si>
  <si>
    <t>Based on Benchmarking Analysis the Target Company Vs its Comps is Under(Overvalued) by -&gt;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</si>
</sst>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quot;$&quot;* #,##0.00_);_(&quot;$&quot;* \(#,##0.00\);_(&quot;$&quot;* &quot;-&quot;??_);_(@_)"/>
    <numFmt numFmtId="43" formatCode="_(* #,##0.00_);_(* \(#,##0.00\);_(* &quot;-&quot;??_);_(@_)"/>
    <numFmt numFmtId="164" formatCode="mmm\-dd\-yyyy"/>
    <numFmt numFmtId="165" formatCode="_(\ #,##0.0#_);_(\(\ #,##0.0#\)_);_(\ &quot; - &quot;_)"/>
    <numFmt numFmtId="166" formatCode="_(\ #,##0.0_);_(\ \(#,##0.0\)_);_(\ &quot; - &quot;_)"/>
    <numFmt numFmtId="167" formatCode="#,##0.0\x"/>
    <numFmt numFmtId="168" formatCode="#,##0.00\x"/>
    <numFmt numFmtId="169" formatCode="_(#,##0.0%_);_(\(#,##0.0%\)_);_(#,##0.0%_)"/>
    <numFmt numFmtId="170" formatCode="_(#,##0.00%_);_(\(#,##0.00%\)_);_(#,##0.00%_)"/>
    <numFmt numFmtId="171" formatCode="_(\ #,##0_);_(\ \(#,##0\)_);_(\ &quot; - &quot;_)"/>
  </numFmts>
  <fonts count="22" x14ac:knownFonts="1">
    <font>
      <sz val="10"/>
      <name val="Arial"/>
    </font>
    <font>
      <sz val="8"/>
      <name val="Arial"/>
    </font>
    <font>
      <b/>
      <sz val="13"/>
      <color indexed="8"/>
      <name val="Verdana"/>
    </font>
    <font>
      <b/>
      <sz val="12"/>
      <color indexed="8"/>
      <name val="Verdana"/>
    </font>
    <font>
      <b/>
      <sz val="10"/>
      <color indexed="9"/>
      <name val="Arial"/>
    </font>
    <font>
      <b/>
      <u val="singleAccounting"/>
      <sz val="8"/>
      <color indexed="8"/>
      <name val="Verdana"/>
    </font>
    <font>
      <b/>
      <sz val="8"/>
      <color indexed="9"/>
      <name val="Verdana"/>
    </font>
    <font>
      <b/>
      <u val="singleAccounting"/>
      <sz val="8"/>
      <color indexed="8"/>
      <name val="Arial"/>
    </font>
    <font>
      <sz val="8"/>
      <color indexed="8"/>
      <name val="Arial"/>
    </font>
    <font>
      <vertAlign val="superscript"/>
      <sz val="8"/>
      <color indexed="8"/>
      <name val="Arial"/>
    </font>
    <font>
      <vertAlign val="subscript"/>
      <sz val="8"/>
      <color indexed="8"/>
      <name val="Arial"/>
    </font>
    <font>
      <b/>
      <sz val="8"/>
      <color indexed="8"/>
      <name val="Arial"/>
    </font>
    <font>
      <i/>
      <sz val="8"/>
      <color indexed="8"/>
      <name val="Arial"/>
    </font>
    <font>
      <sz val="1"/>
      <color indexed="9"/>
      <name val="Symbol"/>
    </font>
    <font>
      <sz val="10"/>
      <color indexed="8"/>
      <name val="Arial"/>
    </font>
    <font>
      <b/>
      <sz val="8"/>
      <color indexed="8"/>
      <name val="Verdana"/>
    </font>
    <font>
      <b/>
      <sz val="8"/>
      <name val="Arial"/>
    </font>
    <font>
      <b/>
      <sz val="8"/>
      <color indexed="9"/>
      <name val="Arial"/>
    </font>
    <font>
      <b/>
      <i/>
      <sz val="18"/>
      <color rgb="FF0000FF"/>
      <name val="Arial"/>
    </font>
    <font>
      <sz val="10"/>
      <name val="Arial"/>
    </font>
    <font>
      <sz val="8"/>
      <color rgb="FFFF0000"/>
      <name val="Arial"/>
    </font>
    <font>
      <sz val="10"/>
      <color rgb="FFFF0000"/>
      <name val="Arial"/>
    </font>
  </fonts>
  <fills count="10">
    <fill>
      <patternFill patternType="none"/>
    </fill>
    <fill>
      <patternFill patternType="gray125"/>
    </fill>
    <fill>
      <patternFill patternType="solid">
        <fgColor indexed="63"/>
        <bgColor indexed="64"/>
      </patternFill>
    </fill>
    <fill>
      <patternFill patternType="solid">
        <fgColor indexed="62"/>
        <bgColor indexed="64"/>
      </patternFill>
    </fill>
    <fill>
      <patternFill patternType="solid">
        <fgColor indexed="56"/>
        <bgColor indexed="64"/>
      </patternFill>
    </fill>
    <fill>
      <patternFill patternType="solid">
        <fgColor indexed="60"/>
        <bgColor indexed="64"/>
      </patternFill>
    </fill>
    <fill>
      <patternFill patternType="solid">
        <fgColor indexed="55"/>
        <bgColor indexed="64"/>
      </patternFill>
    </fill>
    <fill>
      <patternFill patternType="solid">
        <fgColor indexed="54"/>
        <bgColor indexed="64"/>
      </patternFill>
    </fill>
    <fill>
      <patternFill patternType="solid">
        <fgColor indexed="53"/>
        <bgColor indexed="64"/>
      </patternFill>
    </fill>
    <fill>
      <patternFill patternType="solid">
        <fgColor indexed="52"/>
        <bgColor indexed="64"/>
      </patternFill>
    </fill>
  </fills>
  <borders count="24">
    <border>
      <left/>
      <right/>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indexed="64"/>
      </right>
      <top/>
      <bottom style="medium">
        <color indexed="64"/>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s>
  <cellStyleXfs count="19">
    <xf numFmtId="0" fontId="0" fillId="0" borderId="0"/>
    <xf numFmtId="43" fontId="19" fillId="0" borderId="0" applyFont="0" applyFill="0" applyBorder="0" applyAlignment="0" applyProtection="0"/>
    <xf numFmtId="44" fontId="19" fillId="0" borderId="0" applyFont="0" applyFill="0" applyBorder="0" applyAlignment="0" applyProtection="0"/>
    <xf numFmtId="9" fontId="19" fillId="0" borderId="0" applyFont="0" applyFill="0" applyBorder="0" applyAlignment="0" applyProtection="0"/>
    <xf numFmtId="0" fontId="2" fillId="0" borderId="0" applyAlignment="0"/>
    <xf numFmtId="0" fontId="3" fillId="0" borderId="0" applyAlignment="0"/>
    <xf numFmtId="0" fontId="4" fillId="2" borderId="0" applyAlignment="0"/>
    <xf numFmtId="0" fontId="5" fillId="3" borderId="0" applyAlignment="0"/>
    <xf numFmtId="0" fontId="6" fillId="4" borderId="0" applyAlignment="0"/>
    <xf numFmtId="0" fontId="7" fillId="5" borderId="0" applyAlignment="0"/>
    <xf numFmtId="0" fontId="8" fillId="0" borderId="0" applyAlignment="0"/>
    <xf numFmtId="0" fontId="9" fillId="0" borderId="0" applyAlignment="0"/>
    <xf numFmtId="0" fontId="10" fillId="0" borderId="0" applyAlignment="0"/>
    <xf numFmtId="0" fontId="11" fillId="0" borderId="0" applyAlignment="0"/>
    <xf numFmtId="0" fontId="12" fillId="0" borderId="0" applyAlignment="0"/>
    <xf numFmtId="0" fontId="11" fillId="0" borderId="0" applyAlignment="0"/>
    <xf numFmtId="0" fontId="13" fillId="0" borderId="0" applyAlignment="0"/>
    <xf numFmtId="0" fontId="14" fillId="0" borderId="0" applyAlignment="0"/>
    <xf numFmtId="0" fontId="15" fillId="0" borderId="0" applyAlignment="0"/>
  </cellStyleXfs>
  <cellXfs count="137">
    <xf numFmtId="0" fontId="1" fillId="0" borderId="0" xfId="0" applyFont="1" applyAlignment="1"/>
    <xf numFmtId="0" fontId="2" fillId="0" borderId="0" xfId="0" applyNumberFormat="1" applyFont="1" applyAlignment="1"/>
    <xf numFmtId="0" fontId="6" fillId="4" borderId="0" xfId="0" applyFont="1" applyFill="1" applyAlignment="1"/>
    <xf numFmtId="0" fontId="16" fillId="0" borderId="0" xfId="0" applyFont="1" applyAlignment="1"/>
    <xf numFmtId="0" fontId="1" fillId="0" borderId="0" xfId="0" applyFont="1" applyAlignment="1">
      <alignment horizontal="left"/>
    </xf>
    <xf numFmtId="164" fontId="1" fillId="0" borderId="0" xfId="0" applyNumberFormat="1" applyFont="1" applyAlignment="1">
      <alignment horizontal="left"/>
    </xf>
    <xf numFmtId="0" fontId="8" fillId="0" borderId="0" xfId="0" applyNumberFormat="1" applyFont="1" applyAlignment="1">
      <alignment horizontal="left" vertical="top"/>
    </xf>
    <xf numFmtId="0" fontId="11" fillId="5" borderId="0" xfId="0" applyFont="1" applyFill="1" applyAlignment="1">
      <alignment horizontal="left" vertical="top" wrapText="1"/>
    </xf>
    <xf numFmtId="0" fontId="11" fillId="0" borderId="0" xfId="0" applyFont="1" applyAlignment="1">
      <alignment vertical="top" wrapText="1"/>
    </xf>
    <xf numFmtId="0" fontId="11" fillId="5" borderId="0" xfId="0" applyFont="1" applyFill="1" applyAlignment="1">
      <alignment vertical="top" wrapText="1"/>
    </xf>
    <xf numFmtId="0" fontId="1" fillId="0" borderId="0" xfId="0" applyFont="1" applyAlignment="1">
      <alignment vertical="top" wrapText="1"/>
    </xf>
    <xf numFmtId="0" fontId="11" fillId="5" borderId="0" xfId="0" applyFont="1" applyFill="1" applyAlignment="1">
      <alignment horizontal="right" vertical="top" wrapText="1"/>
    </xf>
    <xf numFmtId="165" fontId="8" fillId="0" borderId="0" xfId="0" applyNumberFormat="1" applyFont="1" applyAlignment="1">
      <alignment horizontal="right" vertical="top" wrapText="1"/>
    </xf>
    <xf numFmtId="166" fontId="8" fillId="0" borderId="0" xfId="0" applyNumberFormat="1" applyFont="1" applyAlignment="1">
      <alignment horizontal="right" vertical="top" wrapText="1"/>
    </xf>
    <xf numFmtId="0" fontId="8" fillId="0" borderId="0" xfId="0" applyNumberFormat="1" applyFont="1" applyAlignment="1">
      <alignment horizontal="right" vertical="top" wrapText="1"/>
    </xf>
    <xf numFmtId="0" fontId="11" fillId="5" borderId="0" xfId="0" applyFont="1" applyFill="1" applyAlignment="1">
      <alignment horizontal="center" vertical="top" wrapText="1"/>
    </xf>
    <xf numFmtId="164" fontId="8" fillId="0" borderId="0" xfId="0" applyNumberFormat="1" applyFont="1" applyAlignment="1">
      <alignment horizontal="center" vertical="top" wrapText="1"/>
    </xf>
    <xf numFmtId="0" fontId="8" fillId="0" borderId="0" xfId="0" applyNumberFormat="1" applyFont="1" applyAlignment="1">
      <alignment horizontal="center" vertical="top" wrapText="1"/>
    </xf>
    <xf numFmtId="0" fontId="1" fillId="0" borderId="0" xfId="0" applyFont="1" applyAlignment="1">
      <alignment horizontal="right" wrapText="1"/>
    </xf>
    <xf numFmtId="168" fontId="8" fillId="0" borderId="0" xfId="0" applyNumberFormat="1" applyFont="1" applyAlignment="1">
      <alignment horizontal="right" vertical="top" wrapText="1"/>
    </xf>
    <xf numFmtId="169" fontId="8" fillId="0" borderId="0" xfId="0" applyNumberFormat="1" applyFont="1" applyAlignment="1">
      <alignment horizontal="right" vertical="top" wrapText="1"/>
    </xf>
    <xf numFmtId="170" fontId="8" fillId="0" borderId="0" xfId="0" applyNumberFormat="1" applyFont="1" applyAlignment="1">
      <alignment horizontal="right" vertical="top" wrapText="1"/>
    </xf>
    <xf numFmtId="167" fontId="8" fillId="0" borderId="0" xfId="0" applyNumberFormat="1" applyFont="1" applyAlignment="1">
      <alignment horizontal="right" vertical="top" wrapText="1"/>
    </xf>
    <xf numFmtId="0" fontId="8" fillId="0" borderId="0" xfId="0" applyNumberFormat="1" applyFont="1" applyAlignment="1">
      <alignment horizontal="left" vertical="top" wrapText="1"/>
    </xf>
    <xf numFmtId="165" fontId="8" fillId="0" borderId="0" xfId="0" applyNumberFormat="1" applyFont="1" applyAlignment="1">
      <alignment vertical="top" wrapText="1"/>
    </xf>
    <xf numFmtId="0" fontId="11" fillId="0" borderId="0" xfId="0" applyNumberFormat="1" applyFont="1" applyAlignment="1">
      <alignment vertical="top" wrapText="1"/>
    </xf>
    <xf numFmtId="0" fontId="1" fillId="0" borderId="0" xfId="0" applyFont="1" applyAlignment="1">
      <alignment horizontal="center" vertical="top" wrapText="1"/>
    </xf>
    <xf numFmtId="0" fontId="8" fillId="0" borderId="0" xfId="0" applyNumberFormat="1" applyFont="1" applyAlignment="1">
      <alignment vertical="top" wrapText="1"/>
    </xf>
    <xf numFmtId="0" fontId="11" fillId="5" borderId="1" xfId="0" applyFont="1" applyFill="1" applyBorder="1" applyAlignment="1">
      <alignment horizontal="left" vertical="top" wrapText="1"/>
    </xf>
    <xf numFmtId="0" fontId="11" fillId="5" borderId="1" xfId="0" applyFont="1" applyFill="1" applyBorder="1" applyAlignment="1">
      <alignment horizontal="center" vertical="center" wrapText="1"/>
    </xf>
    <xf numFmtId="171" fontId="17" fillId="6" borderId="1" xfId="0" applyNumberFormat="1" applyFont="1" applyFill="1" applyBorder="1" applyAlignment="1">
      <alignment horizontal="center" vertical="top" wrapText="1"/>
    </xf>
    <xf numFmtId="171" fontId="17" fillId="7" borderId="1" xfId="0" applyNumberFormat="1" applyFont="1" applyFill="1" applyBorder="1" applyAlignment="1">
      <alignment horizontal="center" vertical="top" wrapText="1"/>
    </xf>
    <xf numFmtId="171" fontId="17" fillId="8" borderId="1" xfId="0" applyNumberFormat="1" applyFont="1" applyFill="1" applyBorder="1" applyAlignment="1">
      <alignment horizontal="center" vertical="top" wrapText="1"/>
    </xf>
    <xf numFmtId="171" fontId="17" fillId="9" borderId="1" xfId="0" applyNumberFormat="1" applyFont="1" applyFill="1" applyBorder="1" applyAlignment="1">
      <alignment horizontal="center" vertical="top" wrapText="1"/>
    </xf>
    <xf numFmtId="0" fontId="11" fillId="5" borderId="1" xfId="0" applyFont="1" applyFill="1" applyBorder="1" applyAlignment="1">
      <alignment horizontal="center" vertical="top" wrapText="1"/>
    </xf>
    <xf numFmtId="164" fontId="8" fillId="0" borderId="1" xfId="0" applyNumberFormat="1" applyFont="1" applyBorder="1" applyAlignment="1">
      <alignment horizontal="center" vertical="top" wrapText="1"/>
    </xf>
    <xf numFmtId="0" fontId="8" fillId="0" borderId="1" xfId="0" applyNumberFormat="1" applyFont="1" applyBorder="1" applyAlignment="1">
      <alignment horizontal="center" vertical="top" wrapText="1"/>
    </xf>
    <xf numFmtId="0" fontId="8" fillId="0" borderId="1" xfId="0" applyNumberFormat="1" applyFont="1" applyBorder="1" applyAlignment="1">
      <alignment horizontal="left" vertical="top" wrapText="1"/>
    </xf>
    <xf numFmtId="0" fontId="1" fillId="0" borderId="0" xfId="0" applyFont="1" applyAlignment="1">
      <alignment horizontal="left" wrapText="1"/>
    </xf>
    <xf numFmtId="0" fontId="1" fillId="0" borderId="0" xfId="0" applyFont="1" applyAlignment="1">
      <alignment vertical="center" wrapText="1"/>
    </xf>
    <xf numFmtId="0" fontId="1" fillId="0" borderId="0" xfId="0" applyFont="1" applyAlignment="1">
      <alignment wrapText="1"/>
    </xf>
    <xf numFmtId="0" fontId="13" fillId="0" borderId="0" xfId="16" applyFont="1" applyAlignment="1"/>
    <xf numFmtId="0" fontId="18" fillId="0" borderId="0" xfId="0" applyNumberFormat="1" applyFont="1" applyFill="1" applyBorder="1" applyAlignment="1" applyProtection="1"/>
    <xf numFmtId="0" fontId="1" fillId="0" borderId="0" xfId="0" applyFont="1" applyFill="1" applyBorder="1" applyAlignment="1"/>
    <xf numFmtId="9" fontId="1" fillId="0" borderId="5" xfId="0" applyNumberFormat="1" applyFont="1" applyFill="1" applyBorder="1" applyAlignment="1"/>
    <xf numFmtId="9" fontId="1" fillId="0" borderId="6" xfId="0" applyNumberFormat="1" applyFont="1" applyFill="1" applyBorder="1" applyAlignment="1"/>
    <xf numFmtId="9" fontId="1" fillId="0" borderId="9" xfId="0" applyNumberFormat="1" applyFont="1" applyFill="1" applyBorder="1" applyAlignment="1"/>
    <xf numFmtId="9" fontId="1" fillId="0" borderId="15" xfId="0" applyNumberFormat="1" applyFont="1" applyFill="1" applyBorder="1" applyAlignment="1"/>
    <xf numFmtId="9" fontId="1" fillId="0" borderId="16" xfId="0" applyNumberFormat="1" applyFont="1" applyFill="1" applyBorder="1" applyAlignment="1"/>
    <xf numFmtId="0" fontId="1" fillId="0" borderId="2" xfId="0" applyFont="1" applyFill="1" applyBorder="1" applyAlignment="1"/>
    <xf numFmtId="0" fontId="1" fillId="0" borderId="5" xfId="0" applyFont="1" applyFill="1" applyBorder="1" applyAlignment="1"/>
    <xf numFmtId="9" fontId="20" fillId="0" borderId="16" xfId="0" applyNumberFormat="1" applyFont="1" applyFill="1" applyBorder="1" applyAlignment="1"/>
    <xf numFmtId="9" fontId="1" fillId="0" borderId="18" xfId="0" applyNumberFormat="1" applyFont="1" applyFill="1" applyBorder="1" applyAlignment="1"/>
    <xf numFmtId="0" fontId="1" fillId="0" borderId="19" xfId="0" applyFont="1" applyFill="1" applyBorder="1" applyAlignment="1"/>
    <xf numFmtId="0" fontId="1" fillId="0" borderId="11" xfId="0" applyFont="1" applyFill="1" applyBorder="1" applyAlignment="1"/>
    <xf numFmtId="0" fontId="1" fillId="0" borderId="4" xfId="0" applyFont="1" applyFill="1" applyBorder="1" applyAlignment="1"/>
    <xf numFmtId="169" fontId="1" fillId="0" borderId="2" xfId="0" applyNumberFormat="1" applyFont="1" applyFill="1" applyBorder="1" applyAlignment="1">
      <alignment horizontal="right" vertical="top" wrapText="1"/>
    </xf>
    <xf numFmtId="170" fontId="1" fillId="0" borderId="2" xfId="0" applyNumberFormat="1" applyFont="1" applyFill="1" applyBorder="1" applyAlignment="1">
      <alignment horizontal="right" vertical="top" wrapText="1"/>
    </xf>
    <xf numFmtId="167" fontId="1" fillId="0" borderId="2" xfId="0" applyNumberFormat="1" applyFont="1" applyFill="1" applyBorder="1" applyAlignment="1">
      <alignment horizontal="right" vertical="top" wrapText="1"/>
    </xf>
    <xf numFmtId="0" fontId="16" fillId="0" borderId="6" xfId="0" applyFont="1" applyFill="1" applyBorder="1" applyAlignment="1">
      <alignment horizontal="left" vertical="top" wrapText="1"/>
    </xf>
    <xf numFmtId="0" fontId="1" fillId="0" borderId="9" xfId="0" applyFont="1" applyFill="1" applyBorder="1" applyAlignment="1"/>
    <xf numFmtId="0" fontId="1" fillId="0" borderId="10" xfId="0" applyFont="1" applyFill="1" applyBorder="1" applyAlignment="1"/>
    <xf numFmtId="165" fontId="1" fillId="0" borderId="13" xfId="0" applyNumberFormat="1" applyFont="1" applyFill="1" applyBorder="1" applyAlignment="1">
      <alignment horizontal="right" vertical="top" wrapText="1"/>
    </xf>
    <xf numFmtId="0" fontId="1" fillId="0" borderId="13" xfId="0" applyFont="1" applyFill="1" applyBorder="1" applyAlignment="1"/>
    <xf numFmtId="0" fontId="1" fillId="0" borderId="14" xfId="0" applyFont="1" applyFill="1" applyBorder="1" applyAlignment="1"/>
    <xf numFmtId="0" fontId="16" fillId="0" borderId="20" xfId="0" applyFont="1" applyFill="1" applyBorder="1" applyAlignment="1">
      <alignment horizontal="left" vertical="top" wrapText="1"/>
    </xf>
    <xf numFmtId="0" fontId="16" fillId="0" borderId="21" xfId="0" applyFont="1" applyFill="1" applyBorder="1" applyAlignment="1">
      <alignment horizontal="right" vertical="top" wrapText="1"/>
    </xf>
    <xf numFmtId="0" fontId="16" fillId="0" borderId="17" xfId="0" applyFont="1" applyFill="1" applyBorder="1" applyAlignment="1">
      <alignment horizontal="right" vertical="top" wrapText="1"/>
    </xf>
    <xf numFmtId="0" fontId="1" fillId="0" borderId="22" xfId="0" applyFont="1" applyFill="1" applyBorder="1" applyAlignment="1"/>
    <xf numFmtId="169" fontId="1" fillId="0" borderId="5" xfId="0" applyNumberFormat="1" applyFont="1" applyFill="1" applyBorder="1" applyAlignment="1">
      <alignment horizontal="right" vertical="top" wrapText="1"/>
    </xf>
    <xf numFmtId="169" fontId="1" fillId="0" borderId="6" xfId="0" applyNumberFormat="1" applyFont="1" applyFill="1" applyBorder="1" applyAlignment="1">
      <alignment horizontal="right" vertical="top" wrapText="1"/>
    </xf>
    <xf numFmtId="169" fontId="1" fillId="0" borderId="7" xfId="0" applyNumberFormat="1" applyFont="1" applyFill="1" applyBorder="1" applyAlignment="1">
      <alignment horizontal="right" vertical="top" wrapText="1"/>
    </xf>
    <xf numFmtId="170" fontId="1" fillId="0" borderId="7" xfId="0" applyNumberFormat="1" applyFont="1" applyFill="1" applyBorder="1" applyAlignment="1">
      <alignment horizontal="right" vertical="top" wrapText="1"/>
    </xf>
    <xf numFmtId="167" fontId="1" fillId="0" borderId="7" xfId="0" applyNumberFormat="1" applyFont="1" applyFill="1" applyBorder="1" applyAlignment="1">
      <alignment horizontal="right" vertical="top" wrapText="1"/>
    </xf>
    <xf numFmtId="165" fontId="1" fillId="0" borderId="12" xfId="0" applyNumberFormat="1" applyFont="1" applyFill="1" applyBorder="1" applyAlignment="1">
      <alignment horizontal="right" vertical="top" wrapText="1"/>
    </xf>
    <xf numFmtId="169" fontId="1" fillId="0" borderId="9" xfId="0" applyNumberFormat="1" applyFont="1" applyFill="1" applyBorder="1" applyAlignment="1">
      <alignment horizontal="right" vertical="top" wrapText="1"/>
    </xf>
    <xf numFmtId="169" fontId="1" fillId="0" borderId="10" xfId="0" applyNumberFormat="1" applyFont="1" applyFill="1" applyBorder="1" applyAlignment="1">
      <alignment horizontal="right" vertical="top" wrapText="1"/>
    </xf>
    <xf numFmtId="170" fontId="1" fillId="0" borderId="10" xfId="0" applyNumberFormat="1" applyFont="1" applyFill="1" applyBorder="1" applyAlignment="1">
      <alignment horizontal="right" vertical="top" wrapText="1"/>
    </xf>
    <xf numFmtId="167" fontId="1" fillId="0" borderId="10" xfId="0" applyNumberFormat="1" applyFont="1" applyFill="1" applyBorder="1" applyAlignment="1">
      <alignment horizontal="right" vertical="top" wrapText="1"/>
    </xf>
    <xf numFmtId="165" fontId="1" fillId="0" borderId="14" xfId="0" applyNumberFormat="1" applyFont="1" applyFill="1" applyBorder="1" applyAlignment="1">
      <alignment horizontal="right" vertical="top" wrapText="1"/>
    </xf>
    <xf numFmtId="9" fontId="1" fillId="0" borderId="7" xfId="3" applyFont="1" applyFill="1" applyBorder="1" applyAlignment="1"/>
    <xf numFmtId="9" fontId="1" fillId="0" borderId="2" xfId="3" applyFont="1" applyFill="1" applyBorder="1" applyAlignment="1"/>
    <xf numFmtId="9" fontId="1" fillId="0" borderId="10" xfId="3" applyFont="1" applyFill="1" applyBorder="1" applyAlignment="1"/>
    <xf numFmtId="168" fontId="1" fillId="0" borderId="7" xfId="3" applyNumberFormat="1" applyFont="1" applyFill="1" applyBorder="1" applyAlignment="1"/>
    <xf numFmtId="168" fontId="1" fillId="0" borderId="2" xfId="3" applyNumberFormat="1" applyFont="1" applyFill="1" applyBorder="1" applyAlignment="1"/>
    <xf numFmtId="168" fontId="1" fillId="0" borderId="10" xfId="3" applyNumberFormat="1" applyFont="1" applyFill="1" applyBorder="1" applyAlignment="1"/>
    <xf numFmtId="43" fontId="1" fillId="0" borderId="12" xfId="1" applyFont="1" applyFill="1" applyBorder="1" applyAlignment="1"/>
    <xf numFmtId="43" fontId="1" fillId="0" borderId="13" xfId="1" applyFont="1" applyFill="1" applyBorder="1" applyAlignment="1"/>
    <xf numFmtId="43" fontId="1" fillId="0" borderId="14" xfId="1" applyFont="1" applyFill="1" applyBorder="1" applyAlignment="1"/>
    <xf numFmtId="0" fontId="0" fillId="0" borderId="0" xfId="0"/>
    <xf numFmtId="0" fontId="0" fillId="0" borderId="5" xfId="0" applyBorder="1"/>
    <xf numFmtId="0" fontId="0" fillId="0" borderId="6" xfId="0" applyBorder="1"/>
    <xf numFmtId="0" fontId="0" fillId="0" borderId="7" xfId="0" applyBorder="1"/>
    <xf numFmtId="0" fontId="0" fillId="0" borderId="9" xfId="0" applyBorder="1"/>
    <xf numFmtId="0" fontId="0" fillId="0" borderId="12" xfId="0" applyBorder="1"/>
    <xf numFmtId="0" fontId="0" fillId="0" borderId="6" xfId="0" applyBorder="1" applyAlignment="1">
      <alignment wrapText="1"/>
    </xf>
    <xf numFmtId="0" fontId="0" fillId="0" borderId="7" xfId="0" applyBorder="1" applyAlignment="1">
      <alignment wrapText="1"/>
    </xf>
    <xf numFmtId="0" fontId="0" fillId="0" borderId="12" xfId="0" applyBorder="1" applyAlignment="1">
      <alignment wrapText="1"/>
    </xf>
    <xf numFmtId="0" fontId="0" fillId="0" borderId="5" xfId="0" applyBorder="1" applyAlignment="1">
      <alignment wrapText="1"/>
    </xf>
    <xf numFmtId="0" fontId="0" fillId="0" borderId="9" xfId="0" applyBorder="1" applyAlignment="1">
      <alignment wrapText="1"/>
    </xf>
    <xf numFmtId="168" fontId="0" fillId="0" borderId="7" xfId="0" applyNumberFormat="1" applyBorder="1"/>
    <xf numFmtId="168" fontId="0" fillId="0" borderId="12" xfId="0" applyNumberFormat="1" applyBorder="1"/>
    <xf numFmtId="168" fontId="0" fillId="0" borderId="2" xfId="0" applyNumberFormat="1" applyBorder="1"/>
    <xf numFmtId="168" fontId="0" fillId="0" borderId="13" xfId="0" applyNumberFormat="1" applyBorder="1"/>
    <xf numFmtId="168" fontId="0" fillId="0" borderId="10" xfId="0" applyNumberFormat="1" applyBorder="1"/>
    <xf numFmtId="168" fontId="0" fillId="0" borderId="14" xfId="0" applyNumberFormat="1" applyBorder="1"/>
    <xf numFmtId="0" fontId="0" fillId="0" borderId="8" xfId="0" applyBorder="1"/>
    <xf numFmtId="0" fontId="0" fillId="0" borderId="23" xfId="0" applyBorder="1"/>
    <xf numFmtId="0" fontId="0" fillId="0" borderId="0" xfId="0" applyBorder="1" applyAlignment="1">
      <alignment wrapText="1"/>
    </xf>
    <xf numFmtId="9" fontId="21" fillId="0" borderId="0" xfId="3" applyFont="1"/>
    <xf numFmtId="44" fontId="0" fillId="0" borderId="2" xfId="2" applyFont="1" applyBorder="1" applyAlignment="1">
      <alignment wrapText="1"/>
    </xf>
    <xf numFmtId="44" fontId="0" fillId="0" borderId="10" xfId="2" applyFont="1" applyBorder="1" applyAlignment="1">
      <alignment wrapText="1"/>
    </xf>
    <xf numFmtId="44" fontId="0" fillId="0" borderId="0" xfId="2" applyFont="1"/>
    <xf numFmtId="43" fontId="0" fillId="0" borderId="2" xfId="1" applyFont="1" applyBorder="1" applyAlignment="1">
      <alignment wrapText="1"/>
    </xf>
    <xf numFmtId="43" fontId="0" fillId="0" borderId="10" xfId="1" applyFont="1" applyBorder="1" applyAlignment="1">
      <alignment wrapText="1"/>
    </xf>
    <xf numFmtId="43" fontId="0" fillId="0" borderId="0" xfId="1" applyFont="1"/>
    <xf numFmtId="168" fontId="0" fillId="0" borderId="2" xfId="2" applyNumberFormat="1" applyFont="1" applyBorder="1" applyAlignment="1">
      <alignment wrapText="1"/>
    </xf>
    <xf numFmtId="168" fontId="0" fillId="0" borderId="13" xfId="2" applyNumberFormat="1" applyFont="1" applyBorder="1" applyAlignment="1">
      <alignment wrapText="1"/>
    </xf>
    <xf numFmtId="168" fontId="0" fillId="0" borderId="10" xfId="2" applyNumberFormat="1" applyFont="1" applyBorder="1" applyAlignment="1">
      <alignment wrapText="1"/>
    </xf>
    <xf numFmtId="168" fontId="0" fillId="0" borderId="14" xfId="2" applyNumberFormat="1" applyFont="1" applyBorder="1" applyAlignment="1">
      <alignment wrapText="1"/>
    </xf>
    <xf numFmtId="9" fontId="0" fillId="0" borderId="6" xfId="3" applyFont="1" applyBorder="1"/>
    <xf numFmtId="9" fontId="0" fillId="0" borderId="5" xfId="3" applyFont="1" applyBorder="1"/>
    <xf numFmtId="9" fontId="0" fillId="0" borderId="9" xfId="3" applyFont="1" applyBorder="1"/>
    <xf numFmtId="44" fontId="0" fillId="0" borderId="2" xfId="2" applyFont="1" applyBorder="1"/>
    <xf numFmtId="44" fontId="0" fillId="0" borderId="13" xfId="2" applyFont="1" applyBorder="1"/>
    <xf numFmtId="44" fontId="0" fillId="0" borderId="3" xfId="2" applyFont="1" applyBorder="1"/>
    <xf numFmtId="44" fontId="0" fillId="0" borderId="10" xfId="2" applyFont="1" applyBorder="1"/>
    <xf numFmtId="44" fontId="0" fillId="0" borderId="14" xfId="2" applyFont="1" applyBorder="1"/>
    <xf numFmtId="44" fontId="0" fillId="0" borderId="12" xfId="2" applyFont="1" applyBorder="1"/>
    <xf numFmtId="9" fontId="0" fillId="0" borderId="2" xfId="3" applyFont="1" applyBorder="1"/>
    <xf numFmtId="9" fontId="0" fillId="0" borderId="13" xfId="3" applyFont="1" applyBorder="1"/>
    <xf numFmtId="168" fontId="0" fillId="0" borderId="2" xfId="2" applyNumberFormat="1" applyFont="1" applyBorder="1"/>
    <xf numFmtId="168" fontId="0" fillId="0" borderId="13" xfId="2" applyNumberFormat="1" applyFont="1" applyBorder="1"/>
    <xf numFmtId="43" fontId="0" fillId="0" borderId="2" xfId="1" applyFont="1" applyBorder="1"/>
    <xf numFmtId="43" fontId="0" fillId="0" borderId="13" xfId="1" applyFont="1" applyBorder="1"/>
    <xf numFmtId="9" fontId="0" fillId="0" borderId="14" xfId="3" applyFont="1" applyBorder="1"/>
    <xf numFmtId="9" fontId="21" fillId="0" borderId="16" xfId="3" applyFont="1" applyBorder="1"/>
  </cellXfs>
  <cellStyles count="19">
    <cellStyle name="ChartingText" xfId="17" xr:uid="{00000000-0005-0000-0000-000013000000}"/>
    <cellStyle name="CHPTop" xfId="18" xr:uid="{00000000-0005-0000-0000-000014000000}"/>
    <cellStyle name="ColumnHeaderNormal" xfId="9" xr:uid="{00000000-0005-0000-0000-00000B000000}"/>
    <cellStyle name="Comma" xfId="1" builtinId="3"/>
    <cellStyle name="Currency" xfId="2" builtinId="4"/>
    <cellStyle name="Invisible" xfId="16" xr:uid="{00000000-0005-0000-0000-000012000000}"/>
    <cellStyle name="NewColumnHeaderNormal" xfId="7" xr:uid="{00000000-0005-0000-0000-000009000000}"/>
    <cellStyle name="NewSectionHeaderNormal" xfId="6" xr:uid="{00000000-0005-0000-0000-000008000000}"/>
    <cellStyle name="NewTitleNormal" xfId="5" xr:uid="{00000000-0005-0000-0000-000007000000}"/>
    <cellStyle name="Normal" xfId="0" builtinId="0"/>
    <cellStyle name="Percent" xfId="3" builtinId="5"/>
    <cellStyle name="SectionHeaderNormal" xfId="8" xr:uid="{00000000-0005-0000-0000-00000A000000}"/>
    <cellStyle name="SubScript" xfId="12" xr:uid="{00000000-0005-0000-0000-00000E000000}"/>
    <cellStyle name="SuperScript" xfId="11" xr:uid="{00000000-0005-0000-0000-00000D000000}"/>
    <cellStyle name="TextBold" xfId="13" xr:uid="{00000000-0005-0000-0000-00000F000000}"/>
    <cellStyle name="TextItalic" xfId="14" xr:uid="{00000000-0005-0000-0000-000010000000}"/>
    <cellStyle name="TextNormal" xfId="10" xr:uid="{00000000-0005-0000-0000-00000C000000}"/>
    <cellStyle name="TitleNormal" xfId="4" xr:uid="{00000000-0005-0000-0000-000006000000}"/>
    <cellStyle name="Total" xfId="15" xr:uid="{00000000-0005-0000-0000-000011000000}"/>
  </cellStyles>
  <dxfs count="4">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C1302E"/>
      <rgbColor rgb="00F1C671"/>
      <rgbColor rgb="008AC37F"/>
      <rgbColor rgb="00009933"/>
      <rgbColor rgb="00002060"/>
      <rgbColor rgb="00FA4040"/>
      <rgbColor rgb="00FFFFEB"/>
      <rgbColor rgb="00EEEEEE"/>
      <rgbColor rgb="00F0F0DC"/>
      <rgbColor rgb="00993366"/>
      <rgbColor rgb="00F5F5E1"/>
      <rgbColor rgb="00004080"/>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3.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5C7217DE-91B7-42CD-91FC-83B5C759EB75}"/>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43</xdr:row>
      <xdr:rowOff>0</xdr:rowOff>
    </xdr:from>
    <xdr:to>
      <xdr:col>3</xdr:col>
      <xdr:colOff>764586</xdr:colOff>
      <xdr:row>45</xdr:row>
      <xdr:rowOff>122709</xdr:rowOff>
    </xdr:to>
    <xdr:pic>
      <xdr:nvPicPr>
        <xdr:cNvPr id="3" name="Picture 3">
          <a:extLst>
            <a:ext uri="{FF2B5EF4-FFF2-40B4-BE49-F238E27FC236}">
              <a16:creationId xmlns:a16="http://schemas.microsoft.com/office/drawing/2014/main" id="{ED462339-072B-46E9-807C-53B879983F0D}"/>
            </a:ext>
          </a:extLst>
        </xdr:cNvPr>
        <xdr:cNvPicPr>
          <a:picLocks noChangeAspect="1"/>
        </xdr:cNvPicPr>
      </xdr:nvPicPr>
      <xdr:blipFill>
        <a:blip xmlns:r="http://schemas.openxmlformats.org/officeDocument/2006/relationships" r:embed="rId2"/>
        <a:stretch>
          <a:fillRect/>
        </a:stretch>
      </xdr:blipFill>
      <xdr:spPr>
        <a:xfrm>
          <a:off x="5972175" y="7219950"/>
          <a:ext cx="762000" cy="6000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65A24753-0B81-4169-9DBF-086D33E55CAE}"/>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45</xdr:row>
      <xdr:rowOff>0</xdr:rowOff>
    </xdr:from>
    <xdr:to>
      <xdr:col>3</xdr:col>
      <xdr:colOff>764586</xdr:colOff>
      <xdr:row>47</xdr:row>
      <xdr:rowOff>122709</xdr:rowOff>
    </xdr:to>
    <xdr:pic>
      <xdr:nvPicPr>
        <xdr:cNvPr id="3" name="Picture 3">
          <a:extLst>
            <a:ext uri="{FF2B5EF4-FFF2-40B4-BE49-F238E27FC236}">
              <a16:creationId xmlns:a16="http://schemas.microsoft.com/office/drawing/2014/main" id="{4372C423-2ABB-4A2E-A449-470A88E9A13C}"/>
            </a:ext>
          </a:extLst>
        </xdr:cNvPr>
        <xdr:cNvPicPr>
          <a:picLocks noChangeAspect="1"/>
        </xdr:cNvPicPr>
      </xdr:nvPicPr>
      <xdr:blipFill>
        <a:blip xmlns:r="http://schemas.openxmlformats.org/officeDocument/2006/relationships" r:embed="rId2"/>
        <a:stretch>
          <a:fillRect/>
        </a:stretch>
      </xdr:blipFill>
      <xdr:spPr>
        <a:xfrm>
          <a:off x="5972175" y="7219950"/>
          <a:ext cx="762000" cy="6000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3451FE18-3A40-41D2-956C-38A322FA14A6}"/>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45</xdr:row>
      <xdr:rowOff>0</xdr:rowOff>
    </xdr:from>
    <xdr:to>
      <xdr:col>3</xdr:col>
      <xdr:colOff>764586</xdr:colOff>
      <xdr:row>47</xdr:row>
      <xdr:rowOff>122709</xdr:rowOff>
    </xdr:to>
    <xdr:pic>
      <xdr:nvPicPr>
        <xdr:cNvPr id="3" name="Picture 3">
          <a:extLst>
            <a:ext uri="{FF2B5EF4-FFF2-40B4-BE49-F238E27FC236}">
              <a16:creationId xmlns:a16="http://schemas.microsoft.com/office/drawing/2014/main" id="{BDC9BE1D-37BC-4915-A51C-A9F5FE08BAF4}"/>
            </a:ext>
          </a:extLst>
        </xdr:cNvPr>
        <xdr:cNvPicPr>
          <a:picLocks noChangeAspect="1"/>
        </xdr:cNvPicPr>
      </xdr:nvPicPr>
      <xdr:blipFill>
        <a:blip xmlns:r="http://schemas.openxmlformats.org/officeDocument/2006/relationships" r:embed="rId2"/>
        <a:stretch>
          <a:fillRect/>
        </a:stretch>
      </xdr:blipFill>
      <xdr:spPr>
        <a:xfrm>
          <a:off x="5972175" y="7219950"/>
          <a:ext cx="762000" cy="6000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80D3F04F-20F2-405C-BAD2-71DA6C67CC83}"/>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39</xdr:row>
      <xdr:rowOff>0</xdr:rowOff>
    </xdr:from>
    <xdr:to>
      <xdr:col>4</xdr:col>
      <xdr:colOff>146921</xdr:colOff>
      <xdr:row>41</xdr:row>
      <xdr:rowOff>122709</xdr:rowOff>
    </xdr:to>
    <xdr:pic>
      <xdr:nvPicPr>
        <xdr:cNvPr id="3" name="Picture 3">
          <a:extLst>
            <a:ext uri="{FF2B5EF4-FFF2-40B4-BE49-F238E27FC236}">
              <a16:creationId xmlns:a16="http://schemas.microsoft.com/office/drawing/2014/main" id="{6C396956-5E15-4806-A3C5-743B67B5EA1E}"/>
            </a:ext>
          </a:extLst>
        </xdr:cNvPr>
        <xdr:cNvPicPr>
          <a:picLocks noChangeAspect="1"/>
        </xdr:cNvPicPr>
      </xdr:nvPicPr>
      <xdr:blipFill>
        <a:blip xmlns:r="http://schemas.openxmlformats.org/officeDocument/2006/relationships" r:embed="rId2"/>
        <a:stretch>
          <a:fillRect/>
        </a:stretch>
      </xdr:blipFill>
      <xdr:spPr>
        <a:xfrm>
          <a:off x="6638925" y="6248400"/>
          <a:ext cx="762000" cy="6000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917572</xdr:colOff>
      <xdr:row>2</xdr:row>
      <xdr:rowOff>113854</xdr:rowOff>
    </xdr:to>
    <xdr:pic>
      <xdr:nvPicPr>
        <xdr:cNvPr id="2" name="Picture 2">
          <a:extLst>
            <a:ext uri="{FF2B5EF4-FFF2-40B4-BE49-F238E27FC236}">
              <a16:creationId xmlns:a16="http://schemas.microsoft.com/office/drawing/2014/main" id="{C24CF820-29F2-4EFF-88C2-3731FB7BF0C3}"/>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68</xdr:row>
      <xdr:rowOff>0</xdr:rowOff>
    </xdr:from>
    <xdr:to>
      <xdr:col>3</xdr:col>
      <xdr:colOff>764363</xdr:colOff>
      <xdr:row>70</xdr:row>
      <xdr:rowOff>122709</xdr:rowOff>
    </xdr:to>
    <xdr:pic>
      <xdr:nvPicPr>
        <xdr:cNvPr id="3" name="Picture 3">
          <a:extLst>
            <a:ext uri="{FF2B5EF4-FFF2-40B4-BE49-F238E27FC236}">
              <a16:creationId xmlns:a16="http://schemas.microsoft.com/office/drawing/2014/main" id="{A494D45A-3E66-4828-BBA5-19F731F272BE}"/>
            </a:ext>
          </a:extLst>
        </xdr:cNvPr>
        <xdr:cNvPicPr>
          <a:picLocks noChangeAspect="1"/>
        </xdr:cNvPicPr>
      </xdr:nvPicPr>
      <xdr:blipFill>
        <a:blip xmlns:r="http://schemas.openxmlformats.org/officeDocument/2006/relationships" r:embed="rId2"/>
        <a:stretch>
          <a:fillRect/>
        </a:stretch>
      </xdr:blipFill>
      <xdr:spPr>
        <a:xfrm>
          <a:off x="4505325" y="10953750"/>
          <a:ext cx="762000" cy="6000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917572</xdr:colOff>
      <xdr:row>2</xdr:row>
      <xdr:rowOff>113854</xdr:rowOff>
    </xdr:to>
    <xdr:pic>
      <xdr:nvPicPr>
        <xdr:cNvPr id="2" name="Picture 2">
          <a:extLst>
            <a:ext uri="{FF2B5EF4-FFF2-40B4-BE49-F238E27FC236}">
              <a16:creationId xmlns:a16="http://schemas.microsoft.com/office/drawing/2014/main" id="{57CCFFC1-8D51-4523-BEC6-884F4D71BE48}"/>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0</xdr:col>
      <xdr:colOff>8418</xdr:colOff>
      <xdr:row>14</xdr:row>
      <xdr:rowOff>0</xdr:rowOff>
    </xdr:from>
    <xdr:to>
      <xdr:col>3</xdr:col>
      <xdr:colOff>218266</xdr:colOff>
      <xdr:row>14</xdr:row>
      <xdr:rowOff>3807619</xdr:rowOff>
    </xdr:to>
    <xdr:pic>
      <xdr:nvPicPr>
        <xdr:cNvPr id="3" name="Picture 3">
          <a:extLst>
            <a:ext uri="{FF2B5EF4-FFF2-40B4-BE49-F238E27FC236}">
              <a16:creationId xmlns:a16="http://schemas.microsoft.com/office/drawing/2014/main" id="{A6B338C2-F33F-444D-B38D-0B10B81A6C0A}"/>
            </a:ext>
          </a:extLst>
        </xdr:cNvPr>
        <xdr:cNvPicPr>
          <a:picLocks noChangeAspect="1"/>
        </xdr:cNvPicPr>
      </xdr:nvPicPr>
      <xdr:blipFill>
        <a:blip xmlns:r="http://schemas.openxmlformats.org/officeDocument/2006/relationships" r:embed="rId2"/>
        <a:stretch>
          <a:fillRect/>
        </a:stretch>
      </xdr:blipFill>
      <xdr:spPr>
        <a:xfrm>
          <a:off x="9525" y="2266950"/>
          <a:ext cx="7610475" cy="3810000"/>
        </a:xfrm>
        <a:prstGeom prst="rect">
          <a:avLst/>
        </a:prstGeom>
      </xdr:spPr>
    </xdr:pic>
    <xdr:clientData/>
  </xdr:twoCellAnchor>
  <xdr:twoCellAnchor>
    <xdr:from>
      <xdr:col>3</xdr:col>
      <xdr:colOff>0</xdr:colOff>
      <xdr:row>31</xdr:row>
      <xdr:rowOff>0</xdr:rowOff>
    </xdr:from>
    <xdr:to>
      <xdr:col>4</xdr:col>
      <xdr:colOff>146921</xdr:colOff>
      <xdr:row>33</xdr:row>
      <xdr:rowOff>122709</xdr:rowOff>
    </xdr:to>
    <xdr:pic>
      <xdr:nvPicPr>
        <xdr:cNvPr id="4" name="Picture 4">
          <a:extLst>
            <a:ext uri="{FF2B5EF4-FFF2-40B4-BE49-F238E27FC236}">
              <a16:creationId xmlns:a16="http://schemas.microsoft.com/office/drawing/2014/main" id="{E6F4B565-50BE-41FD-945B-7AD2F51905AF}"/>
            </a:ext>
          </a:extLst>
        </xdr:cNvPr>
        <xdr:cNvPicPr>
          <a:picLocks noChangeAspect="1"/>
        </xdr:cNvPicPr>
      </xdr:nvPicPr>
      <xdr:blipFill>
        <a:blip xmlns:r="http://schemas.openxmlformats.org/officeDocument/2006/relationships" r:embed="rId3"/>
        <a:stretch>
          <a:fillRect/>
        </a:stretch>
      </xdr:blipFill>
      <xdr:spPr>
        <a:xfrm>
          <a:off x="7400925" y="9934575"/>
          <a:ext cx="762000" cy="6000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F75CC3A9-72A2-4B4F-8F90-6BEF4175FB6A}"/>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40</xdr:row>
      <xdr:rowOff>0</xdr:rowOff>
    </xdr:from>
    <xdr:to>
      <xdr:col>4</xdr:col>
      <xdr:colOff>49625</xdr:colOff>
      <xdr:row>42</xdr:row>
      <xdr:rowOff>151172</xdr:rowOff>
    </xdr:to>
    <xdr:pic>
      <xdr:nvPicPr>
        <xdr:cNvPr id="3" name="Picture 3">
          <a:extLst>
            <a:ext uri="{FF2B5EF4-FFF2-40B4-BE49-F238E27FC236}">
              <a16:creationId xmlns:a16="http://schemas.microsoft.com/office/drawing/2014/main" id="{5F875B06-0EF4-4DC5-83F4-2057076B793C}"/>
            </a:ext>
          </a:extLst>
        </xdr:cNvPr>
        <xdr:cNvPicPr>
          <a:picLocks noChangeAspect="1"/>
        </xdr:cNvPicPr>
      </xdr:nvPicPr>
      <xdr:blipFill>
        <a:blip xmlns:r="http://schemas.openxmlformats.org/officeDocument/2006/relationships" r:embed="rId2"/>
        <a:stretch>
          <a:fillRect/>
        </a:stretch>
      </xdr:blipFill>
      <xdr:spPr>
        <a:xfrm>
          <a:off x="5038725" y="6410325"/>
          <a:ext cx="971550" cy="628650"/>
        </a:xfrm>
        <a:prstGeom prst="rect">
          <a:avLst/>
        </a:prstGeom>
      </xdr:spPr>
    </xdr:pic>
    <xdr:clientData/>
  </xdr:twoCellAnchor>
  <xdr:twoCellAnchor>
    <xdr:from>
      <xdr:col>0</xdr:col>
      <xdr:colOff>0</xdr:colOff>
      <xdr:row>10</xdr:row>
      <xdr:rowOff>0</xdr:rowOff>
    </xdr:from>
    <xdr:to>
      <xdr:col>1</xdr:col>
      <xdr:colOff>761516</xdr:colOff>
      <xdr:row>11</xdr:row>
      <xdr:rowOff>71475</xdr:rowOff>
    </xdr:to>
    <xdr:pic>
      <xdr:nvPicPr>
        <xdr:cNvPr id="4" name="Picture 4">
          <a:extLst>
            <a:ext uri="{FF2B5EF4-FFF2-40B4-BE49-F238E27FC236}">
              <a16:creationId xmlns:a16="http://schemas.microsoft.com/office/drawing/2014/main" id="{24AA8601-8E49-45E8-B061-AA7551407766}"/>
            </a:ext>
          </a:extLst>
        </xdr:cNvPr>
        <xdr:cNvPicPr>
          <a:picLocks noChangeAspect="1"/>
        </xdr:cNvPicPr>
      </xdr:nvPicPr>
      <xdr:blipFill>
        <a:blip xmlns:r="http://schemas.openxmlformats.org/officeDocument/2006/relationships" r:embed="rId3"/>
        <a:stretch>
          <a:fillRect/>
        </a:stretch>
      </xdr:blipFill>
      <xdr:spPr>
        <a:xfrm>
          <a:off x="0" y="1619250"/>
          <a:ext cx="3952875" cy="2381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913507</xdr:colOff>
      <xdr:row>2</xdr:row>
      <xdr:rowOff>113854</xdr:rowOff>
    </xdr:to>
    <xdr:pic>
      <xdr:nvPicPr>
        <xdr:cNvPr id="2" name="Picture 2">
          <a:extLst>
            <a:ext uri="{FF2B5EF4-FFF2-40B4-BE49-F238E27FC236}">
              <a16:creationId xmlns:a16="http://schemas.microsoft.com/office/drawing/2014/main" id="{13F75039-0BD7-4351-BBEB-B07F1A327F1C}"/>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8D5CF-1C38-4466-BF00-E2BAD3A8C992}">
  <sheetPr codeName="Sheet1"/>
  <dimension ref="C5:S44"/>
  <sheetViews>
    <sheetView showGridLines="0" tabSelected="1" workbookViewId="0"/>
  </sheetViews>
  <sheetFormatPr defaultRowHeight="12.5" x14ac:dyDescent="0.25"/>
  <cols>
    <col min="1" max="2" width="8.7265625" style="89"/>
    <col min="3" max="3" width="42" style="89" bestFit="1" customWidth="1"/>
    <col min="4" max="4" width="19.453125" style="89" bestFit="1" customWidth="1"/>
    <col min="5" max="5" width="22.36328125" style="89" bestFit="1" customWidth="1"/>
    <col min="6" max="6" width="23.36328125" style="89" bestFit="1" customWidth="1"/>
    <col min="7" max="7" width="12.6328125" style="89" bestFit="1" customWidth="1"/>
    <col min="8" max="8" width="24.36328125" style="89" bestFit="1" customWidth="1"/>
    <col min="9" max="9" width="22.81640625" style="89" bestFit="1" customWidth="1"/>
    <col min="10" max="10" width="22.36328125" style="89" bestFit="1" customWidth="1"/>
    <col min="11" max="11" width="19.36328125" style="89" bestFit="1" customWidth="1"/>
    <col min="12" max="12" width="39" style="89" bestFit="1" customWidth="1"/>
    <col min="13" max="13" width="33.90625" style="89" bestFit="1" customWidth="1"/>
    <col min="14" max="14" width="26.1796875" style="89" bestFit="1" customWidth="1"/>
    <col min="15" max="15" width="8.7265625" style="89"/>
    <col min="16" max="16" width="28.1796875" style="89" bestFit="1" customWidth="1"/>
    <col min="17" max="18" width="12.1796875" style="89" bestFit="1" customWidth="1"/>
    <col min="19" max="19" width="11.1796875" style="89" bestFit="1" customWidth="1"/>
    <col min="20" max="16384" width="8.7265625" style="89"/>
  </cols>
  <sheetData>
    <row r="5" spans="3:19" ht="13" thickBot="1" x14ac:dyDescent="0.3"/>
    <row r="6" spans="3:19" x14ac:dyDescent="0.25">
      <c r="C6" s="95" t="s">
        <v>8</v>
      </c>
      <c r="D6" s="96" t="s">
        <v>9</v>
      </c>
      <c r="E6" s="96" t="s">
        <v>10</v>
      </c>
      <c r="F6" s="96" t="s">
        <v>11</v>
      </c>
      <c r="G6" s="96" t="s">
        <v>12</v>
      </c>
      <c r="H6" s="96" t="s">
        <v>15</v>
      </c>
      <c r="I6" s="96" t="s">
        <v>22</v>
      </c>
      <c r="J6" s="96" t="s">
        <v>23</v>
      </c>
      <c r="K6" s="96" t="s">
        <v>24</v>
      </c>
      <c r="L6" s="96" t="s">
        <v>51</v>
      </c>
      <c r="M6" s="96" t="s">
        <v>52</v>
      </c>
      <c r="N6" s="97" t="s">
        <v>53</v>
      </c>
      <c r="P6" s="91"/>
      <c r="Q6" s="92" t="s">
        <v>173</v>
      </c>
      <c r="R6" s="92" t="s">
        <v>174</v>
      </c>
      <c r="S6" s="94" t="s">
        <v>175</v>
      </c>
    </row>
    <row r="7" spans="3:19" x14ac:dyDescent="0.25">
      <c r="C7" s="98" t="s">
        <v>25</v>
      </c>
      <c r="D7" s="110">
        <v>503.22</v>
      </c>
      <c r="E7" s="113">
        <v>443.5</v>
      </c>
      <c r="F7" s="110">
        <v>223169.6</v>
      </c>
      <c r="G7" s="110">
        <v>-4566</v>
      </c>
      <c r="H7" s="110">
        <v>218608.6</v>
      </c>
      <c r="I7" s="110">
        <v>250169.62</v>
      </c>
      <c r="J7" s="110">
        <v>11007.53</v>
      </c>
      <c r="K7" s="110">
        <v>15.08</v>
      </c>
      <c r="L7" s="116">
        <v>0.87</v>
      </c>
      <c r="M7" s="116">
        <v>19.86</v>
      </c>
      <c r="N7" s="117">
        <v>33.369999999999997</v>
      </c>
      <c r="P7" s="90" t="s">
        <v>176</v>
      </c>
      <c r="Q7" s="129">
        <v>0.33333333333333331</v>
      </c>
      <c r="R7" s="129">
        <v>0.33333333333333331</v>
      </c>
      <c r="S7" s="130">
        <v>0.33333333333333331</v>
      </c>
    </row>
    <row r="8" spans="3:19" x14ac:dyDescent="0.25">
      <c r="C8" s="98" t="s">
        <v>27</v>
      </c>
      <c r="D8" s="110">
        <v>221.46</v>
      </c>
      <c r="E8" s="113">
        <v>219.1</v>
      </c>
      <c r="F8" s="110">
        <v>48523.8</v>
      </c>
      <c r="G8" s="110">
        <v>17279.5</v>
      </c>
      <c r="H8" s="110">
        <v>65803.3</v>
      </c>
      <c r="I8" s="110">
        <v>40034.39</v>
      </c>
      <c r="J8" s="110">
        <v>4308.53</v>
      </c>
      <c r="K8" s="110">
        <v>11.29</v>
      </c>
      <c r="L8" s="116">
        <v>1.64</v>
      </c>
      <c r="M8" s="116">
        <v>15.27</v>
      </c>
      <c r="N8" s="117">
        <v>19.62</v>
      </c>
      <c r="P8" s="90" t="s">
        <v>177</v>
      </c>
      <c r="Q8" s="131">
        <f>INDEX(L24:L44,MATCH($L$22,$K$24:$K$44))</f>
        <v>0.66500000000000004</v>
      </c>
      <c r="R8" s="131">
        <f>INDEX(M24:M44,MATCH($L$22,$K$24:$K$44))</f>
        <v>12.4</v>
      </c>
      <c r="S8" s="132">
        <f>INDEX(N24:N44,MATCH($L$22,$K$24:$K$44))</f>
        <v>19.342500000000001</v>
      </c>
    </row>
    <row r="9" spans="3:19" x14ac:dyDescent="0.25">
      <c r="C9" s="98" t="s">
        <v>28</v>
      </c>
      <c r="D9" s="110">
        <v>150.97</v>
      </c>
      <c r="E9" s="113">
        <v>2697.3</v>
      </c>
      <c r="F9" s="110">
        <v>407218.4</v>
      </c>
      <c r="G9" s="110">
        <v>52410</v>
      </c>
      <c r="H9" s="110">
        <v>466926.4</v>
      </c>
      <c r="I9" s="110">
        <v>628015.44999999995</v>
      </c>
      <c r="J9" s="110">
        <v>36929.599999999999</v>
      </c>
      <c r="K9" s="110">
        <v>6.11</v>
      </c>
      <c r="L9" s="116">
        <v>0.74</v>
      </c>
      <c r="M9" s="116">
        <v>12.64</v>
      </c>
      <c r="N9" s="117">
        <v>24.72</v>
      </c>
      <c r="P9" s="90" t="s">
        <v>178</v>
      </c>
      <c r="Q9" s="123">
        <v>111370.91</v>
      </c>
      <c r="R9" s="123">
        <v>8205.02</v>
      </c>
      <c r="S9" s="124">
        <v>8.52</v>
      </c>
    </row>
    <row r="10" spans="3:19" x14ac:dyDescent="0.25">
      <c r="C10" s="98" t="s">
        <v>29</v>
      </c>
      <c r="D10" s="110">
        <v>153.71</v>
      </c>
      <c r="E10" s="113">
        <v>221.2</v>
      </c>
      <c r="F10" s="110">
        <v>34004.9</v>
      </c>
      <c r="G10" s="110">
        <v>9483.7000000000007</v>
      </c>
      <c r="H10" s="110">
        <v>43488.6</v>
      </c>
      <c r="I10" s="110">
        <v>30286.03</v>
      </c>
      <c r="J10" s="110">
        <v>2883.64</v>
      </c>
      <c r="K10" s="110">
        <v>6.63</v>
      </c>
      <c r="L10" s="116">
        <v>1.44</v>
      </c>
      <c r="M10" s="116">
        <v>15.08</v>
      </c>
      <c r="N10" s="117">
        <v>23.19</v>
      </c>
      <c r="P10" s="90" t="s">
        <v>179</v>
      </c>
      <c r="Q10" s="123">
        <f>Q9*Q8</f>
        <v>74061.655150000006</v>
      </c>
      <c r="R10" s="123">
        <f>R9*R8</f>
        <v>101742.24800000001</v>
      </c>
      <c r="S10" s="124">
        <f>S12+S11</f>
        <v>75873.045239999992</v>
      </c>
    </row>
    <row r="11" spans="3:19" x14ac:dyDescent="0.25">
      <c r="C11" s="98" t="s">
        <v>30</v>
      </c>
      <c r="D11" s="110">
        <v>76.37</v>
      </c>
      <c r="E11" s="113">
        <v>133.9</v>
      </c>
      <c r="F11" s="110">
        <v>10226.200000000001</v>
      </c>
      <c r="G11" s="110">
        <v>3084</v>
      </c>
      <c r="H11" s="110">
        <v>13310.3</v>
      </c>
      <c r="I11" s="110">
        <v>20886.37</v>
      </c>
      <c r="J11" s="110">
        <v>1080.74</v>
      </c>
      <c r="K11" s="110">
        <v>3.97</v>
      </c>
      <c r="L11" s="116">
        <v>0.64</v>
      </c>
      <c r="M11" s="116">
        <v>12.32</v>
      </c>
      <c r="N11" s="117">
        <v>19.25</v>
      </c>
      <c r="P11" s="90" t="s">
        <v>180</v>
      </c>
      <c r="Q11" s="123"/>
      <c r="R11" s="123"/>
      <c r="S11" s="124"/>
    </row>
    <row r="12" spans="3:19" x14ac:dyDescent="0.25">
      <c r="C12" s="98" t="s">
        <v>31</v>
      </c>
      <c r="D12" s="110">
        <v>72.94</v>
      </c>
      <c r="E12" s="113">
        <v>26.8</v>
      </c>
      <c r="F12" s="110">
        <v>1953.9</v>
      </c>
      <c r="G12" s="110">
        <v>6916.2</v>
      </c>
      <c r="H12" s="110">
        <v>10571</v>
      </c>
      <c r="I12" s="110">
        <v>23082.58</v>
      </c>
      <c r="J12" s="110">
        <v>1214.07</v>
      </c>
      <c r="K12" s="110">
        <v>7.28</v>
      </c>
      <c r="L12" s="116">
        <v>0.46</v>
      </c>
      <c r="M12" s="116">
        <v>8.7100000000000009</v>
      </c>
      <c r="N12" s="117">
        <v>10.01</v>
      </c>
      <c r="P12" s="90" t="s">
        <v>112</v>
      </c>
      <c r="Q12" s="123">
        <f>Q10-Q11</f>
        <v>74061.655150000006</v>
      </c>
      <c r="R12" s="123">
        <f>R10-R11</f>
        <v>101742.24800000001</v>
      </c>
      <c r="S12" s="124">
        <f>S13*S14</f>
        <v>75873.045239999992</v>
      </c>
    </row>
    <row r="13" spans="3:19" ht="13" thickBot="1" x14ac:dyDescent="0.3">
      <c r="C13" s="99" t="s">
        <v>32</v>
      </c>
      <c r="D13" s="111">
        <v>157.75</v>
      </c>
      <c r="E13" s="114">
        <v>460.4</v>
      </c>
      <c r="F13" s="111">
        <v>72622.399999999994</v>
      </c>
      <c r="G13" s="111">
        <v>16925</v>
      </c>
      <c r="H13" s="111">
        <v>89547.4</v>
      </c>
      <c r="I13" s="111">
        <v>111370.91</v>
      </c>
      <c r="J13" s="111">
        <v>8205.02</v>
      </c>
      <c r="K13" s="111">
        <v>8.52</v>
      </c>
      <c r="L13" s="118">
        <v>0.8</v>
      </c>
      <c r="M13" s="118">
        <v>10.91</v>
      </c>
      <c r="N13" s="119">
        <v>18.510000000000002</v>
      </c>
      <c r="P13" s="90" t="s">
        <v>181</v>
      </c>
      <c r="Q13" s="133">
        <v>460.4</v>
      </c>
      <c r="R13" s="133">
        <v>460.4</v>
      </c>
      <c r="S13" s="134">
        <v>460.4</v>
      </c>
    </row>
    <row r="14" spans="3:19" ht="13" thickBot="1" x14ac:dyDescent="0.3">
      <c r="D14" s="112"/>
      <c r="E14" s="115"/>
      <c r="F14" s="112"/>
      <c r="G14" s="112"/>
      <c r="H14" s="112"/>
      <c r="I14" s="112"/>
      <c r="J14" s="112"/>
      <c r="K14" s="112"/>
      <c r="L14" s="112"/>
      <c r="M14" s="112"/>
      <c r="N14" s="112"/>
      <c r="P14" s="107" t="s">
        <v>182</v>
      </c>
      <c r="Q14" s="125">
        <f>Q12/Q13</f>
        <v>160.86371665942661</v>
      </c>
      <c r="R14" s="126">
        <f>R12/R13</f>
        <v>220.98663770634235</v>
      </c>
      <c r="S14" s="127">
        <f>S8*S9</f>
        <v>164.79810000000001</v>
      </c>
    </row>
    <row r="15" spans="3:19" x14ac:dyDescent="0.25">
      <c r="D15" s="112"/>
      <c r="E15" s="115"/>
      <c r="F15" s="112"/>
      <c r="G15" s="112"/>
      <c r="H15" s="112"/>
      <c r="I15" s="112"/>
      <c r="J15" s="112"/>
      <c r="K15" s="112"/>
      <c r="L15" s="112"/>
      <c r="M15" s="112"/>
      <c r="N15" s="112"/>
      <c r="P15" s="91" t="s">
        <v>183</v>
      </c>
      <c r="Q15" s="128">
        <f>SUMPRODUCT(Q14:S14,Q7:S7)</f>
        <v>182.21615145525629</v>
      </c>
      <c r="R15" s="112"/>
      <c r="S15" s="112"/>
    </row>
    <row r="16" spans="3:19" x14ac:dyDescent="0.25">
      <c r="D16" s="112"/>
      <c r="E16" s="115"/>
      <c r="F16" s="112"/>
      <c r="G16" s="112"/>
      <c r="H16" s="112"/>
      <c r="I16" s="112"/>
      <c r="J16" s="112"/>
      <c r="K16" s="112"/>
      <c r="L16" s="112"/>
      <c r="M16" s="112"/>
      <c r="N16" s="112"/>
      <c r="P16" s="90" t="s">
        <v>184</v>
      </c>
      <c r="Q16" s="124">
        <v>157.75</v>
      </c>
      <c r="R16" s="112"/>
      <c r="S16" s="112"/>
    </row>
    <row r="17" spans="3:19" ht="13" thickBot="1" x14ac:dyDescent="0.3">
      <c r="D17" s="112"/>
      <c r="E17" s="115"/>
      <c r="F17" s="112"/>
      <c r="G17" s="112"/>
      <c r="H17" s="112"/>
      <c r="I17" s="112"/>
      <c r="J17" s="112"/>
      <c r="K17" s="112"/>
      <c r="L17" s="112"/>
      <c r="M17" s="112"/>
      <c r="N17" s="112"/>
      <c r="P17" s="93" t="s">
        <v>185</v>
      </c>
      <c r="Q17" s="135">
        <f>Q15/Q16-1</f>
        <v>0.15509446247389103</v>
      </c>
      <c r="R17" s="112"/>
      <c r="S17" s="112"/>
    </row>
    <row r="20" spans="3:19" ht="37.5" x14ac:dyDescent="0.25">
      <c r="C20" s="108" t="s">
        <v>186</v>
      </c>
      <c r="D20" s="109">
        <f>Q17</f>
        <v>0.15509446247389103</v>
      </c>
    </row>
    <row r="21" spans="3:19" ht="13" thickBot="1" x14ac:dyDescent="0.3"/>
    <row r="22" spans="3:19" ht="13" thickBot="1" x14ac:dyDescent="0.3">
      <c r="K22" s="106" t="s">
        <v>172</v>
      </c>
      <c r="L22" s="136">
        <f>BENCHMARKING!D28</f>
        <v>0.2722222222222222</v>
      </c>
    </row>
    <row r="23" spans="3:19" ht="13" thickBot="1" x14ac:dyDescent="0.3">
      <c r="K23" s="89" t="s">
        <v>171</v>
      </c>
    </row>
    <row r="24" spans="3:19" x14ac:dyDescent="0.25">
      <c r="K24" s="120">
        <v>0</v>
      </c>
      <c r="L24" s="100">
        <f>PERCENTILE(L7:L12,K24)</f>
        <v>0.46</v>
      </c>
      <c r="M24" s="100">
        <f>PERCENTILE(M7:M12,K24)</f>
        <v>8.7100000000000009</v>
      </c>
      <c r="N24" s="101">
        <f>PERCENTILE(N7:N12,K24)</f>
        <v>10.01</v>
      </c>
    </row>
    <row r="25" spans="3:19" x14ac:dyDescent="0.25">
      <c r="K25" s="121">
        <v>0.05</v>
      </c>
      <c r="L25" s="102">
        <f>PERCENTILE(L7:L12,K25)</f>
        <v>0.505</v>
      </c>
      <c r="M25" s="102">
        <f>PERCENTILE(M7:M12,K25)</f>
        <v>9.6125000000000007</v>
      </c>
      <c r="N25" s="103">
        <f>PERCENTILE(N7:N12,K25)</f>
        <v>12.32</v>
      </c>
    </row>
    <row r="26" spans="3:19" x14ac:dyDescent="0.25">
      <c r="K26" s="121">
        <v>0.1</v>
      </c>
      <c r="L26" s="102">
        <f>PERCENTILE(L7:L12,K26)</f>
        <v>0.55000000000000004</v>
      </c>
      <c r="M26" s="102">
        <f>PERCENTILE(M7:M12,K26)</f>
        <v>10.515000000000001</v>
      </c>
      <c r="N26" s="103">
        <f>PERCENTILE(N7:N12,K26)</f>
        <v>14.629999999999999</v>
      </c>
    </row>
    <row r="27" spans="3:19" x14ac:dyDescent="0.25">
      <c r="K27" s="121">
        <v>0.15</v>
      </c>
      <c r="L27" s="102">
        <f>PERCENTILE(L7:L12,K27)</f>
        <v>0.59499999999999997</v>
      </c>
      <c r="M27" s="102">
        <f>PERCENTILE(M7:M12,K27)</f>
        <v>11.4175</v>
      </c>
      <c r="N27" s="103">
        <f>PERCENTILE(N7:N12,K27)</f>
        <v>16.939999999999998</v>
      </c>
    </row>
    <row r="28" spans="3:19" x14ac:dyDescent="0.25">
      <c r="K28" s="121">
        <v>0.2</v>
      </c>
      <c r="L28" s="102">
        <f>PERCENTILE(L7:L12,K28)</f>
        <v>0.64</v>
      </c>
      <c r="M28" s="102">
        <f>PERCENTILE(M7:M12,K28)</f>
        <v>12.32</v>
      </c>
      <c r="N28" s="103">
        <f>PERCENTILE(N7:N12,K28)</f>
        <v>19.25</v>
      </c>
    </row>
    <row r="29" spans="3:19" x14ac:dyDescent="0.25">
      <c r="K29" s="121">
        <v>0.25</v>
      </c>
      <c r="L29" s="102">
        <f>PERCENTILE(L7:L12,K29)</f>
        <v>0.66500000000000004</v>
      </c>
      <c r="M29" s="102">
        <f>PERCENTILE(M7:M12,K29)</f>
        <v>12.4</v>
      </c>
      <c r="N29" s="103">
        <f>PERCENTILE(N7:N12,K29)</f>
        <v>19.342500000000001</v>
      </c>
    </row>
    <row r="30" spans="3:19" x14ac:dyDescent="0.25">
      <c r="K30" s="121">
        <v>0.3</v>
      </c>
      <c r="L30" s="102">
        <f>PERCENTILE(L7:L12,K30)</f>
        <v>0.69</v>
      </c>
      <c r="M30" s="102">
        <f>PERCENTILE(M7:M12,K30)</f>
        <v>12.48</v>
      </c>
      <c r="N30" s="103">
        <f>PERCENTILE(N7:N12,K30)</f>
        <v>19.435000000000002</v>
      </c>
    </row>
    <row r="31" spans="3:19" x14ac:dyDescent="0.25">
      <c r="K31" s="121">
        <v>0.35</v>
      </c>
      <c r="L31" s="102">
        <f>PERCENTILE(L7:L12,K31)</f>
        <v>0.71499999999999997</v>
      </c>
      <c r="M31" s="102">
        <f>PERCENTILE(M7:M12,K31)</f>
        <v>12.56</v>
      </c>
      <c r="N31" s="103">
        <f>PERCENTILE(N7:N12,K31)</f>
        <v>19.5275</v>
      </c>
    </row>
    <row r="32" spans="3:19" x14ac:dyDescent="0.25">
      <c r="K32" s="121">
        <v>0.4</v>
      </c>
      <c r="L32" s="102">
        <f>PERCENTILE(L7:L12,K32)</f>
        <v>0.74</v>
      </c>
      <c r="M32" s="102">
        <f>PERCENTILE(M7:M12,K32)</f>
        <v>12.64</v>
      </c>
      <c r="N32" s="103">
        <f>PERCENTILE(N7:N12,K32)</f>
        <v>19.62</v>
      </c>
    </row>
    <row r="33" spans="11:14" x14ac:dyDescent="0.25">
      <c r="K33" s="121">
        <v>0.45</v>
      </c>
      <c r="L33" s="102">
        <f>PERCENTILE(L7:L12,K33)</f>
        <v>0.77249999999999996</v>
      </c>
      <c r="M33" s="102">
        <f>PERCENTILE(M7:M12,K33)</f>
        <v>13.25</v>
      </c>
      <c r="N33" s="103">
        <f>PERCENTILE(N7:N12,K33)</f>
        <v>20.512500000000003</v>
      </c>
    </row>
    <row r="34" spans="11:14" x14ac:dyDescent="0.25">
      <c r="K34" s="121">
        <v>0.5</v>
      </c>
      <c r="L34" s="102">
        <f>PERCENTILE(L7:L12,K34)</f>
        <v>0.80499999999999994</v>
      </c>
      <c r="M34" s="102">
        <f>PERCENTILE(M7:M12,K34)</f>
        <v>13.86</v>
      </c>
      <c r="N34" s="103">
        <f>PERCENTILE(N7:N12,K34)</f>
        <v>21.405000000000001</v>
      </c>
    </row>
    <row r="35" spans="11:14" x14ac:dyDescent="0.25">
      <c r="K35" s="121">
        <v>0.55000000000000004</v>
      </c>
      <c r="L35" s="102">
        <f>PERCENTILE(L7:L12,K35)</f>
        <v>0.83750000000000002</v>
      </c>
      <c r="M35" s="102">
        <f>PERCENTILE(M7:M12,K35)</f>
        <v>14.47</v>
      </c>
      <c r="N35" s="103">
        <f>PERCENTILE(N7:N12,K35)</f>
        <v>22.297499999999999</v>
      </c>
    </row>
    <row r="36" spans="11:14" x14ac:dyDescent="0.25">
      <c r="K36" s="121">
        <v>0.6</v>
      </c>
      <c r="L36" s="102">
        <f>PERCENTILE(L7:L12,K36)</f>
        <v>0.87</v>
      </c>
      <c r="M36" s="102">
        <f>PERCENTILE(M7:M12,K36)</f>
        <v>15.08</v>
      </c>
      <c r="N36" s="103">
        <f>PERCENTILE(N7:N12,K36)</f>
        <v>23.19</v>
      </c>
    </row>
    <row r="37" spans="11:14" x14ac:dyDescent="0.25">
      <c r="K37" s="121">
        <v>0.65</v>
      </c>
      <c r="L37" s="102">
        <f>PERCENTILE(L7:L12,K37)</f>
        <v>1.0125</v>
      </c>
      <c r="M37" s="102">
        <f>PERCENTILE(M7:M12,K37)</f>
        <v>15.1275</v>
      </c>
      <c r="N37" s="103">
        <f>PERCENTILE(N7:N12,K37)</f>
        <v>23.572500000000002</v>
      </c>
    </row>
    <row r="38" spans="11:14" x14ac:dyDescent="0.25">
      <c r="K38" s="121">
        <v>0.7</v>
      </c>
      <c r="L38" s="102">
        <f>PERCENTILE(L7:L12,K38)</f>
        <v>1.155</v>
      </c>
      <c r="M38" s="102">
        <f>PERCENTILE(M7:M12,K38)</f>
        <v>15.175000000000001</v>
      </c>
      <c r="N38" s="103">
        <f>PERCENTILE(N7:N12,K38)</f>
        <v>23.954999999999998</v>
      </c>
    </row>
    <row r="39" spans="11:14" x14ac:dyDescent="0.25">
      <c r="K39" s="121">
        <v>0.75</v>
      </c>
      <c r="L39" s="102">
        <f>PERCENTILE(L7:L12,K39)</f>
        <v>1.2974999999999999</v>
      </c>
      <c r="M39" s="102">
        <f>PERCENTILE(M7:M12,K39)</f>
        <v>15.2225</v>
      </c>
      <c r="N39" s="103">
        <f>PERCENTILE(N7:N12,K39)</f>
        <v>24.337499999999999</v>
      </c>
    </row>
    <row r="40" spans="11:14" x14ac:dyDescent="0.25">
      <c r="K40" s="121">
        <v>0.8</v>
      </c>
      <c r="L40" s="102">
        <f>PERCENTILE(L7:L12,K40)</f>
        <v>1.44</v>
      </c>
      <c r="M40" s="102">
        <f>PERCENTILE(M7:M12,K40)</f>
        <v>15.27</v>
      </c>
      <c r="N40" s="103">
        <f>PERCENTILE(N7:N12,K40)</f>
        <v>24.72</v>
      </c>
    </row>
    <row r="41" spans="11:14" x14ac:dyDescent="0.25">
      <c r="K41" s="121">
        <v>0.85</v>
      </c>
      <c r="L41" s="102">
        <f>PERCENTILE(L7:L12,K41)</f>
        <v>1.49</v>
      </c>
      <c r="M41" s="102">
        <f>PERCENTILE(M7:M12,K41)</f>
        <v>16.4175</v>
      </c>
      <c r="N41" s="103">
        <f>PERCENTILE(N7:N12,K41)</f>
        <v>26.8825</v>
      </c>
    </row>
    <row r="42" spans="11:14" x14ac:dyDescent="0.25">
      <c r="K42" s="121">
        <v>0.9</v>
      </c>
      <c r="L42" s="102">
        <f>PERCENTILE(L7:L12,K42)</f>
        <v>1.54</v>
      </c>
      <c r="M42" s="102">
        <f>PERCENTILE(M7:M12,K42)</f>
        <v>17.564999999999998</v>
      </c>
      <c r="N42" s="103">
        <f>PERCENTILE(N7:N12,K42)</f>
        <v>29.044999999999998</v>
      </c>
    </row>
    <row r="43" spans="11:14" x14ac:dyDescent="0.25">
      <c r="K43" s="121">
        <v>0.95</v>
      </c>
      <c r="L43" s="102">
        <f>PERCENTILE(L7:L12,K43)</f>
        <v>1.5899999999999999</v>
      </c>
      <c r="M43" s="102">
        <f>PERCENTILE(M7:M12,K43)</f>
        <v>18.712499999999999</v>
      </c>
      <c r="N43" s="103">
        <f>PERCENTILE(N7:N12,K43)</f>
        <v>31.207499999999996</v>
      </c>
    </row>
    <row r="44" spans="11:14" ht="13" thickBot="1" x14ac:dyDescent="0.3">
      <c r="K44" s="122">
        <v>1</v>
      </c>
      <c r="L44" s="104">
        <f>PERCENTILE(L7:L12,K44)</f>
        <v>1.64</v>
      </c>
      <c r="M44" s="104">
        <f>PERCENTILE(M7:M12,K44)</f>
        <v>19.86</v>
      </c>
      <c r="N44" s="105">
        <f>PERCENTILE(N7:N12,K44)</f>
        <v>33.369999999999997</v>
      </c>
    </row>
  </sheetData>
  <conditionalFormatting sqref="Q17">
    <cfRule type="cellIs" dxfId="3" priority="4" operator="greaterThan">
      <formula>0</formula>
    </cfRule>
    <cfRule type="cellIs" dxfId="2" priority="3" operator="lessThan">
      <formula>0</formula>
    </cfRule>
    <cfRule type="cellIs" dxfId="1" priority="2" operator="greaterThan">
      <formula>0</formula>
    </cfRule>
    <cfRule type="cellIs" dxfId="0" priority="1" operator="lessThan">
      <formula>0</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5A24A7-68EE-4ED9-9BE6-CC45B6051A65}">
  <sheetPr codeName="Sheet2"/>
  <dimension ref="C5:O51"/>
  <sheetViews>
    <sheetView showGridLines="0" workbookViewId="0"/>
  </sheetViews>
  <sheetFormatPr defaultRowHeight="10" x14ac:dyDescent="0.2"/>
  <cols>
    <col min="1" max="2" width="8.7265625" style="43"/>
    <col min="3" max="3" width="13" style="43" bestFit="1" customWidth="1"/>
    <col min="4" max="4" width="8.36328125" style="43" bestFit="1" customWidth="1"/>
    <col min="5" max="5" width="7.36328125" style="43" bestFit="1" customWidth="1"/>
    <col min="6" max="6" width="7.54296875" style="43" bestFit="1" customWidth="1"/>
    <col min="7" max="7" width="7.36328125" style="43" bestFit="1" customWidth="1"/>
    <col min="8" max="8" width="8.1796875" style="43" bestFit="1" customWidth="1"/>
    <col min="9" max="9" width="7.81640625" style="43" bestFit="1" customWidth="1"/>
    <col min="10" max="10" width="7.90625" style="43" bestFit="1" customWidth="1"/>
    <col min="11" max="11" width="7.7265625" style="43" bestFit="1" customWidth="1"/>
    <col min="12" max="12" width="8.08984375" style="43" bestFit="1" customWidth="1"/>
    <col min="13" max="13" width="7.81640625" style="43" bestFit="1" customWidth="1"/>
    <col min="14" max="14" width="8.36328125" style="43" bestFit="1" customWidth="1"/>
    <col min="15" max="15" width="8.6328125" style="43" bestFit="1" customWidth="1"/>
    <col min="16" max="16384" width="8.7265625" style="43"/>
  </cols>
  <sheetData>
    <row r="5" spans="3:15" ht="10.5" thickBot="1" x14ac:dyDescent="0.25"/>
    <row r="6" spans="3:15" ht="53" thickBot="1" x14ac:dyDescent="0.25">
      <c r="C6" s="59" t="s">
        <v>8</v>
      </c>
      <c r="D6" s="66" t="s">
        <v>58</v>
      </c>
      <c r="E6" s="66" t="s">
        <v>59</v>
      </c>
      <c r="F6" s="66" t="s">
        <v>60</v>
      </c>
      <c r="G6" s="66" t="s">
        <v>61</v>
      </c>
      <c r="H6" s="66" t="s">
        <v>62</v>
      </c>
      <c r="I6" s="66" t="s">
        <v>63</v>
      </c>
      <c r="J6" s="66" t="s">
        <v>64</v>
      </c>
      <c r="K6" s="66" t="s">
        <v>65</v>
      </c>
      <c r="L6" s="66" t="s">
        <v>66</v>
      </c>
      <c r="M6" s="66" t="s">
        <v>67</v>
      </c>
      <c r="N6" s="66" t="s">
        <v>68</v>
      </c>
      <c r="O6" s="67" t="s">
        <v>69</v>
      </c>
    </row>
    <row r="7" spans="3:15" ht="52.5" x14ac:dyDescent="0.2">
      <c r="C7" s="65" t="s">
        <v>25</v>
      </c>
      <c r="D7" s="70">
        <v>0.121</v>
      </c>
      <c r="E7" s="71">
        <v>4.2000000000000003E-2</v>
      </c>
      <c r="F7" s="71">
        <v>3.4000000000000002E-2</v>
      </c>
      <c r="G7" s="72">
        <v>2.58E-2</v>
      </c>
      <c r="H7" s="72">
        <v>0.115</v>
      </c>
      <c r="I7" s="72">
        <v>1.06E-2</v>
      </c>
      <c r="J7" s="72">
        <v>-2E-3</v>
      </c>
      <c r="K7" s="72">
        <v>9.7600000000000006E-2</v>
      </c>
      <c r="L7" s="72">
        <v>0.28610000000000002</v>
      </c>
      <c r="M7" s="73">
        <v>0.9</v>
      </c>
      <c r="N7" s="72">
        <v>0.113</v>
      </c>
      <c r="O7" s="74">
        <v>0.79</v>
      </c>
    </row>
    <row r="8" spans="3:15" ht="31.5" x14ac:dyDescent="0.2">
      <c r="C8" s="65" t="s">
        <v>27</v>
      </c>
      <c r="D8" s="69">
        <v>0.312</v>
      </c>
      <c r="E8" s="56">
        <v>0.107</v>
      </c>
      <c r="F8" s="56">
        <v>8.7999999999999995E-2</v>
      </c>
      <c r="G8" s="57">
        <v>6.3799999999999996E-2</v>
      </c>
      <c r="H8" s="57">
        <v>0.10589999999999999</v>
      </c>
      <c r="I8" s="57">
        <v>4.9299999999999997E-2</v>
      </c>
      <c r="J8" s="57">
        <v>3.32E-2</v>
      </c>
      <c r="K8" s="57">
        <v>7.0000000000000001E-3</v>
      </c>
      <c r="L8" s="57">
        <v>0.76119999999999999</v>
      </c>
      <c r="M8" s="58">
        <v>3</v>
      </c>
      <c r="N8" s="57">
        <v>8.2299999999999998E-2</v>
      </c>
      <c r="O8" s="62">
        <v>0.32</v>
      </c>
    </row>
    <row r="9" spans="3:15" ht="21" x14ac:dyDescent="0.2">
      <c r="C9" s="65" t="s">
        <v>28</v>
      </c>
      <c r="D9" s="69">
        <v>0.24099999999999999</v>
      </c>
      <c r="E9" s="56">
        <v>5.8000000000000003E-2</v>
      </c>
      <c r="F9" s="56">
        <v>0.04</v>
      </c>
      <c r="G9" s="57">
        <v>1.9099999999999999E-2</v>
      </c>
      <c r="H9" s="57">
        <v>6.7299999999999999E-2</v>
      </c>
      <c r="I9" s="57">
        <v>-9.2799999999999994E-2</v>
      </c>
      <c r="J9" s="57">
        <v>-0.1376</v>
      </c>
      <c r="K9" s="57">
        <v>-0.14580000000000001</v>
      </c>
      <c r="L9" s="57">
        <v>0.4209</v>
      </c>
      <c r="M9" s="58">
        <v>1.6</v>
      </c>
      <c r="N9" s="57">
        <v>7.3899999999999993E-2</v>
      </c>
      <c r="O9" s="62">
        <v>0.49</v>
      </c>
    </row>
    <row r="10" spans="3:15" ht="31.5" x14ac:dyDescent="0.2">
      <c r="C10" s="65" t="s">
        <v>29</v>
      </c>
      <c r="D10" s="69">
        <v>0.315</v>
      </c>
      <c r="E10" s="56">
        <v>0.107</v>
      </c>
      <c r="F10" s="56">
        <v>0.08</v>
      </c>
      <c r="G10" s="57">
        <v>5.7000000000000002E-2</v>
      </c>
      <c r="H10" s="57">
        <v>7.6399999999999996E-2</v>
      </c>
      <c r="I10" s="57">
        <v>0.20230000000000001</v>
      </c>
      <c r="J10" s="57">
        <v>0.25359999999999999</v>
      </c>
      <c r="K10" s="57">
        <v>0.2165</v>
      </c>
      <c r="L10" s="57">
        <v>0.53639999999999999</v>
      </c>
      <c r="M10" s="58">
        <v>2</v>
      </c>
      <c r="N10" s="57">
        <v>9.2299999999999993E-2</v>
      </c>
      <c r="O10" s="62">
        <v>0.66</v>
      </c>
    </row>
    <row r="11" spans="3:15" ht="31.5" x14ac:dyDescent="0.2">
      <c r="C11" s="65" t="s">
        <v>30</v>
      </c>
      <c r="D11" s="69">
        <v>0.17799999999999999</v>
      </c>
      <c r="E11" s="56">
        <v>4.9000000000000002E-2</v>
      </c>
      <c r="F11" s="56">
        <v>3.9E-2</v>
      </c>
      <c r="G11" s="57">
        <v>2.6599999999999999E-2</v>
      </c>
      <c r="H11" s="57">
        <v>0.15890000000000001</v>
      </c>
      <c r="I11" s="57">
        <v>0.16170000000000001</v>
      </c>
      <c r="J11" s="57">
        <v>0.1754</v>
      </c>
      <c r="K11" s="57">
        <v>0.20280000000000001</v>
      </c>
      <c r="L11" s="57">
        <v>0.74860000000000004</v>
      </c>
      <c r="M11" s="58">
        <v>2.4</v>
      </c>
      <c r="N11" s="57">
        <v>7.5200000000000003E-2</v>
      </c>
      <c r="O11" s="62">
        <v>0.48</v>
      </c>
    </row>
    <row r="12" spans="3:15" ht="21" x14ac:dyDescent="0.2">
      <c r="C12" s="65" t="s">
        <v>31</v>
      </c>
      <c r="D12" s="69">
        <v>0.28000000000000003</v>
      </c>
      <c r="E12" s="56">
        <v>5.8000000000000003E-2</v>
      </c>
      <c r="F12" s="56">
        <v>5.0000000000000001E-3</v>
      </c>
      <c r="G12" s="57">
        <v>3.5099999999999999E-2</v>
      </c>
      <c r="H12" s="57">
        <v>0.17649999999999999</v>
      </c>
      <c r="I12" s="57">
        <v>0.16889999999999999</v>
      </c>
      <c r="J12" s="57">
        <v>-0.56730000000000003</v>
      </c>
      <c r="K12" s="57">
        <v>-0.34470000000000001</v>
      </c>
      <c r="L12" s="57">
        <v>0.44900000000000001</v>
      </c>
      <c r="M12" s="58">
        <v>6.5</v>
      </c>
      <c r="N12" s="57">
        <v>-0.37609999999999999</v>
      </c>
      <c r="O12" s="62">
        <v>0.5</v>
      </c>
    </row>
    <row r="13" spans="3:15" ht="32" thickBot="1" x14ac:dyDescent="0.25">
      <c r="C13" s="65" t="s">
        <v>32</v>
      </c>
      <c r="D13" s="75">
        <v>0.246</v>
      </c>
      <c r="E13" s="76">
        <v>6.0999999999999999E-2</v>
      </c>
      <c r="F13" s="76">
        <v>3.5999999999999997E-2</v>
      </c>
      <c r="G13" s="77">
        <v>2.5499999999999998E-2</v>
      </c>
      <c r="H13" s="77">
        <v>2.9399999999999999E-2</v>
      </c>
      <c r="I13" s="77">
        <v>-0.43099999999999999</v>
      </c>
      <c r="J13" s="77">
        <v>-0.56299999999999994</v>
      </c>
      <c r="K13" s="77">
        <v>-0.5998</v>
      </c>
      <c r="L13" s="77">
        <v>0.63039999999999996</v>
      </c>
      <c r="M13" s="78">
        <v>2.7</v>
      </c>
      <c r="N13" s="77">
        <v>-4.9299999999999997E-2</v>
      </c>
      <c r="O13" s="79">
        <v>1.02</v>
      </c>
    </row>
    <row r="14" spans="3:15" x14ac:dyDescent="0.2">
      <c r="C14" s="50"/>
      <c r="D14" s="55"/>
      <c r="E14" s="55"/>
      <c r="F14" s="55"/>
      <c r="G14" s="55"/>
      <c r="H14" s="55"/>
      <c r="I14" s="55"/>
      <c r="J14" s="55"/>
      <c r="K14" s="55"/>
      <c r="L14" s="55"/>
      <c r="M14" s="55"/>
      <c r="N14" s="55"/>
      <c r="O14" s="68"/>
    </row>
    <row r="15" spans="3:15" x14ac:dyDescent="0.2">
      <c r="C15" s="50"/>
      <c r="D15" s="49"/>
      <c r="E15" s="49"/>
      <c r="F15" s="49"/>
      <c r="G15" s="49"/>
      <c r="H15" s="49"/>
      <c r="I15" s="49"/>
      <c r="J15" s="49"/>
      <c r="K15" s="49"/>
      <c r="L15" s="49"/>
      <c r="M15" s="49"/>
      <c r="N15" s="49"/>
      <c r="O15" s="63"/>
    </row>
    <row r="16" spans="3:15" x14ac:dyDescent="0.2">
      <c r="C16" s="50"/>
      <c r="D16" s="49"/>
      <c r="E16" s="49"/>
      <c r="F16" s="49"/>
      <c r="G16" s="49"/>
      <c r="H16" s="49"/>
      <c r="I16" s="49"/>
      <c r="J16" s="49"/>
      <c r="K16" s="49"/>
      <c r="L16" s="49"/>
      <c r="M16" s="49"/>
      <c r="N16" s="49"/>
      <c r="O16" s="63"/>
    </row>
    <row r="17" spans="3:15" ht="10.5" thickBot="1" x14ac:dyDescent="0.25">
      <c r="C17" s="60"/>
      <c r="D17" s="61"/>
      <c r="E17" s="61"/>
      <c r="F17" s="61"/>
      <c r="G17" s="61"/>
      <c r="H17" s="61"/>
      <c r="I17" s="61"/>
      <c r="J17" s="61"/>
      <c r="K17" s="61"/>
      <c r="L17" s="61"/>
      <c r="M17" s="61"/>
      <c r="N17" s="61"/>
      <c r="O17" s="64"/>
    </row>
    <row r="27" spans="3:15" ht="10.5" thickBot="1" x14ac:dyDescent="0.25"/>
    <row r="28" spans="3:15" ht="10.5" thickBot="1" x14ac:dyDescent="0.25">
      <c r="C28" s="53" t="s">
        <v>169</v>
      </c>
      <c r="D28" s="51">
        <f>AVERAGE(D29:O29)</f>
        <v>0.2722222222222222</v>
      </c>
    </row>
    <row r="29" spans="3:15" ht="10.5" thickBot="1" x14ac:dyDescent="0.25">
      <c r="C29" s="54" t="s">
        <v>170</v>
      </c>
      <c r="D29" s="52">
        <f>IFERROR(INDEX(C31:C51,MATCH(D13,D31:D51)),"NA")</f>
        <v>0.4</v>
      </c>
      <c r="E29" s="47">
        <f>IFERROR(INDEX(C31:C51,MATCH(E13,E31:E51)),"NA")</f>
        <v>0.6</v>
      </c>
      <c r="F29" s="47">
        <f>IFERROR(INDEX(C31:C51,MATCH(F13,F31:F51)),"NA")</f>
        <v>0.25</v>
      </c>
      <c r="G29" s="47">
        <f>IFERROR(INDEX(C31:C51,MATCH(G13,G31:G51)),"NA")</f>
        <v>0.15</v>
      </c>
      <c r="H29" s="47" t="str">
        <f>IFERROR(INDEX(C31:C51,MATCH(H13,H31:H51)),"NA")</f>
        <v>NA</v>
      </c>
      <c r="I29" s="47" t="str">
        <f>IFERROR(INDEX(C31:C51,MATCH(I13,I31:I51)),"NA")</f>
        <v>NA</v>
      </c>
      <c r="J29" s="47">
        <f>IFERROR(INDEX(C31:C51,MATCH(J13,J31:J51)),"NA")</f>
        <v>0</v>
      </c>
      <c r="K29" s="47" t="str">
        <f>IFERROR(INDEX(C31:C51,MATCH(K13,K31:K51)),"NA")</f>
        <v>NA</v>
      </c>
      <c r="L29" s="47">
        <f>IFERROR(INDEX(C31:C51,MATCH(L13,L31:L51)),"NA")</f>
        <v>0.65</v>
      </c>
      <c r="M29" s="47">
        <f>IFERROR((1-INDEX(C31:C51,MATCH(M13,M31:M51))),"NA")</f>
        <v>0.30000000000000004</v>
      </c>
      <c r="N29" s="47">
        <f>IFERROR(INDEX(C31:C51,MATCH(N13,N31:N51)),"NA")</f>
        <v>0.1</v>
      </c>
      <c r="O29" s="48">
        <f>IFERROR((1-INDEX(C31:C51,MATCH(O13,O31:O51))),"NA")</f>
        <v>0</v>
      </c>
    </row>
    <row r="30" spans="3:15" ht="10.5" thickBot="1" x14ac:dyDescent="0.25">
      <c r="C30" s="43" t="s">
        <v>171</v>
      </c>
    </row>
    <row r="31" spans="3:15" x14ac:dyDescent="0.2">
      <c r="C31" s="45">
        <v>0</v>
      </c>
      <c r="D31" s="80">
        <f>PERCENTILE(D7:D12,C31)</f>
        <v>0.121</v>
      </c>
      <c r="E31" s="80">
        <f>PERCENTILE(E7:E12,C31)</f>
        <v>4.2000000000000003E-2</v>
      </c>
      <c r="F31" s="80">
        <f>PERCENTILE(F7:F12,C31)</f>
        <v>5.0000000000000001E-3</v>
      </c>
      <c r="G31" s="80">
        <f>PERCENTILE(G7:G12,C31)</f>
        <v>1.9099999999999999E-2</v>
      </c>
      <c r="H31" s="80">
        <f>PERCENTILE(H7:H12,C31)</f>
        <v>6.7299999999999999E-2</v>
      </c>
      <c r="I31" s="80">
        <f>PERCENTILE(I7:I12,C31)</f>
        <v>-9.2799999999999994E-2</v>
      </c>
      <c r="J31" s="80">
        <f>PERCENTILE(J7:J12,C31)</f>
        <v>-0.56730000000000003</v>
      </c>
      <c r="K31" s="80">
        <f>PERCENTILE(K7:K12,C31)</f>
        <v>-0.34470000000000001</v>
      </c>
      <c r="L31" s="80">
        <f>PERCENTILE(L7:L12,C31)</f>
        <v>0.28610000000000002</v>
      </c>
      <c r="M31" s="83">
        <f>PERCENTILE(M7:M12,C31)</f>
        <v>0.9</v>
      </c>
      <c r="N31" s="80">
        <f>PERCENTILE(N7:N12,C31)</f>
        <v>-0.37609999999999999</v>
      </c>
      <c r="O31" s="86">
        <f>PERCENTILE(O7:O12,C31)</f>
        <v>0.32</v>
      </c>
    </row>
    <row r="32" spans="3:15" x14ac:dyDescent="0.2">
      <c r="C32" s="44">
        <v>0.05</v>
      </c>
      <c r="D32" s="81">
        <f>PERCENTILE(D7:D12,C32)</f>
        <v>0.13524999999999998</v>
      </c>
      <c r="E32" s="81">
        <f>PERCENTILE(E7:E12,C32)</f>
        <v>4.3750000000000004E-2</v>
      </c>
      <c r="F32" s="81">
        <f>PERCENTILE(F7:F12,C32)</f>
        <v>1.225E-2</v>
      </c>
      <c r="G32" s="81">
        <f>PERCENTILE(G7:G12,C32)</f>
        <v>2.0774999999999998E-2</v>
      </c>
      <c r="H32" s="81">
        <f>PERCENTILE(H7:H12,C32)</f>
        <v>6.9574999999999998E-2</v>
      </c>
      <c r="I32" s="81">
        <f>PERCENTILE(I7:I12,C32)</f>
        <v>-6.6949999999999996E-2</v>
      </c>
      <c r="J32" s="81">
        <f>PERCENTILE(J7:J12,C32)</f>
        <v>-0.45987500000000003</v>
      </c>
      <c r="K32" s="81">
        <f>PERCENTILE(K7:K12,C32)</f>
        <v>-0.29497499999999999</v>
      </c>
      <c r="L32" s="81">
        <f>PERCENTILE(L7:L12,C32)</f>
        <v>0.31980000000000003</v>
      </c>
      <c r="M32" s="84">
        <f>PERCENTILE(M7:M12,C32)</f>
        <v>1.075</v>
      </c>
      <c r="N32" s="81">
        <f>PERCENTILE(N7:N12,C32)</f>
        <v>-0.2636</v>
      </c>
      <c r="O32" s="87">
        <f>PERCENTILE(O7:O12,C32)</f>
        <v>0.36</v>
      </c>
    </row>
    <row r="33" spans="3:15" x14ac:dyDescent="0.2">
      <c r="C33" s="44">
        <v>0.1</v>
      </c>
      <c r="D33" s="81">
        <f>PERCENTILE(D7:D12,C33)</f>
        <v>0.14949999999999999</v>
      </c>
      <c r="E33" s="81">
        <f>PERCENTILE(E7:E12,C33)</f>
        <v>4.5499999999999999E-2</v>
      </c>
      <c r="F33" s="81">
        <f>PERCENTILE(F7:F12,C33)</f>
        <v>1.95E-2</v>
      </c>
      <c r="G33" s="81">
        <f>PERCENTILE(G7:G12,C33)</f>
        <v>2.2449999999999998E-2</v>
      </c>
      <c r="H33" s="81">
        <f>PERCENTILE(H7:H12,C33)</f>
        <v>7.1849999999999997E-2</v>
      </c>
      <c r="I33" s="81">
        <f>PERCENTILE(I7:I12,C33)</f>
        <v>-4.1099999999999998E-2</v>
      </c>
      <c r="J33" s="81">
        <f>PERCENTILE(J7:J12,C33)</f>
        <v>-0.35245000000000004</v>
      </c>
      <c r="K33" s="81">
        <f>PERCENTILE(K7:K12,C33)</f>
        <v>-0.24525000000000002</v>
      </c>
      <c r="L33" s="81">
        <f>PERCENTILE(L7:L12,C33)</f>
        <v>0.35350000000000004</v>
      </c>
      <c r="M33" s="84">
        <f>PERCENTILE(M7:M12,C33)</f>
        <v>1.25</v>
      </c>
      <c r="N33" s="81">
        <f>PERCENTILE(N7:N12,C33)</f>
        <v>-0.15110000000000001</v>
      </c>
      <c r="O33" s="87">
        <f>PERCENTILE(O7:O12,C33)</f>
        <v>0.4</v>
      </c>
    </row>
    <row r="34" spans="3:15" x14ac:dyDescent="0.2">
      <c r="C34" s="44">
        <v>0.15</v>
      </c>
      <c r="D34" s="81">
        <f>PERCENTILE(D7:D12,C34)</f>
        <v>0.16375000000000001</v>
      </c>
      <c r="E34" s="81">
        <f>PERCENTILE(E7:E12,C34)</f>
        <v>4.725E-2</v>
      </c>
      <c r="F34" s="81">
        <f>PERCENTILE(F7:F12,C34)</f>
        <v>2.6750000000000003E-2</v>
      </c>
      <c r="G34" s="81">
        <f>PERCENTILE(G7:G12,C34)</f>
        <v>2.4125000000000001E-2</v>
      </c>
      <c r="H34" s="81">
        <f>PERCENTILE(H7:H12,C34)</f>
        <v>7.4124999999999996E-2</v>
      </c>
      <c r="I34" s="81">
        <f>PERCENTILE(I7:I12,C34)</f>
        <v>-1.525E-2</v>
      </c>
      <c r="J34" s="81">
        <f>PERCENTILE(J7:J12,C34)</f>
        <v>-0.24502499999999999</v>
      </c>
      <c r="K34" s="81">
        <f>PERCENTILE(K7:K12,C34)</f>
        <v>-0.195525</v>
      </c>
      <c r="L34" s="81">
        <f>PERCENTILE(L7:L12,C34)</f>
        <v>0.38719999999999999</v>
      </c>
      <c r="M34" s="84">
        <f>PERCENTILE(M7:M12,C34)</f>
        <v>1.425</v>
      </c>
      <c r="N34" s="81">
        <f>PERCENTILE(N7:N12,C34)</f>
        <v>-3.8600000000000023E-2</v>
      </c>
      <c r="O34" s="87">
        <f>PERCENTILE(O7:O12,C34)</f>
        <v>0.44</v>
      </c>
    </row>
    <row r="35" spans="3:15" x14ac:dyDescent="0.2">
      <c r="C35" s="44">
        <v>0.2</v>
      </c>
      <c r="D35" s="81">
        <f>PERCENTILE(D7:D12,C35)</f>
        <v>0.17799999999999999</v>
      </c>
      <c r="E35" s="81">
        <f>PERCENTILE(E7:E12,C35)</f>
        <v>4.9000000000000002E-2</v>
      </c>
      <c r="F35" s="81">
        <f>PERCENTILE(F7:F12,C35)</f>
        <v>3.4000000000000002E-2</v>
      </c>
      <c r="G35" s="81">
        <f>PERCENTILE(G7:G12,C35)</f>
        <v>2.58E-2</v>
      </c>
      <c r="H35" s="81">
        <f>PERCENTILE(H7:H12,C35)</f>
        <v>7.6399999999999996E-2</v>
      </c>
      <c r="I35" s="81">
        <f>PERCENTILE(I7:I12,C35)</f>
        <v>1.06E-2</v>
      </c>
      <c r="J35" s="81">
        <f>PERCENTILE(J7:J12,C35)</f>
        <v>-0.1376</v>
      </c>
      <c r="K35" s="81">
        <f>PERCENTILE(K7:K12,C35)</f>
        <v>-0.14580000000000001</v>
      </c>
      <c r="L35" s="81">
        <f>PERCENTILE(L7:L12,C35)</f>
        <v>0.4209</v>
      </c>
      <c r="M35" s="84">
        <f>PERCENTILE(M7:M12,C35)</f>
        <v>1.6</v>
      </c>
      <c r="N35" s="81">
        <f>PERCENTILE(N7:N12,C35)</f>
        <v>7.3899999999999993E-2</v>
      </c>
      <c r="O35" s="87">
        <f>PERCENTILE(O7:O12,C35)</f>
        <v>0.48</v>
      </c>
    </row>
    <row r="36" spans="3:15" x14ac:dyDescent="0.2">
      <c r="C36" s="44">
        <v>0.25</v>
      </c>
      <c r="D36" s="81">
        <f>PERCENTILE(D7:D12,C36)</f>
        <v>0.19374999999999998</v>
      </c>
      <c r="E36" s="81">
        <f>PERCENTILE(E7:E12,C36)</f>
        <v>5.1250000000000004E-2</v>
      </c>
      <c r="F36" s="81">
        <f>PERCENTILE(F7:F12,C36)</f>
        <v>3.5250000000000004E-2</v>
      </c>
      <c r="G36" s="81">
        <f>PERCENTILE(G7:G12,C36)</f>
        <v>2.5999999999999999E-2</v>
      </c>
      <c r="H36" s="81">
        <f>PERCENTILE(H7:H12,C36)</f>
        <v>8.3774999999999988E-2</v>
      </c>
      <c r="I36" s="81">
        <f>PERCENTILE(I7:I12,C36)</f>
        <v>2.0275000000000001E-2</v>
      </c>
      <c r="J36" s="81">
        <f>PERCENTILE(J7:J12,C36)</f>
        <v>-0.1037</v>
      </c>
      <c r="K36" s="81">
        <f>PERCENTILE(K7:K12,C36)</f>
        <v>-0.1076</v>
      </c>
      <c r="L36" s="81">
        <f>PERCENTILE(L7:L12,C36)</f>
        <v>0.427925</v>
      </c>
      <c r="M36" s="84">
        <f>PERCENTILE(M7:M12,C36)</f>
        <v>1.7000000000000002</v>
      </c>
      <c r="N36" s="81">
        <f>PERCENTILE(N7:N12,C36)</f>
        <v>7.4224999999999999E-2</v>
      </c>
      <c r="O36" s="87">
        <f>PERCENTILE(O7:O12,C36)</f>
        <v>0.48249999999999998</v>
      </c>
    </row>
    <row r="37" spans="3:15" x14ac:dyDescent="0.2">
      <c r="C37" s="44">
        <v>0.3</v>
      </c>
      <c r="D37" s="81">
        <f>PERCENTILE(D7:D12,C37)</f>
        <v>0.20949999999999999</v>
      </c>
      <c r="E37" s="81">
        <f>PERCENTILE(E7:E12,C37)</f>
        <v>5.3500000000000006E-2</v>
      </c>
      <c r="F37" s="81">
        <f>PERCENTILE(F7:F12,C37)</f>
        <v>3.6500000000000005E-2</v>
      </c>
      <c r="G37" s="81">
        <f>PERCENTILE(G7:G12,C37)</f>
        <v>2.6200000000000001E-2</v>
      </c>
      <c r="H37" s="81">
        <f>PERCENTILE(H7:H12,C37)</f>
        <v>9.1149999999999995E-2</v>
      </c>
      <c r="I37" s="81">
        <f>PERCENTILE(I7:I12,C37)</f>
        <v>2.9949999999999997E-2</v>
      </c>
      <c r="J37" s="81">
        <f>PERCENTILE(J7:J12,C37)</f>
        <v>-6.9800000000000001E-2</v>
      </c>
      <c r="K37" s="81">
        <f>PERCENTILE(K7:K12,C37)</f>
        <v>-6.9400000000000003E-2</v>
      </c>
      <c r="L37" s="81">
        <f>PERCENTILE(L7:L12,C37)</f>
        <v>0.43495</v>
      </c>
      <c r="M37" s="84">
        <f>PERCENTILE(M7:M12,C37)</f>
        <v>1.8</v>
      </c>
      <c r="N37" s="81">
        <f>PERCENTILE(N7:N12,C37)</f>
        <v>7.4550000000000005E-2</v>
      </c>
      <c r="O37" s="87">
        <f>PERCENTILE(O7:O12,C37)</f>
        <v>0.48499999999999999</v>
      </c>
    </row>
    <row r="38" spans="3:15" x14ac:dyDescent="0.2">
      <c r="C38" s="44">
        <v>0.35</v>
      </c>
      <c r="D38" s="81">
        <f>PERCENTILE(D7:D12,C38)</f>
        <v>0.22525000000000001</v>
      </c>
      <c r="E38" s="81">
        <f>PERCENTILE(E7:E12,C38)</f>
        <v>5.5750000000000001E-2</v>
      </c>
      <c r="F38" s="81">
        <f>PERCENTILE(F7:F12,C38)</f>
        <v>3.7749999999999999E-2</v>
      </c>
      <c r="G38" s="81">
        <f>PERCENTILE(G7:G12,C38)</f>
        <v>2.64E-2</v>
      </c>
      <c r="H38" s="81">
        <f>PERCENTILE(H7:H12,C38)</f>
        <v>9.8525000000000001E-2</v>
      </c>
      <c r="I38" s="81">
        <f>PERCENTILE(I7:I12,C38)</f>
        <v>3.9625E-2</v>
      </c>
      <c r="J38" s="81">
        <f>PERCENTILE(J7:J12,C38)</f>
        <v>-3.5900000000000001E-2</v>
      </c>
      <c r="K38" s="81">
        <f>PERCENTILE(K7:K12,C38)</f>
        <v>-3.1200000000000006E-2</v>
      </c>
      <c r="L38" s="81">
        <f>PERCENTILE(L7:L12,C38)</f>
        <v>0.44197500000000001</v>
      </c>
      <c r="M38" s="84">
        <f>PERCENTILE(M7:M12,C38)</f>
        <v>1.9</v>
      </c>
      <c r="N38" s="81">
        <f>PERCENTILE(N7:N12,C38)</f>
        <v>7.4874999999999997E-2</v>
      </c>
      <c r="O38" s="87">
        <f>PERCENTILE(O7:O12,C38)</f>
        <v>0.48749999999999999</v>
      </c>
    </row>
    <row r="39" spans="3:15" x14ac:dyDescent="0.2">
      <c r="C39" s="44">
        <v>0.4</v>
      </c>
      <c r="D39" s="81">
        <f>PERCENTILE(D7:D12,C39)</f>
        <v>0.24099999999999999</v>
      </c>
      <c r="E39" s="81">
        <f>PERCENTILE(E7:E12,C39)</f>
        <v>5.8000000000000003E-2</v>
      </c>
      <c r="F39" s="81">
        <f>PERCENTILE(F7:F12,C39)</f>
        <v>3.9E-2</v>
      </c>
      <c r="G39" s="81">
        <f>PERCENTILE(G7:G12,C39)</f>
        <v>2.6599999999999999E-2</v>
      </c>
      <c r="H39" s="81">
        <f>PERCENTILE(H7:H12,C39)</f>
        <v>0.10589999999999999</v>
      </c>
      <c r="I39" s="81">
        <f>PERCENTILE(I7:I12,C39)</f>
        <v>4.9299999999999997E-2</v>
      </c>
      <c r="J39" s="81">
        <f>PERCENTILE(J7:J12,C39)</f>
        <v>-2E-3</v>
      </c>
      <c r="K39" s="81">
        <f>PERCENTILE(K7:K12,C39)</f>
        <v>7.0000000000000001E-3</v>
      </c>
      <c r="L39" s="81">
        <f>PERCENTILE(L7:L12,C39)</f>
        <v>0.44900000000000001</v>
      </c>
      <c r="M39" s="84">
        <f>PERCENTILE(M7:M12,C39)</f>
        <v>2</v>
      </c>
      <c r="N39" s="81">
        <f>PERCENTILE(N7:N12,C39)</f>
        <v>7.5200000000000003E-2</v>
      </c>
      <c r="O39" s="87">
        <f>PERCENTILE(O7:O12,C39)</f>
        <v>0.49</v>
      </c>
    </row>
    <row r="40" spans="3:15" x14ac:dyDescent="0.2">
      <c r="C40" s="44">
        <v>0.45</v>
      </c>
      <c r="D40" s="81">
        <f>PERCENTILE(D7:D12,C40)</f>
        <v>0.25075000000000003</v>
      </c>
      <c r="E40" s="81">
        <f>PERCENTILE(E7:E12,C40)</f>
        <v>5.8000000000000003E-2</v>
      </c>
      <c r="F40" s="81">
        <f>PERCENTILE(F7:F12,C40)</f>
        <v>3.925E-2</v>
      </c>
      <c r="G40" s="81">
        <f>PERCENTILE(G7:G12,C40)</f>
        <v>2.8725000000000001E-2</v>
      </c>
      <c r="H40" s="81">
        <f>PERCENTILE(H7:H12,C40)</f>
        <v>0.10817499999999999</v>
      </c>
      <c r="I40" s="81">
        <f>PERCENTILE(I7:I12,C40)</f>
        <v>7.7399999999999997E-2</v>
      </c>
      <c r="J40" s="81">
        <f>PERCENTILE(J7:J12,C40)</f>
        <v>6.8000000000000005E-3</v>
      </c>
      <c r="K40" s="81">
        <f>PERCENTILE(K7:K12,C40)</f>
        <v>2.9649999999999999E-2</v>
      </c>
      <c r="L40" s="81">
        <f>PERCENTILE(L7:L12,C40)</f>
        <v>0.47084999999999999</v>
      </c>
      <c r="M40" s="84">
        <f>PERCENTILE(M7:M12,C40)</f>
        <v>2.1</v>
      </c>
      <c r="N40" s="81">
        <f>PERCENTILE(N7:N12,C40)</f>
        <v>7.6975000000000002E-2</v>
      </c>
      <c r="O40" s="87">
        <f>PERCENTILE(O7:O12,C40)</f>
        <v>0.49249999999999999</v>
      </c>
    </row>
    <row r="41" spans="3:15" x14ac:dyDescent="0.2">
      <c r="C41" s="44">
        <v>0.5</v>
      </c>
      <c r="D41" s="81">
        <f>PERCENTILE(D7:D12,C41)</f>
        <v>0.26050000000000001</v>
      </c>
      <c r="E41" s="81">
        <f>PERCENTILE(E7:E12,C41)</f>
        <v>5.8000000000000003E-2</v>
      </c>
      <c r="F41" s="81">
        <f>PERCENTILE(F7:F12,C41)</f>
        <v>3.95E-2</v>
      </c>
      <c r="G41" s="81">
        <f>PERCENTILE(G7:G12,C41)</f>
        <v>3.0849999999999999E-2</v>
      </c>
      <c r="H41" s="81">
        <f>PERCENTILE(H7:H12,C41)</f>
        <v>0.11044999999999999</v>
      </c>
      <c r="I41" s="81">
        <f>PERCENTILE(I7:I12,C41)</f>
        <v>0.10550000000000001</v>
      </c>
      <c r="J41" s="81">
        <f>PERCENTILE(J7:J12,C41)</f>
        <v>1.5600000000000001E-2</v>
      </c>
      <c r="K41" s="81">
        <f>PERCENTILE(K7:K12,C41)</f>
        <v>5.2299999999999999E-2</v>
      </c>
      <c r="L41" s="81">
        <f>PERCENTILE(L7:L12,C41)</f>
        <v>0.49270000000000003</v>
      </c>
      <c r="M41" s="84">
        <f>PERCENTILE(M7:M12,C41)</f>
        <v>2.2000000000000002</v>
      </c>
      <c r="N41" s="81">
        <f>PERCENTILE(N7:N12,C41)</f>
        <v>7.8750000000000001E-2</v>
      </c>
      <c r="O41" s="87">
        <f>PERCENTILE(O7:O12,C41)</f>
        <v>0.495</v>
      </c>
    </row>
    <row r="42" spans="3:15" x14ac:dyDescent="0.2">
      <c r="C42" s="44">
        <v>0.55000000000000004</v>
      </c>
      <c r="D42" s="81">
        <f>PERCENTILE(D7:D12,C42)</f>
        <v>0.27024999999999999</v>
      </c>
      <c r="E42" s="81">
        <f>PERCENTILE(E7:E12,C42)</f>
        <v>5.8000000000000003E-2</v>
      </c>
      <c r="F42" s="81">
        <f>PERCENTILE(F7:F12,C42)</f>
        <v>3.9750000000000001E-2</v>
      </c>
      <c r="G42" s="81">
        <f>PERCENTILE(G7:G12,C42)</f>
        <v>3.2974999999999997E-2</v>
      </c>
      <c r="H42" s="81">
        <f>PERCENTILE(H7:H12,C42)</f>
        <v>0.11272500000000001</v>
      </c>
      <c r="I42" s="81">
        <f>PERCENTILE(I7:I12,C42)</f>
        <v>0.1336</v>
      </c>
      <c r="J42" s="81">
        <f>PERCENTILE(J7:J12,C42)</f>
        <v>2.4399999999999998E-2</v>
      </c>
      <c r="K42" s="81">
        <f>PERCENTILE(K7:K12,C42)</f>
        <v>7.4950000000000003E-2</v>
      </c>
      <c r="L42" s="81">
        <f>PERCENTILE(L7:L12,C42)</f>
        <v>0.51454999999999995</v>
      </c>
      <c r="M42" s="84">
        <f>PERCENTILE(M7:M12,C42)</f>
        <v>2.2999999999999998</v>
      </c>
      <c r="N42" s="81">
        <f>PERCENTILE(N7:N12,C42)</f>
        <v>8.0524999999999999E-2</v>
      </c>
      <c r="O42" s="87">
        <f>PERCENTILE(O7:O12,C42)</f>
        <v>0.4975</v>
      </c>
    </row>
    <row r="43" spans="3:15" x14ac:dyDescent="0.2">
      <c r="C43" s="44">
        <v>0.6</v>
      </c>
      <c r="D43" s="81">
        <f>PERCENTILE(D7:D12,C43)</f>
        <v>0.28000000000000003</v>
      </c>
      <c r="E43" s="81">
        <f>PERCENTILE(E7:E12,C43)</f>
        <v>5.8000000000000003E-2</v>
      </c>
      <c r="F43" s="81">
        <f>PERCENTILE(F7:F12,C43)</f>
        <v>0.04</v>
      </c>
      <c r="G43" s="81">
        <f>PERCENTILE(G7:G12,C43)</f>
        <v>3.5099999999999999E-2</v>
      </c>
      <c r="H43" s="81">
        <f>PERCENTILE(H7:H12,C43)</f>
        <v>0.115</v>
      </c>
      <c r="I43" s="81">
        <f>PERCENTILE(I7:I12,C43)</f>
        <v>0.16170000000000001</v>
      </c>
      <c r="J43" s="81">
        <f>PERCENTILE(J7:J12,C43)</f>
        <v>3.32E-2</v>
      </c>
      <c r="K43" s="81">
        <f>PERCENTILE(K7:K12,C43)</f>
        <v>9.7600000000000006E-2</v>
      </c>
      <c r="L43" s="81">
        <f>PERCENTILE(L7:L12,C43)</f>
        <v>0.53639999999999999</v>
      </c>
      <c r="M43" s="84">
        <f>PERCENTILE(M7:M12,C43)</f>
        <v>2.4</v>
      </c>
      <c r="N43" s="81">
        <f>PERCENTILE(N7:N12,C43)</f>
        <v>8.2299999999999998E-2</v>
      </c>
      <c r="O43" s="87">
        <f>PERCENTILE(O7:O12,C43)</f>
        <v>0.5</v>
      </c>
    </row>
    <row r="44" spans="3:15" x14ac:dyDescent="0.2">
      <c r="C44" s="44">
        <v>0.65</v>
      </c>
      <c r="D44" s="81">
        <f>PERCENTILE(D7:D12,C44)</f>
        <v>0.28800000000000003</v>
      </c>
      <c r="E44" s="81">
        <f>PERCENTILE(E7:E12,C44)</f>
        <v>7.0250000000000007E-2</v>
      </c>
      <c r="F44" s="81">
        <f>PERCENTILE(F7:F12,C44)</f>
        <v>0.05</v>
      </c>
      <c r="G44" s="81">
        <f>PERCENTILE(G7:G12,C44)</f>
        <v>4.0575E-2</v>
      </c>
      <c r="H44" s="81">
        <f>PERCENTILE(H7:H12,C44)</f>
        <v>0.125975</v>
      </c>
      <c r="I44" s="81">
        <f>PERCENTILE(I7:I12,C44)</f>
        <v>0.16350000000000001</v>
      </c>
      <c r="J44" s="81">
        <f>PERCENTILE(J7:J12,C44)</f>
        <v>6.8750000000000006E-2</v>
      </c>
      <c r="K44" s="81">
        <f>PERCENTILE(K7:K12,C44)</f>
        <v>0.12390000000000001</v>
      </c>
      <c r="L44" s="81">
        <f>PERCENTILE(L7:L12,C44)</f>
        <v>0.58945000000000003</v>
      </c>
      <c r="M44" s="84">
        <f>PERCENTILE(M7:M12,C44)</f>
        <v>2.5499999999999998</v>
      </c>
      <c r="N44" s="81">
        <f>PERCENTILE(N7:N12,C44)</f>
        <v>8.48E-2</v>
      </c>
      <c r="O44" s="87">
        <f>PERCENTILE(O7:O12,C44)</f>
        <v>0.54</v>
      </c>
    </row>
    <row r="45" spans="3:15" x14ac:dyDescent="0.2">
      <c r="C45" s="44">
        <v>0.7</v>
      </c>
      <c r="D45" s="81">
        <f>PERCENTILE(D7:D12,C45)</f>
        <v>0.29600000000000004</v>
      </c>
      <c r="E45" s="81">
        <f>PERCENTILE(E7:E12,C45)</f>
        <v>8.2500000000000004E-2</v>
      </c>
      <c r="F45" s="81">
        <f>PERCENTILE(F7:F12,C45)</f>
        <v>0.06</v>
      </c>
      <c r="G45" s="81">
        <f>PERCENTILE(G7:G12,C45)</f>
        <v>4.6050000000000001E-2</v>
      </c>
      <c r="H45" s="81">
        <f>PERCENTILE(H7:H12,C45)</f>
        <v>0.13695000000000002</v>
      </c>
      <c r="I45" s="81">
        <f>PERCENTILE(I7:I12,C45)</f>
        <v>0.1653</v>
      </c>
      <c r="J45" s="81">
        <f>PERCENTILE(J7:J12,C45)</f>
        <v>0.1043</v>
      </c>
      <c r="K45" s="81">
        <f>PERCENTILE(K7:K12,C45)</f>
        <v>0.1502</v>
      </c>
      <c r="L45" s="81">
        <f>PERCENTILE(L7:L12,C45)</f>
        <v>0.64250000000000007</v>
      </c>
      <c r="M45" s="84">
        <f>PERCENTILE(M7:M12,C45)</f>
        <v>2.7</v>
      </c>
      <c r="N45" s="81">
        <f>PERCENTILE(N7:N12,C45)</f>
        <v>8.7299999999999989E-2</v>
      </c>
      <c r="O45" s="87">
        <f>PERCENTILE(O7:O12,C45)</f>
        <v>0.58000000000000007</v>
      </c>
    </row>
    <row r="46" spans="3:15" x14ac:dyDescent="0.2">
      <c r="C46" s="44">
        <v>0.75</v>
      </c>
      <c r="D46" s="81">
        <f>PERCENTILE(D7:D12,C46)</f>
        <v>0.30399999999999999</v>
      </c>
      <c r="E46" s="81">
        <f>PERCENTILE(E7:E12,C46)</f>
        <v>9.4750000000000001E-2</v>
      </c>
      <c r="F46" s="81">
        <f>PERCENTILE(F7:F12,C46)</f>
        <v>7.0000000000000007E-2</v>
      </c>
      <c r="G46" s="81">
        <f>PERCENTILE(G7:G12,C46)</f>
        <v>5.1525000000000001E-2</v>
      </c>
      <c r="H46" s="81">
        <f>PERCENTILE(H7:H12,C46)</f>
        <v>0.14792500000000003</v>
      </c>
      <c r="I46" s="81">
        <f>PERCENTILE(I7:I12,C46)</f>
        <v>0.1671</v>
      </c>
      <c r="J46" s="81">
        <f>PERCENTILE(J7:J12,C46)</f>
        <v>0.13985</v>
      </c>
      <c r="K46" s="81">
        <f>PERCENTILE(K7:K12,C46)</f>
        <v>0.17649999999999999</v>
      </c>
      <c r="L46" s="81">
        <f>PERCENTILE(L7:L12,C46)</f>
        <v>0.69555</v>
      </c>
      <c r="M46" s="84">
        <f>PERCENTILE(M7:M12,C46)</f>
        <v>2.85</v>
      </c>
      <c r="N46" s="81">
        <f>PERCENTILE(N7:N12,C46)</f>
        <v>8.9799999999999991E-2</v>
      </c>
      <c r="O46" s="87">
        <f>PERCENTILE(O7:O12,C46)</f>
        <v>0.62</v>
      </c>
    </row>
    <row r="47" spans="3:15" x14ac:dyDescent="0.2">
      <c r="C47" s="44">
        <v>0.8</v>
      </c>
      <c r="D47" s="81">
        <f>PERCENTILE(D7:D12,C47)</f>
        <v>0.312</v>
      </c>
      <c r="E47" s="81">
        <f>PERCENTILE(E7:E12,C47)</f>
        <v>0.107</v>
      </c>
      <c r="F47" s="81">
        <f>PERCENTILE(F7:F12,C47)</f>
        <v>0.08</v>
      </c>
      <c r="G47" s="81">
        <f>PERCENTILE(G7:G12,C47)</f>
        <v>5.7000000000000002E-2</v>
      </c>
      <c r="H47" s="81">
        <f>PERCENTILE(H7:H12,C47)</f>
        <v>0.15890000000000001</v>
      </c>
      <c r="I47" s="81">
        <f>PERCENTILE(I7:I12,C47)</f>
        <v>0.16889999999999999</v>
      </c>
      <c r="J47" s="81">
        <f>PERCENTILE(J7:J12,C47)</f>
        <v>0.1754</v>
      </c>
      <c r="K47" s="81">
        <f>PERCENTILE(K7:K12,C47)</f>
        <v>0.20280000000000001</v>
      </c>
      <c r="L47" s="81">
        <f>PERCENTILE(L7:L12,C47)</f>
        <v>0.74860000000000004</v>
      </c>
      <c r="M47" s="84">
        <f>PERCENTILE(M7:M12,C47)</f>
        <v>3</v>
      </c>
      <c r="N47" s="81">
        <f>PERCENTILE(N7:N12,C47)</f>
        <v>9.2299999999999993E-2</v>
      </c>
      <c r="O47" s="87">
        <f>PERCENTILE(O7:O12,C47)</f>
        <v>0.66</v>
      </c>
    </row>
    <row r="48" spans="3:15" x14ac:dyDescent="0.2">
      <c r="C48" s="44">
        <v>0.85</v>
      </c>
      <c r="D48" s="81">
        <f>PERCENTILE(D7:D12,C48)</f>
        <v>0.31274999999999997</v>
      </c>
      <c r="E48" s="81">
        <f>PERCENTILE(E7:E12,C48)</f>
        <v>0.107</v>
      </c>
      <c r="F48" s="81">
        <f>PERCENTILE(F7:F12,C48)</f>
        <v>8.2000000000000003E-2</v>
      </c>
      <c r="G48" s="81">
        <f>PERCENTILE(G7:G12,C48)</f>
        <v>5.8700000000000002E-2</v>
      </c>
      <c r="H48" s="81">
        <f>PERCENTILE(H7:H12,C48)</f>
        <v>0.1633</v>
      </c>
      <c r="I48" s="81">
        <f>PERCENTILE(I7:I12,C48)</f>
        <v>0.17724999999999999</v>
      </c>
      <c r="J48" s="81">
        <f>PERCENTILE(J7:J12,C48)</f>
        <v>0.19495000000000001</v>
      </c>
      <c r="K48" s="81">
        <f>PERCENTILE(K7:K12,C48)</f>
        <v>0.20622499999999999</v>
      </c>
      <c r="L48" s="81">
        <f>PERCENTILE(L7:L12,C48)</f>
        <v>0.75175000000000003</v>
      </c>
      <c r="M48" s="84">
        <f>PERCENTILE(M7:M12,C48)</f>
        <v>3.875</v>
      </c>
      <c r="N48" s="81">
        <f>PERCENTILE(N7:N12,C48)</f>
        <v>9.7474999999999992E-2</v>
      </c>
      <c r="O48" s="87">
        <f>PERCENTILE(O7:O12,C48)</f>
        <v>0.6925</v>
      </c>
    </row>
    <row r="49" spans="3:15" x14ac:dyDescent="0.2">
      <c r="C49" s="44">
        <v>0.9</v>
      </c>
      <c r="D49" s="81">
        <f>PERCENTILE(D7:D12,C49)</f>
        <v>0.3135</v>
      </c>
      <c r="E49" s="81">
        <f>PERCENTILE(E7:E12,C49)</f>
        <v>0.107</v>
      </c>
      <c r="F49" s="81">
        <f>PERCENTILE(F7:F12,C49)</f>
        <v>8.3999999999999991E-2</v>
      </c>
      <c r="G49" s="81">
        <f>PERCENTILE(G7:G12,C49)</f>
        <v>6.0399999999999995E-2</v>
      </c>
      <c r="H49" s="81">
        <f>PERCENTILE(H7:H12,C49)</f>
        <v>0.16770000000000002</v>
      </c>
      <c r="I49" s="81">
        <f>PERCENTILE(I7:I12,C49)</f>
        <v>0.18559999999999999</v>
      </c>
      <c r="J49" s="81">
        <f>PERCENTILE(J7:J12,C49)</f>
        <v>0.2145</v>
      </c>
      <c r="K49" s="81">
        <f>PERCENTILE(K7:K12,C49)</f>
        <v>0.20965</v>
      </c>
      <c r="L49" s="81">
        <f>PERCENTILE(L7:L12,C49)</f>
        <v>0.75490000000000002</v>
      </c>
      <c r="M49" s="84">
        <f>PERCENTILE(M7:M12,C49)</f>
        <v>4.75</v>
      </c>
      <c r="N49" s="81">
        <f>PERCENTILE(N7:N12,C49)</f>
        <v>0.10264999999999999</v>
      </c>
      <c r="O49" s="87">
        <f>PERCENTILE(O7:O12,C49)</f>
        <v>0.72500000000000009</v>
      </c>
    </row>
    <row r="50" spans="3:15" x14ac:dyDescent="0.2">
      <c r="C50" s="44">
        <v>0.95</v>
      </c>
      <c r="D50" s="81">
        <f>PERCENTILE(D7:D12,C50)</f>
        <v>0.31425000000000003</v>
      </c>
      <c r="E50" s="81">
        <f>PERCENTILE(E7:E12,C50)</f>
        <v>0.107</v>
      </c>
      <c r="F50" s="81">
        <f>PERCENTILE(F7:F12,C50)</f>
        <v>8.5999999999999993E-2</v>
      </c>
      <c r="G50" s="81">
        <f>PERCENTILE(G7:G12,C50)</f>
        <v>6.2099999999999995E-2</v>
      </c>
      <c r="H50" s="81">
        <f>PERCENTILE(H7:H12,C50)</f>
        <v>0.1721</v>
      </c>
      <c r="I50" s="81">
        <f>PERCENTILE(I7:I12,C50)</f>
        <v>0.19395000000000001</v>
      </c>
      <c r="J50" s="81">
        <f>PERCENTILE(J7:J12,C50)</f>
        <v>0.23404999999999998</v>
      </c>
      <c r="K50" s="81">
        <f>PERCENTILE(K7:K12,C50)</f>
        <v>0.21307500000000001</v>
      </c>
      <c r="L50" s="81">
        <f>PERCENTILE(L7:L12,C50)</f>
        <v>0.75805</v>
      </c>
      <c r="M50" s="84">
        <f>PERCENTILE(M7:M12,C50)</f>
        <v>5.625</v>
      </c>
      <c r="N50" s="81">
        <f>PERCENTILE(N7:N12,C50)</f>
        <v>0.107825</v>
      </c>
      <c r="O50" s="87">
        <f>PERCENTILE(O7:O12,C50)</f>
        <v>0.75750000000000006</v>
      </c>
    </row>
    <row r="51" spans="3:15" ht="10.5" thickBot="1" x14ac:dyDescent="0.25">
      <c r="C51" s="46">
        <v>1</v>
      </c>
      <c r="D51" s="82">
        <f>PERCENTILE(D7:D12,C51)</f>
        <v>0.315</v>
      </c>
      <c r="E51" s="82">
        <f>PERCENTILE(E7:E12,C51)</f>
        <v>0.107</v>
      </c>
      <c r="F51" s="82">
        <f>PERCENTILE(F7:F12,C51)</f>
        <v>8.7999999999999995E-2</v>
      </c>
      <c r="G51" s="82">
        <f>PERCENTILE(G7:G12,C51)</f>
        <v>6.3799999999999996E-2</v>
      </c>
      <c r="H51" s="82">
        <f>PERCENTILE(H7:H12,C51)</f>
        <v>0.17649999999999999</v>
      </c>
      <c r="I51" s="82">
        <f>PERCENTILE(I7:I12,C51)</f>
        <v>0.20230000000000001</v>
      </c>
      <c r="J51" s="82">
        <f>PERCENTILE(J7:J12,C51)</f>
        <v>0.25359999999999999</v>
      </c>
      <c r="K51" s="82">
        <f>PERCENTILE(K7:K12,C51)</f>
        <v>0.2165</v>
      </c>
      <c r="L51" s="82">
        <f>PERCENTILE(L7:L12,C51)</f>
        <v>0.76119999999999999</v>
      </c>
      <c r="M51" s="85">
        <f>PERCENTILE(M7:M12,C51)</f>
        <v>6.5</v>
      </c>
      <c r="N51" s="82">
        <f>PERCENTILE(N7:N12,C51)</f>
        <v>0.113</v>
      </c>
      <c r="O51" s="88">
        <f>PERCENTILE(O7:O12,C51)</f>
        <v>0.79</v>
      </c>
    </row>
  </sheetData>
  <conditionalFormatting sqref="D29:O2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920684-FFB1-4C82-9FCC-15B5029F81C1}">
  <sheetPr codeName="Sheet3">
    <outlinePr summaryBelow="0" summaryRight="0"/>
  </sheetPr>
  <dimension ref="A4:IU46"/>
  <sheetViews>
    <sheetView defaultGridColor="0" colorId="0" workbookViewId="0"/>
  </sheetViews>
  <sheetFormatPr defaultRowHeight="10" x14ac:dyDescent="0.2"/>
  <cols>
    <col min="1" max="1" width="47.81640625" customWidth="1"/>
    <col min="2" max="17" width="20.81640625" customWidth="1"/>
  </cols>
  <sheetData>
    <row r="4" spans="1:255" ht="17" x14ac:dyDescent="0.35">
      <c r="A4" s="1" t="s">
        <v>0</v>
      </c>
    </row>
    <row r="7" spans="1:255" x14ac:dyDescent="0.2">
      <c r="A7" s="2" t="s">
        <v>1</v>
      </c>
      <c r="B7" s="2"/>
      <c r="C7" s="2"/>
      <c r="D7" s="2"/>
      <c r="E7" s="2"/>
      <c r="F7" s="2"/>
      <c r="G7" s="2"/>
      <c r="H7" s="2"/>
      <c r="I7" s="2"/>
      <c r="J7" s="2"/>
      <c r="K7" s="2"/>
      <c r="L7" s="2"/>
      <c r="M7" s="2"/>
      <c r="N7" s="2"/>
      <c r="O7" s="2"/>
      <c r="P7" s="2"/>
      <c r="Q7" s="2"/>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ht="10.5" x14ac:dyDescent="0.25">
      <c r="A8" s="3" t="s">
        <v>2</v>
      </c>
      <c r="B8" s="4" t="s">
        <v>3</v>
      </c>
    </row>
    <row r="9" spans="1:255" ht="10.5" x14ac:dyDescent="0.25">
      <c r="A9" s="3" t="s">
        <v>4</v>
      </c>
      <c r="B9" s="4" t="s">
        <v>5</v>
      </c>
    </row>
    <row r="10" spans="1:255" ht="10.5" x14ac:dyDescent="0.25">
      <c r="A10" s="3" t="s">
        <v>6</v>
      </c>
      <c r="B10" s="5">
        <v>45045</v>
      </c>
    </row>
    <row r="11" spans="1:255" x14ac:dyDescent="0.2">
      <c r="A11" s="6"/>
    </row>
    <row r="13" spans="1:255" x14ac:dyDescent="0.2">
      <c r="A13" s="2" t="s">
        <v>7</v>
      </c>
      <c r="B13" s="2"/>
      <c r="C13" s="2"/>
      <c r="D13" s="2"/>
      <c r="E13" s="2"/>
      <c r="F13" s="2"/>
      <c r="G13" s="2"/>
      <c r="H13" s="2"/>
      <c r="I13" s="2"/>
      <c r="J13" s="2"/>
      <c r="K13" s="2"/>
      <c r="L13" s="2"/>
      <c r="M13" s="2"/>
      <c r="N13" s="2"/>
      <c r="O13" s="2"/>
      <c r="P13" s="2"/>
      <c r="Q13" s="2"/>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1" x14ac:dyDescent="0.2">
      <c r="A14" s="7" t="s">
        <v>8</v>
      </c>
      <c r="B14" s="11" t="s">
        <v>9</v>
      </c>
      <c r="C14" s="11" t="s">
        <v>10</v>
      </c>
      <c r="D14" s="11" t="s">
        <v>11</v>
      </c>
      <c r="E14" s="11" t="s">
        <v>12</v>
      </c>
      <c r="F14" s="11" t="s">
        <v>13</v>
      </c>
      <c r="G14" s="11" t="s">
        <v>14</v>
      </c>
      <c r="H14" s="11" t="s">
        <v>15</v>
      </c>
      <c r="I14" s="11" t="s">
        <v>16</v>
      </c>
      <c r="J14" s="15" t="s">
        <v>17</v>
      </c>
      <c r="K14" s="11" t="s">
        <v>18</v>
      </c>
      <c r="L14" s="11" t="s">
        <v>19</v>
      </c>
      <c r="M14" s="11" t="s">
        <v>20</v>
      </c>
      <c r="N14" s="11" t="s">
        <v>21</v>
      </c>
      <c r="O14" s="11" t="s">
        <v>22</v>
      </c>
      <c r="P14" s="11" t="s">
        <v>23</v>
      </c>
      <c r="Q14" s="11" t="s">
        <v>24</v>
      </c>
    </row>
    <row r="15" spans="1:255" ht="12" customHeight="1" x14ac:dyDescent="0.2">
      <c r="A15" s="7" t="s">
        <v>25</v>
      </c>
      <c r="B15" s="12">
        <v>503.22</v>
      </c>
      <c r="C15" s="13">
        <v>443.5</v>
      </c>
      <c r="D15" s="13">
        <v>223169.6</v>
      </c>
      <c r="E15" s="13">
        <v>-4566</v>
      </c>
      <c r="F15" s="14" t="s">
        <v>26</v>
      </c>
      <c r="G15" s="12">
        <v>5</v>
      </c>
      <c r="H15" s="13">
        <v>218608.6</v>
      </c>
      <c r="I15" s="12">
        <v>51.39</v>
      </c>
      <c r="J15" s="16">
        <v>44994</v>
      </c>
      <c r="K15" s="13">
        <v>234390</v>
      </c>
      <c r="L15" s="13">
        <v>9891</v>
      </c>
      <c r="M15" s="13">
        <v>7942</v>
      </c>
      <c r="N15" s="12">
        <v>13.61</v>
      </c>
      <c r="O15" s="12">
        <v>250169.62</v>
      </c>
      <c r="P15" s="12">
        <v>11007.53</v>
      </c>
      <c r="Q15" s="12">
        <v>15.08</v>
      </c>
    </row>
    <row r="16" spans="1:255" ht="12" customHeight="1" x14ac:dyDescent="0.2">
      <c r="A16" s="7" t="s">
        <v>27</v>
      </c>
      <c r="B16" s="12">
        <v>221.46</v>
      </c>
      <c r="C16" s="13">
        <v>219.1</v>
      </c>
      <c r="D16" s="13">
        <v>48523.8</v>
      </c>
      <c r="E16" s="13">
        <v>17279.5</v>
      </c>
      <c r="F16" s="14" t="s">
        <v>26</v>
      </c>
      <c r="G16" s="14" t="s">
        <v>26</v>
      </c>
      <c r="H16" s="13">
        <v>65803.3</v>
      </c>
      <c r="I16" s="12">
        <v>0.02</v>
      </c>
      <c r="J16" s="16">
        <v>45009</v>
      </c>
      <c r="K16" s="13">
        <v>37844.9</v>
      </c>
      <c r="L16" s="13">
        <v>4055.3</v>
      </c>
      <c r="M16" s="13">
        <v>3330.4</v>
      </c>
      <c r="N16" s="12">
        <v>10.68</v>
      </c>
      <c r="O16" s="12">
        <v>40034.39</v>
      </c>
      <c r="P16" s="12">
        <v>4308.53</v>
      </c>
      <c r="Q16" s="12">
        <v>11.29</v>
      </c>
    </row>
    <row r="17" spans="1:17" ht="12" customHeight="1" x14ac:dyDescent="0.2">
      <c r="A17" s="7" t="s">
        <v>28</v>
      </c>
      <c r="B17" s="12">
        <v>150.97</v>
      </c>
      <c r="C17" s="13">
        <v>2697.3</v>
      </c>
      <c r="D17" s="13">
        <v>407218.4</v>
      </c>
      <c r="E17" s="13">
        <v>52410</v>
      </c>
      <c r="F17" s="14" t="s">
        <v>26</v>
      </c>
      <c r="G17" s="12">
        <v>7298</v>
      </c>
      <c r="H17" s="13">
        <v>466926.4</v>
      </c>
      <c r="I17" s="12">
        <v>16.420000000000002</v>
      </c>
      <c r="J17" s="16">
        <v>45002</v>
      </c>
      <c r="K17" s="13">
        <v>611289</v>
      </c>
      <c r="L17" s="13">
        <v>35473</v>
      </c>
      <c r="M17" s="13">
        <v>24528</v>
      </c>
      <c r="N17" s="12">
        <v>4.2699999999999996</v>
      </c>
      <c r="O17" s="12">
        <v>628015.44999999995</v>
      </c>
      <c r="P17" s="12">
        <v>36929.599999999999</v>
      </c>
      <c r="Q17" s="12">
        <v>6.11</v>
      </c>
    </row>
    <row r="18" spans="1:17" ht="12" customHeight="1" x14ac:dyDescent="0.2">
      <c r="A18" s="7" t="s">
        <v>29</v>
      </c>
      <c r="B18" s="12">
        <v>153.71</v>
      </c>
      <c r="C18" s="13">
        <v>221.2</v>
      </c>
      <c r="D18" s="13">
        <v>34004.9</v>
      </c>
      <c r="E18" s="13">
        <v>9483.7000000000007</v>
      </c>
      <c r="F18" s="14" t="s">
        <v>26</v>
      </c>
      <c r="G18" s="14" t="s">
        <v>26</v>
      </c>
      <c r="H18" s="13">
        <v>43488.6</v>
      </c>
      <c r="I18" s="12">
        <v>16.579999999999998</v>
      </c>
      <c r="J18" s="16">
        <v>44995</v>
      </c>
      <c r="K18" s="13">
        <v>28331.7</v>
      </c>
      <c r="L18" s="13">
        <v>3044.1</v>
      </c>
      <c r="M18" s="13">
        <v>2276.1999999999998</v>
      </c>
      <c r="N18" s="12">
        <v>7.21</v>
      </c>
      <c r="O18" s="12">
        <v>30286.03</v>
      </c>
      <c r="P18" s="12">
        <v>2883.64</v>
      </c>
      <c r="Q18" s="12">
        <v>6.63</v>
      </c>
    </row>
    <row r="19" spans="1:17" ht="12" customHeight="1" x14ac:dyDescent="0.2">
      <c r="A19" s="7" t="s">
        <v>30</v>
      </c>
      <c r="B19" s="12">
        <v>76.37</v>
      </c>
      <c r="C19" s="13">
        <v>133.9</v>
      </c>
      <c r="D19" s="13">
        <v>10226.200000000001</v>
      </c>
      <c r="E19" s="13">
        <v>3084</v>
      </c>
      <c r="F19" s="14" t="s">
        <v>26</v>
      </c>
      <c r="G19" s="14" t="s">
        <v>26</v>
      </c>
      <c r="H19" s="13">
        <v>13310.3</v>
      </c>
      <c r="I19" s="12">
        <v>-0.57999999999999996</v>
      </c>
      <c r="J19" s="16">
        <v>45001</v>
      </c>
      <c r="K19" s="13">
        <v>19315.2</v>
      </c>
      <c r="L19" s="13">
        <v>951.2</v>
      </c>
      <c r="M19" s="13">
        <v>750.3</v>
      </c>
      <c r="N19" s="12">
        <v>3.77</v>
      </c>
      <c r="O19" s="12">
        <v>20886.37</v>
      </c>
      <c r="P19" s="12">
        <v>1080.74</v>
      </c>
      <c r="Q19" s="12">
        <v>3.97</v>
      </c>
    </row>
    <row r="20" spans="1:17" ht="12" customHeight="1" x14ac:dyDescent="0.2">
      <c r="A20" s="7" t="s">
        <v>31</v>
      </c>
      <c r="B20" s="12">
        <v>72.94</v>
      </c>
      <c r="C20" s="13">
        <v>26.8</v>
      </c>
      <c r="D20" s="13">
        <v>1953.9</v>
      </c>
      <c r="E20" s="13">
        <v>6916.2</v>
      </c>
      <c r="F20" s="14" t="s">
        <v>26</v>
      </c>
      <c r="G20" s="12">
        <v>1700.8</v>
      </c>
      <c r="H20" s="13">
        <v>10571</v>
      </c>
      <c r="I20" s="12">
        <v>96.17</v>
      </c>
      <c r="J20" s="16">
        <v>45006</v>
      </c>
      <c r="K20" s="13">
        <v>21921.1</v>
      </c>
      <c r="L20" s="13">
        <v>1268.0999999999999</v>
      </c>
      <c r="M20" s="13">
        <v>101.7</v>
      </c>
      <c r="N20" s="12">
        <v>28.05</v>
      </c>
      <c r="O20" s="12">
        <v>23082.58</v>
      </c>
      <c r="P20" s="12">
        <v>1214.07</v>
      </c>
      <c r="Q20" s="12">
        <v>7.28</v>
      </c>
    </row>
    <row r="21" spans="1:17" ht="10.5" x14ac:dyDescent="0.2">
      <c r="A21" s="7" t="s">
        <v>32</v>
      </c>
      <c r="B21" s="12">
        <v>157.75</v>
      </c>
      <c r="C21" s="13">
        <v>460.4</v>
      </c>
      <c r="D21" s="13">
        <v>72622.399999999994</v>
      </c>
      <c r="E21" s="13">
        <v>16925</v>
      </c>
      <c r="F21" s="14" t="s">
        <v>26</v>
      </c>
      <c r="G21" s="14" t="s">
        <v>26</v>
      </c>
      <c r="H21" s="13">
        <v>89547.4</v>
      </c>
      <c r="I21" s="12">
        <v>23</v>
      </c>
      <c r="J21" s="16">
        <v>44993</v>
      </c>
      <c r="K21" s="13">
        <v>109120</v>
      </c>
      <c r="L21" s="13">
        <v>6660</v>
      </c>
      <c r="M21" s="13">
        <v>3960</v>
      </c>
      <c r="N21" s="12">
        <v>5.98</v>
      </c>
      <c r="O21" s="12">
        <v>111370.91</v>
      </c>
      <c r="P21" s="12">
        <v>8205.02</v>
      </c>
      <c r="Q21" s="12">
        <v>8.52</v>
      </c>
    </row>
    <row r="22" spans="1:17" ht="10.5" x14ac:dyDescent="0.2">
      <c r="A22" s="8"/>
      <c r="B22" s="8"/>
      <c r="C22" s="8"/>
      <c r="D22" s="8"/>
      <c r="E22" s="8"/>
      <c r="F22" s="8"/>
      <c r="G22" s="8"/>
      <c r="H22" s="8"/>
      <c r="I22" s="8"/>
      <c r="J22" s="8"/>
      <c r="K22" s="8"/>
      <c r="L22" s="8"/>
      <c r="M22" s="8"/>
      <c r="N22" s="8"/>
      <c r="O22" s="8"/>
      <c r="P22" s="8"/>
      <c r="Q22" s="8"/>
    </row>
    <row r="23" spans="1:17" ht="12" customHeight="1" x14ac:dyDescent="0.2">
      <c r="A23" s="7" t="s">
        <v>33</v>
      </c>
      <c r="B23" s="11" t="s">
        <v>9</v>
      </c>
      <c r="C23" s="11" t="s">
        <v>10</v>
      </c>
      <c r="D23" s="11" t="s">
        <v>11</v>
      </c>
      <c r="E23" s="11" t="s">
        <v>12</v>
      </c>
      <c r="F23" s="11" t="s">
        <v>13</v>
      </c>
      <c r="G23" s="11" t="s">
        <v>14</v>
      </c>
      <c r="H23" s="11" t="s">
        <v>15</v>
      </c>
      <c r="I23" s="11" t="s">
        <v>16</v>
      </c>
      <c r="J23" s="15" t="s">
        <v>17</v>
      </c>
      <c r="K23" s="11" t="s">
        <v>18</v>
      </c>
      <c r="L23" s="11" t="s">
        <v>19</v>
      </c>
      <c r="M23" s="11" t="s">
        <v>20</v>
      </c>
      <c r="N23" s="11" t="s">
        <v>21</v>
      </c>
      <c r="O23" s="11" t="s">
        <v>22</v>
      </c>
      <c r="P23" s="11" t="s">
        <v>23</v>
      </c>
      <c r="Q23" s="11" t="s">
        <v>24</v>
      </c>
    </row>
    <row r="24" spans="1:17" ht="10.5" x14ac:dyDescent="0.2">
      <c r="A24" s="7" t="s">
        <v>34</v>
      </c>
      <c r="B24" s="12">
        <v>503.22</v>
      </c>
      <c r="C24" s="13">
        <v>2697.3</v>
      </c>
      <c r="D24" s="13">
        <v>407218.4</v>
      </c>
      <c r="E24" s="13">
        <v>52410</v>
      </c>
      <c r="F24" s="14" t="s">
        <v>26</v>
      </c>
      <c r="G24" s="12">
        <v>7298</v>
      </c>
      <c r="H24" s="13">
        <v>466926.4</v>
      </c>
      <c r="I24" s="12">
        <v>96.17</v>
      </c>
      <c r="J24" s="17" t="s">
        <v>26</v>
      </c>
      <c r="K24" s="13">
        <v>611289</v>
      </c>
      <c r="L24" s="13">
        <v>35473</v>
      </c>
      <c r="M24" s="13">
        <v>24528</v>
      </c>
      <c r="N24" s="12">
        <v>28.05</v>
      </c>
      <c r="O24" s="12">
        <v>628015.44999999995</v>
      </c>
      <c r="P24" s="12">
        <v>36929.599999999999</v>
      </c>
      <c r="Q24" s="12">
        <v>15.08</v>
      </c>
    </row>
    <row r="25" spans="1:17" ht="10.5" x14ac:dyDescent="0.2">
      <c r="A25" s="7" t="s">
        <v>35</v>
      </c>
      <c r="B25" s="12">
        <v>72.94</v>
      </c>
      <c r="C25" s="13">
        <v>26.8</v>
      </c>
      <c r="D25" s="13">
        <v>1953.9</v>
      </c>
      <c r="E25" s="13">
        <v>-4566</v>
      </c>
      <c r="F25" s="14" t="s">
        <v>26</v>
      </c>
      <c r="G25" s="12">
        <v>5</v>
      </c>
      <c r="H25" s="13">
        <v>10571</v>
      </c>
      <c r="I25" s="12">
        <v>-0.57999999999999996</v>
      </c>
      <c r="J25" s="17" t="s">
        <v>26</v>
      </c>
      <c r="K25" s="13">
        <v>19315.2</v>
      </c>
      <c r="L25" s="13">
        <v>951.2</v>
      </c>
      <c r="M25" s="13">
        <v>101.7</v>
      </c>
      <c r="N25" s="12">
        <v>3.77</v>
      </c>
      <c r="O25" s="12">
        <v>20886.37</v>
      </c>
      <c r="P25" s="12">
        <v>1080.74</v>
      </c>
      <c r="Q25" s="12">
        <v>3.97</v>
      </c>
    </row>
    <row r="26" spans="1:17" ht="10.5" x14ac:dyDescent="0.2">
      <c r="A26" s="7" t="s">
        <v>36</v>
      </c>
      <c r="B26" s="12">
        <v>196.44</v>
      </c>
      <c r="C26" s="13">
        <v>623.6</v>
      </c>
      <c r="D26" s="13">
        <v>120849.5</v>
      </c>
      <c r="E26" s="13">
        <v>14101.3</v>
      </c>
      <c r="F26" s="14" t="s">
        <v>26</v>
      </c>
      <c r="G26" s="12">
        <v>3001.27</v>
      </c>
      <c r="H26" s="13">
        <v>136451.4</v>
      </c>
      <c r="I26" s="12">
        <v>30</v>
      </c>
      <c r="J26" s="17" t="s">
        <v>26</v>
      </c>
      <c r="K26" s="13">
        <v>158848.6</v>
      </c>
      <c r="L26" s="13">
        <v>9113.7999999999993</v>
      </c>
      <c r="M26" s="13">
        <v>6488.1</v>
      </c>
      <c r="N26" s="12">
        <v>11.26</v>
      </c>
      <c r="O26" s="12">
        <v>165412.41</v>
      </c>
      <c r="P26" s="12">
        <v>9570.68</v>
      </c>
      <c r="Q26" s="12">
        <v>8.39</v>
      </c>
    </row>
    <row r="27" spans="1:17" ht="10.5" x14ac:dyDescent="0.2">
      <c r="A27" s="7" t="s">
        <v>37</v>
      </c>
      <c r="B27" s="12">
        <v>152.34</v>
      </c>
      <c r="C27" s="13">
        <v>220.2</v>
      </c>
      <c r="D27" s="13">
        <v>41264.300000000003</v>
      </c>
      <c r="E27" s="13">
        <v>8200</v>
      </c>
      <c r="F27" s="14" t="s">
        <v>26</v>
      </c>
      <c r="G27" s="12">
        <v>1700.8</v>
      </c>
      <c r="H27" s="13">
        <v>54645.9</v>
      </c>
      <c r="I27" s="12">
        <v>16.5</v>
      </c>
      <c r="J27" s="17" t="s">
        <v>26</v>
      </c>
      <c r="K27" s="13">
        <v>33088.300000000003</v>
      </c>
      <c r="L27" s="13">
        <v>3549.7</v>
      </c>
      <c r="M27" s="13">
        <v>2803.3</v>
      </c>
      <c r="N27" s="12">
        <v>8.9499999999999993</v>
      </c>
      <c r="O27" s="12">
        <v>35160.21</v>
      </c>
      <c r="P27" s="12">
        <v>3596.08</v>
      </c>
      <c r="Q27" s="12">
        <v>6.96</v>
      </c>
    </row>
    <row r="28" spans="1:17" x14ac:dyDescent="0.2">
      <c r="A28" s="10"/>
      <c r="B28" s="10"/>
      <c r="C28" s="10"/>
      <c r="D28" s="10"/>
      <c r="E28" s="10"/>
      <c r="F28" s="10"/>
      <c r="G28" s="10"/>
      <c r="H28" s="10"/>
      <c r="I28" s="10"/>
      <c r="J28" s="10"/>
      <c r="K28" s="10"/>
      <c r="L28" s="10"/>
      <c r="M28" s="10"/>
      <c r="N28" s="10"/>
      <c r="O28" s="10"/>
      <c r="P28" s="10"/>
      <c r="Q28" s="10"/>
    </row>
    <row r="30" spans="1:17" x14ac:dyDescent="0.2">
      <c r="A30" s="6" t="s">
        <v>38</v>
      </c>
    </row>
    <row r="35" spans="1:1" x14ac:dyDescent="0.2">
      <c r="A35" t="s">
        <v>39</v>
      </c>
    </row>
    <row r="36" spans="1:1" x14ac:dyDescent="0.2">
      <c r="A36" t="s">
        <v>40</v>
      </c>
    </row>
    <row r="44" spans="1:1" ht="20" x14ac:dyDescent="0.2">
      <c r="A44" s="18" t="s">
        <v>41</v>
      </c>
    </row>
    <row r="46" spans="1:1" ht="25" customHeight="1" x14ac:dyDescent="0.2"/>
  </sheetData>
  <pageMargins left="0.2" right="0.2" top="0.5" bottom="0.5" header="0.5" footer="0.5"/>
  <pageSetup fitToWidth="0" fitToHeight="0" orientation="landscape" horizontalDpi="300" verticalDpi="300"/>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12FD1-544A-4638-A89E-1401932B4B37}">
  <sheetPr codeName="Sheet4">
    <outlinePr summaryBelow="0" summaryRight="0"/>
  </sheetPr>
  <dimension ref="A4:IU46"/>
  <sheetViews>
    <sheetView defaultGridColor="0" colorId="0" workbookViewId="0"/>
  </sheetViews>
  <sheetFormatPr defaultRowHeight="10" x14ac:dyDescent="0.2"/>
  <cols>
    <col min="1" max="1" width="47.81640625" customWidth="1"/>
    <col min="2" max="9" width="20.81640625" customWidth="1"/>
  </cols>
  <sheetData>
    <row r="4" spans="1:255" ht="17" x14ac:dyDescent="0.35">
      <c r="A4" s="1" t="s">
        <v>42</v>
      </c>
    </row>
    <row r="7" spans="1:255" x14ac:dyDescent="0.2">
      <c r="A7" s="2" t="s">
        <v>1</v>
      </c>
      <c r="B7" s="2"/>
      <c r="C7" s="2"/>
      <c r="D7" s="2"/>
      <c r="E7" s="2"/>
      <c r="F7" s="2"/>
      <c r="G7" s="2"/>
      <c r="H7" s="2"/>
      <c r="I7" s="2"/>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ht="10.5" x14ac:dyDescent="0.25">
      <c r="A8" s="3" t="s">
        <v>43</v>
      </c>
      <c r="B8" s="4" t="s">
        <v>3</v>
      </c>
    </row>
    <row r="9" spans="1:255" ht="10.5" x14ac:dyDescent="0.25">
      <c r="A9" s="3" t="s">
        <v>44</v>
      </c>
      <c r="B9" s="4" t="s">
        <v>5</v>
      </c>
    </row>
    <row r="10" spans="1:255" ht="10.5" x14ac:dyDescent="0.25">
      <c r="A10" s="3" t="s">
        <v>45</v>
      </c>
      <c r="B10" s="5">
        <v>45045</v>
      </c>
    </row>
    <row r="11" spans="1:255" x14ac:dyDescent="0.2">
      <c r="A11" s="6"/>
    </row>
    <row r="13" spans="1:255" x14ac:dyDescent="0.2">
      <c r="A13" s="2" t="s">
        <v>7</v>
      </c>
      <c r="B13" s="2"/>
      <c r="C13" s="2"/>
      <c r="D13" s="2"/>
      <c r="E13" s="2"/>
      <c r="F13" s="2"/>
      <c r="G13" s="2"/>
      <c r="H13" s="2"/>
      <c r="I13" s="2"/>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1" x14ac:dyDescent="0.2">
      <c r="A14" s="7" t="s">
        <v>8</v>
      </c>
      <c r="B14" s="11" t="s">
        <v>46</v>
      </c>
      <c r="C14" s="11" t="s">
        <v>47</v>
      </c>
      <c r="D14" s="11" t="s">
        <v>48</v>
      </c>
      <c r="E14" s="11" t="s">
        <v>49</v>
      </c>
      <c r="F14" s="11" t="s">
        <v>50</v>
      </c>
      <c r="G14" s="11" t="s">
        <v>51</v>
      </c>
      <c r="H14" s="11" t="s">
        <v>52</v>
      </c>
      <c r="I14" s="11" t="s">
        <v>53</v>
      </c>
    </row>
    <row r="15" spans="1:255" ht="12" customHeight="1" x14ac:dyDescent="0.2">
      <c r="A15" s="7" t="s">
        <v>25</v>
      </c>
      <c r="B15" s="14" t="s">
        <v>26</v>
      </c>
      <c r="C15" s="14" t="s">
        <v>26</v>
      </c>
      <c r="D15" s="14" t="s">
        <v>26</v>
      </c>
      <c r="E15" s="14" t="s">
        <v>26</v>
      </c>
      <c r="F15" s="14" t="s">
        <v>26</v>
      </c>
      <c r="G15" s="19">
        <v>0.87</v>
      </c>
      <c r="H15" s="19">
        <v>19.86</v>
      </c>
      <c r="I15" s="19">
        <v>33.369999999999997</v>
      </c>
    </row>
    <row r="16" spans="1:255" ht="12" customHeight="1" x14ac:dyDescent="0.2">
      <c r="A16" s="7" t="s">
        <v>27</v>
      </c>
      <c r="B16" s="14" t="s">
        <v>26</v>
      </c>
      <c r="C16" s="14" t="s">
        <v>26</v>
      </c>
      <c r="D16" s="14" t="s">
        <v>26</v>
      </c>
      <c r="E16" s="14" t="s">
        <v>26</v>
      </c>
      <c r="F16" s="14" t="s">
        <v>26</v>
      </c>
      <c r="G16" s="19">
        <v>1.64</v>
      </c>
      <c r="H16" s="19">
        <v>15.27</v>
      </c>
      <c r="I16" s="19">
        <v>19.62</v>
      </c>
    </row>
    <row r="17" spans="1:9" ht="12" customHeight="1" x14ac:dyDescent="0.2">
      <c r="A17" s="7" t="s">
        <v>28</v>
      </c>
      <c r="B17" s="14" t="s">
        <v>26</v>
      </c>
      <c r="C17" s="14" t="s">
        <v>26</v>
      </c>
      <c r="D17" s="14" t="s">
        <v>26</v>
      </c>
      <c r="E17" s="14" t="s">
        <v>26</v>
      </c>
      <c r="F17" s="14" t="s">
        <v>26</v>
      </c>
      <c r="G17" s="19">
        <v>0.74</v>
      </c>
      <c r="H17" s="19">
        <v>12.64</v>
      </c>
      <c r="I17" s="19">
        <v>24.72</v>
      </c>
    </row>
    <row r="18" spans="1:9" ht="12" customHeight="1" x14ac:dyDescent="0.2">
      <c r="A18" s="7" t="s">
        <v>29</v>
      </c>
      <c r="B18" s="14" t="s">
        <v>26</v>
      </c>
      <c r="C18" s="14" t="s">
        <v>26</v>
      </c>
      <c r="D18" s="14" t="s">
        <v>26</v>
      </c>
      <c r="E18" s="14" t="s">
        <v>26</v>
      </c>
      <c r="F18" s="14" t="s">
        <v>26</v>
      </c>
      <c r="G18" s="19">
        <v>1.44</v>
      </c>
      <c r="H18" s="19">
        <v>15.08</v>
      </c>
      <c r="I18" s="19">
        <v>23.19</v>
      </c>
    </row>
    <row r="19" spans="1:9" ht="12" customHeight="1" x14ac:dyDescent="0.2">
      <c r="A19" s="7" t="s">
        <v>30</v>
      </c>
      <c r="B19" s="14" t="s">
        <v>26</v>
      </c>
      <c r="C19" s="14" t="s">
        <v>26</v>
      </c>
      <c r="D19" s="14" t="s">
        <v>26</v>
      </c>
      <c r="E19" s="14" t="s">
        <v>26</v>
      </c>
      <c r="F19" s="14" t="s">
        <v>26</v>
      </c>
      <c r="G19" s="19">
        <v>0.64</v>
      </c>
      <c r="H19" s="19">
        <v>12.32</v>
      </c>
      <c r="I19" s="19">
        <v>19.25</v>
      </c>
    </row>
    <row r="20" spans="1:9" ht="12" customHeight="1" x14ac:dyDescent="0.2">
      <c r="A20" s="7" t="s">
        <v>31</v>
      </c>
      <c r="B20" s="14" t="s">
        <v>26</v>
      </c>
      <c r="C20" s="14" t="s">
        <v>26</v>
      </c>
      <c r="D20" s="14" t="s">
        <v>26</v>
      </c>
      <c r="E20" s="14" t="s">
        <v>26</v>
      </c>
      <c r="F20" s="14" t="s">
        <v>26</v>
      </c>
      <c r="G20" s="19">
        <v>0.46</v>
      </c>
      <c r="H20" s="19">
        <v>8.7100000000000009</v>
      </c>
      <c r="I20" s="19">
        <v>10.01</v>
      </c>
    </row>
    <row r="21" spans="1:9" ht="10.5" x14ac:dyDescent="0.2">
      <c r="A21" s="7" t="s">
        <v>32</v>
      </c>
      <c r="B21" s="14" t="s">
        <v>26</v>
      </c>
      <c r="C21" s="14" t="s">
        <v>26</v>
      </c>
      <c r="D21" s="14" t="s">
        <v>26</v>
      </c>
      <c r="E21" s="14" t="s">
        <v>26</v>
      </c>
      <c r="F21" s="14" t="s">
        <v>26</v>
      </c>
      <c r="G21" s="19">
        <v>0.8</v>
      </c>
      <c r="H21" s="19">
        <v>10.91</v>
      </c>
      <c r="I21" s="19">
        <v>18.510000000000002</v>
      </c>
    </row>
    <row r="22" spans="1:9" ht="10.5" x14ac:dyDescent="0.2">
      <c r="A22" s="8"/>
      <c r="B22" s="8"/>
      <c r="C22" s="8"/>
      <c r="D22" s="8"/>
      <c r="E22" s="8"/>
      <c r="F22" s="8"/>
      <c r="G22" s="8"/>
      <c r="H22" s="8"/>
      <c r="I22" s="8"/>
    </row>
    <row r="23" spans="1:9" ht="12" customHeight="1" x14ac:dyDescent="0.2">
      <c r="A23" s="7" t="s">
        <v>33</v>
      </c>
      <c r="B23" s="11" t="s">
        <v>46</v>
      </c>
      <c r="C23" s="11" t="s">
        <v>47</v>
      </c>
      <c r="D23" s="11" t="s">
        <v>48</v>
      </c>
      <c r="E23" s="11" t="s">
        <v>49</v>
      </c>
      <c r="F23" s="11" t="s">
        <v>50</v>
      </c>
      <c r="G23" s="11" t="s">
        <v>51</v>
      </c>
      <c r="H23" s="11" t="s">
        <v>52</v>
      </c>
      <c r="I23" s="11" t="s">
        <v>53</v>
      </c>
    </row>
    <row r="24" spans="1:9" ht="10.5" x14ac:dyDescent="0.2">
      <c r="A24" s="7" t="s">
        <v>34</v>
      </c>
      <c r="B24" s="14" t="s">
        <v>26</v>
      </c>
      <c r="C24" s="14" t="s">
        <v>26</v>
      </c>
      <c r="D24" s="14" t="s">
        <v>26</v>
      </c>
      <c r="E24" s="14" t="s">
        <v>26</v>
      </c>
      <c r="F24" s="14" t="s">
        <v>26</v>
      </c>
      <c r="G24" s="19">
        <v>1.64</v>
      </c>
      <c r="H24" s="19">
        <v>19.86</v>
      </c>
      <c r="I24" s="19">
        <v>33.369999999999997</v>
      </c>
    </row>
    <row r="25" spans="1:9" ht="10.5" x14ac:dyDescent="0.2">
      <c r="A25" s="7" t="s">
        <v>35</v>
      </c>
      <c r="B25" s="14" t="s">
        <v>26</v>
      </c>
      <c r="C25" s="14" t="s">
        <v>26</v>
      </c>
      <c r="D25" s="14" t="s">
        <v>26</v>
      </c>
      <c r="E25" s="14" t="s">
        <v>26</v>
      </c>
      <c r="F25" s="14" t="s">
        <v>26</v>
      </c>
      <c r="G25" s="19">
        <v>0.46</v>
      </c>
      <c r="H25" s="19">
        <v>8.7100000000000009</v>
      </c>
      <c r="I25" s="19">
        <v>10.01</v>
      </c>
    </row>
    <row r="26" spans="1:9" ht="10.5" x14ac:dyDescent="0.2">
      <c r="A26" s="7" t="s">
        <v>36</v>
      </c>
      <c r="B26" s="14" t="s">
        <v>26</v>
      </c>
      <c r="C26" s="14" t="s">
        <v>26</v>
      </c>
      <c r="D26" s="14" t="s">
        <v>26</v>
      </c>
      <c r="E26" s="14" t="s">
        <v>26</v>
      </c>
      <c r="F26" s="14" t="s">
        <v>26</v>
      </c>
      <c r="G26" s="19">
        <v>0.97</v>
      </c>
      <c r="H26" s="19">
        <v>13.98</v>
      </c>
      <c r="I26" s="19">
        <v>21.69</v>
      </c>
    </row>
    <row r="27" spans="1:9" ht="10.5" x14ac:dyDescent="0.2">
      <c r="A27" s="7" t="s">
        <v>37</v>
      </c>
      <c r="B27" s="14" t="s">
        <v>26</v>
      </c>
      <c r="C27" s="14" t="s">
        <v>26</v>
      </c>
      <c r="D27" s="14" t="s">
        <v>26</v>
      </c>
      <c r="E27" s="14" t="s">
        <v>26</v>
      </c>
      <c r="F27" s="14" t="s">
        <v>26</v>
      </c>
      <c r="G27" s="19">
        <v>0.81</v>
      </c>
      <c r="H27" s="19">
        <v>13.86</v>
      </c>
      <c r="I27" s="19">
        <v>21.4</v>
      </c>
    </row>
    <row r="28" spans="1:9" x14ac:dyDescent="0.2">
      <c r="A28" s="10"/>
      <c r="B28" s="10"/>
      <c r="C28" s="10"/>
      <c r="D28" s="10"/>
      <c r="E28" s="10"/>
      <c r="F28" s="10"/>
      <c r="G28" s="10"/>
      <c r="H28" s="10"/>
      <c r="I28" s="10"/>
    </row>
    <row r="30" spans="1:9" x14ac:dyDescent="0.2">
      <c r="A30" s="6" t="s">
        <v>38</v>
      </c>
    </row>
    <row r="35" spans="1:1" x14ac:dyDescent="0.2">
      <c r="A35" t="s">
        <v>39</v>
      </c>
    </row>
    <row r="36" spans="1:1" x14ac:dyDescent="0.2">
      <c r="A36" t="s">
        <v>40</v>
      </c>
    </row>
    <row r="44" spans="1:1" ht="20" x14ac:dyDescent="0.2">
      <c r="A44" s="18" t="s">
        <v>41</v>
      </c>
    </row>
    <row r="46" spans="1:1" ht="25" customHeight="1" x14ac:dyDescent="0.2"/>
  </sheetData>
  <pageMargins left="0.2" right="0.2" top="0.5" bottom="0.5" header="0.5" footer="0.5"/>
  <pageSetup fitToWidth="0" fitToHeight="0" orientation="landscape" horizontalDpi="300" verticalDpi="300"/>
  <headerFooter alignWithMargins="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033B8-CE1A-494A-B3EC-5404A6E07CCE}">
  <sheetPr codeName="Sheet5">
    <outlinePr summaryBelow="0" summaryRight="0"/>
  </sheetPr>
  <dimension ref="A4:IU46"/>
  <sheetViews>
    <sheetView defaultGridColor="0" colorId="0" workbookViewId="0"/>
  </sheetViews>
  <sheetFormatPr defaultRowHeight="10" x14ac:dyDescent="0.2"/>
  <cols>
    <col min="1" max="1" width="47.81640625" customWidth="1"/>
    <col min="2" max="13" width="20.81640625" customWidth="1"/>
  </cols>
  <sheetData>
    <row r="4" spans="1:255" ht="17" x14ac:dyDescent="0.35">
      <c r="A4" s="1" t="s">
        <v>54</v>
      </c>
    </row>
    <row r="7" spans="1:255" x14ac:dyDescent="0.2">
      <c r="A7" s="2" t="s">
        <v>1</v>
      </c>
      <c r="B7" s="2"/>
      <c r="C7" s="2"/>
      <c r="D7" s="2"/>
      <c r="E7" s="2"/>
      <c r="F7" s="2"/>
      <c r="G7" s="2"/>
      <c r="H7" s="2"/>
      <c r="I7" s="2"/>
      <c r="J7" s="2"/>
      <c r="K7" s="2"/>
      <c r="L7" s="2"/>
      <c r="M7" s="2"/>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ht="10.5" x14ac:dyDescent="0.25">
      <c r="A8" s="3" t="s">
        <v>55</v>
      </c>
      <c r="B8" s="4" t="s">
        <v>3</v>
      </c>
    </row>
    <row r="9" spans="1:255" ht="10.5" x14ac:dyDescent="0.25">
      <c r="A9" s="3" t="s">
        <v>56</v>
      </c>
      <c r="B9" s="4" t="s">
        <v>5</v>
      </c>
    </row>
    <row r="10" spans="1:255" ht="10.5" x14ac:dyDescent="0.25">
      <c r="A10" s="3" t="s">
        <v>57</v>
      </c>
      <c r="B10" s="5">
        <v>45045</v>
      </c>
    </row>
    <row r="11" spans="1:255" x14ac:dyDescent="0.2">
      <c r="A11" s="6"/>
    </row>
    <row r="13" spans="1:255" x14ac:dyDescent="0.2">
      <c r="A13" s="2" t="s">
        <v>7</v>
      </c>
      <c r="B13" s="2"/>
      <c r="C13" s="2"/>
      <c r="D13" s="2"/>
      <c r="E13" s="2"/>
      <c r="F13" s="2"/>
      <c r="G13" s="2"/>
      <c r="H13" s="2"/>
      <c r="I13" s="2"/>
      <c r="J13" s="2"/>
      <c r="K13" s="2"/>
      <c r="L13" s="2"/>
      <c r="M13" s="2"/>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1" x14ac:dyDescent="0.2">
      <c r="A14" s="7" t="s">
        <v>8</v>
      </c>
      <c r="B14" s="11" t="s">
        <v>58</v>
      </c>
      <c r="C14" s="11" t="s">
        <v>59</v>
      </c>
      <c r="D14" s="11" t="s">
        <v>60</v>
      </c>
      <c r="E14" s="11" t="s">
        <v>61</v>
      </c>
      <c r="F14" s="11" t="s">
        <v>62</v>
      </c>
      <c r="G14" s="11" t="s">
        <v>63</v>
      </c>
      <c r="H14" s="11" t="s">
        <v>64</v>
      </c>
      <c r="I14" s="11" t="s">
        <v>65</v>
      </c>
      <c r="J14" s="11" t="s">
        <v>66</v>
      </c>
      <c r="K14" s="11" t="s">
        <v>67</v>
      </c>
      <c r="L14" s="11" t="s">
        <v>68</v>
      </c>
      <c r="M14" s="11" t="s">
        <v>69</v>
      </c>
    </row>
    <row r="15" spans="1:255" ht="12" customHeight="1" x14ac:dyDescent="0.2">
      <c r="A15" s="7" t="s">
        <v>25</v>
      </c>
      <c r="B15" s="20">
        <v>0.121</v>
      </c>
      <c r="C15" s="20">
        <v>4.2000000000000003E-2</v>
      </c>
      <c r="D15" s="20">
        <v>3.4000000000000002E-2</v>
      </c>
      <c r="E15" s="21">
        <v>2.58E-2</v>
      </c>
      <c r="F15" s="21">
        <v>0.115</v>
      </c>
      <c r="G15" s="21">
        <v>1.06E-2</v>
      </c>
      <c r="H15" s="21">
        <v>-2E-3</v>
      </c>
      <c r="I15" s="21">
        <v>9.7600000000000006E-2</v>
      </c>
      <c r="J15" s="21">
        <v>0.28610000000000002</v>
      </c>
      <c r="K15" s="22">
        <v>0.9</v>
      </c>
      <c r="L15" s="21">
        <v>0.113</v>
      </c>
      <c r="M15" s="12">
        <v>0.79</v>
      </c>
    </row>
    <row r="16" spans="1:255" ht="12" customHeight="1" x14ac:dyDescent="0.2">
      <c r="A16" s="7" t="s">
        <v>27</v>
      </c>
      <c r="B16" s="20">
        <v>0.312</v>
      </c>
      <c r="C16" s="20">
        <v>0.107</v>
      </c>
      <c r="D16" s="20">
        <v>8.7999999999999995E-2</v>
      </c>
      <c r="E16" s="21">
        <v>6.3799999999999996E-2</v>
      </c>
      <c r="F16" s="21">
        <v>0.10589999999999999</v>
      </c>
      <c r="G16" s="21">
        <v>4.9299999999999997E-2</v>
      </c>
      <c r="H16" s="21">
        <v>3.32E-2</v>
      </c>
      <c r="I16" s="21">
        <v>7.0000000000000001E-3</v>
      </c>
      <c r="J16" s="21">
        <v>0.76119999999999999</v>
      </c>
      <c r="K16" s="22">
        <v>3</v>
      </c>
      <c r="L16" s="21">
        <v>8.2299999999999998E-2</v>
      </c>
      <c r="M16" s="12">
        <v>0.32</v>
      </c>
    </row>
    <row r="17" spans="1:13" ht="12" customHeight="1" x14ac:dyDescent="0.2">
      <c r="A17" s="7" t="s">
        <v>28</v>
      </c>
      <c r="B17" s="20">
        <v>0.24099999999999999</v>
      </c>
      <c r="C17" s="20">
        <v>5.8000000000000003E-2</v>
      </c>
      <c r="D17" s="20">
        <v>0.04</v>
      </c>
      <c r="E17" s="21">
        <v>1.9099999999999999E-2</v>
      </c>
      <c r="F17" s="21">
        <v>6.7299999999999999E-2</v>
      </c>
      <c r="G17" s="21">
        <v>-9.2799999999999994E-2</v>
      </c>
      <c r="H17" s="21">
        <v>-0.1376</v>
      </c>
      <c r="I17" s="21">
        <v>-0.14580000000000001</v>
      </c>
      <c r="J17" s="21">
        <v>0.4209</v>
      </c>
      <c r="K17" s="22">
        <v>1.6</v>
      </c>
      <c r="L17" s="21">
        <v>7.3899999999999993E-2</v>
      </c>
      <c r="M17" s="12">
        <v>0.49</v>
      </c>
    </row>
    <row r="18" spans="1:13" ht="12" customHeight="1" x14ac:dyDescent="0.2">
      <c r="A18" s="7" t="s">
        <v>29</v>
      </c>
      <c r="B18" s="20">
        <v>0.315</v>
      </c>
      <c r="C18" s="20">
        <v>0.107</v>
      </c>
      <c r="D18" s="20">
        <v>0.08</v>
      </c>
      <c r="E18" s="21">
        <v>5.7000000000000002E-2</v>
      </c>
      <c r="F18" s="21">
        <v>7.6399999999999996E-2</v>
      </c>
      <c r="G18" s="21">
        <v>0.20230000000000001</v>
      </c>
      <c r="H18" s="21">
        <v>0.25359999999999999</v>
      </c>
      <c r="I18" s="21">
        <v>0.2165</v>
      </c>
      <c r="J18" s="21">
        <v>0.53639999999999999</v>
      </c>
      <c r="K18" s="22">
        <v>2</v>
      </c>
      <c r="L18" s="21">
        <v>9.2299999999999993E-2</v>
      </c>
      <c r="M18" s="12">
        <v>0.66</v>
      </c>
    </row>
    <row r="19" spans="1:13" ht="12" customHeight="1" x14ac:dyDescent="0.2">
      <c r="A19" s="7" t="s">
        <v>30</v>
      </c>
      <c r="B19" s="20">
        <v>0.17799999999999999</v>
      </c>
      <c r="C19" s="20">
        <v>4.9000000000000002E-2</v>
      </c>
      <c r="D19" s="20">
        <v>3.9E-2</v>
      </c>
      <c r="E19" s="21">
        <v>2.6599999999999999E-2</v>
      </c>
      <c r="F19" s="21">
        <v>0.15890000000000001</v>
      </c>
      <c r="G19" s="21">
        <v>0.16170000000000001</v>
      </c>
      <c r="H19" s="21">
        <v>0.1754</v>
      </c>
      <c r="I19" s="21">
        <v>0.20280000000000001</v>
      </c>
      <c r="J19" s="21">
        <v>0.74860000000000004</v>
      </c>
      <c r="K19" s="22">
        <v>2.4</v>
      </c>
      <c r="L19" s="21">
        <v>7.5200000000000003E-2</v>
      </c>
      <c r="M19" s="12">
        <v>0.48</v>
      </c>
    </row>
    <row r="20" spans="1:13" ht="12" customHeight="1" x14ac:dyDescent="0.2">
      <c r="A20" s="7" t="s">
        <v>31</v>
      </c>
      <c r="B20" s="20">
        <v>0.28000000000000003</v>
      </c>
      <c r="C20" s="20">
        <v>5.8000000000000003E-2</v>
      </c>
      <c r="D20" s="20">
        <v>5.0000000000000001E-3</v>
      </c>
      <c r="E20" s="21">
        <v>3.5099999999999999E-2</v>
      </c>
      <c r="F20" s="21">
        <v>0.17649999999999999</v>
      </c>
      <c r="G20" s="21">
        <v>0.16889999999999999</v>
      </c>
      <c r="H20" s="21">
        <v>-0.56730000000000003</v>
      </c>
      <c r="I20" s="21">
        <v>-0.34470000000000001</v>
      </c>
      <c r="J20" s="21">
        <v>0.44900000000000001</v>
      </c>
      <c r="K20" s="22">
        <v>6.5</v>
      </c>
      <c r="L20" s="21">
        <v>-0.37609999999999999</v>
      </c>
      <c r="M20" s="12">
        <v>0.5</v>
      </c>
    </row>
    <row r="21" spans="1:13" ht="10.5" x14ac:dyDescent="0.2">
      <c r="A21" s="7" t="s">
        <v>32</v>
      </c>
      <c r="B21" s="20">
        <v>0.246</v>
      </c>
      <c r="C21" s="20">
        <v>6.0999999999999999E-2</v>
      </c>
      <c r="D21" s="20">
        <v>3.5999999999999997E-2</v>
      </c>
      <c r="E21" s="21">
        <v>2.5499999999999998E-2</v>
      </c>
      <c r="F21" s="21">
        <v>2.9399999999999999E-2</v>
      </c>
      <c r="G21" s="21">
        <v>-0.43099999999999999</v>
      </c>
      <c r="H21" s="21">
        <v>-0.56299999999999994</v>
      </c>
      <c r="I21" s="21">
        <v>-0.5998</v>
      </c>
      <c r="J21" s="21">
        <v>0.63039999999999996</v>
      </c>
      <c r="K21" s="22">
        <v>2.7</v>
      </c>
      <c r="L21" s="21">
        <v>-4.9299999999999997E-2</v>
      </c>
      <c r="M21" s="12">
        <v>1.02</v>
      </c>
    </row>
    <row r="22" spans="1:13" ht="10.5" x14ac:dyDescent="0.2">
      <c r="A22" s="8"/>
      <c r="B22" s="8"/>
      <c r="C22" s="8"/>
      <c r="D22" s="8"/>
      <c r="E22" s="8"/>
      <c r="F22" s="8"/>
      <c r="G22" s="8"/>
      <c r="H22" s="8"/>
      <c r="I22" s="8"/>
      <c r="J22" s="8"/>
      <c r="K22" s="8"/>
      <c r="L22" s="8"/>
      <c r="M22" s="8"/>
    </row>
    <row r="23" spans="1:13" ht="12" customHeight="1" x14ac:dyDescent="0.2">
      <c r="A23" s="7" t="s">
        <v>33</v>
      </c>
      <c r="B23" s="11" t="s">
        <v>58</v>
      </c>
      <c r="C23" s="11" t="s">
        <v>59</v>
      </c>
      <c r="D23" s="11" t="s">
        <v>60</v>
      </c>
      <c r="E23" s="11" t="s">
        <v>61</v>
      </c>
      <c r="F23" s="11" t="s">
        <v>62</v>
      </c>
      <c r="G23" s="11" t="s">
        <v>63</v>
      </c>
      <c r="H23" s="11" t="s">
        <v>64</v>
      </c>
      <c r="I23" s="11" t="s">
        <v>65</v>
      </c>
      <c r="J23" s="11" t="s">
        <v>66</v>
      </c>
      <c r="K23" s="11" t="s">
        <v>67</v>
      </c>
      <c r="L23" s="11" t="s">
        <v>68</v>
      </c>
      <c r="M23" s="11" t="s">
        <v>69</v>
      </c>
    </row>
    <row r="24" spans="1:13" ht="10.5" x14ac:dyDescent="0.2">
      <c r="A24" s="7" t="s">
        <v>34</v>
      </c>
      <c r="B24" s="20">
        <v>0.315</v>
      </c>
      <c r="C24" s="20">
        <v>0.107</v>
      </c>
      <c r="D24" s="20">
        <v>8.7999999999999995E-2</v>
      </c>
      <c r="E24" s="21">
        <v>6.3799999999999996E-2</v>
      </c>
      <c r="F24" s="21">
        <v>0.17649999999999999</v>
      </c>
      <c r="G24" s="21">
        <v>0.20230000000000001</v>
      </c>
      <c r="H24" s="21">
        <v>0.25359999999999999</v>
      </c>
      <c r="I24" s="21">
        <v>0.2165</v>
      </c>
      <c r="J24" s="21">
        <v>0.76119999999999999</v>
      </c>
      <c r="K24" s="22">
        <v>6.5</v>
      </c>
      <c r="L24" s="21">
        <v>0.113</v>
      </c>
      <c r="M24" s="12">
        <v>0.79</v>
      </c>
    </row>
    <row r="25" spans="1:13" ht="10.5" x14ac:dyDescent="0.2">
      <c r="A25" s="7" t="s">
        <v>35</v>
      </c>
      <c r="B25" s="20">
        <v>0.121</v>
      </c>
      <c r="C25" s="20">
        <v>4.2000000000000003E-2</v>
      </c>
      <c r="D25" s="20">
        <v>5.0000000000000001E-3</v>
      </c>
      <c r="E25" s="21">
        <v>1.9099999999999999E-2</v>
      </c>
      <c r="F25" s="21">
        <v>6.7299999999999999E-2</v>
      </c>
      <c r="G25" s="21">
        <v>-9.2799999999999994E-2</v>
      </c>
      <c r="H25" s="21">
        <v>-0.56730000000000003</v>
      </c>
      <c r="I25" s="21">
        <v>-0.34470000000000001</v>
      </c>
      <c r="J25" s="21">
        <v>0.28610000000000002</v>
      </c>
      <c r="K25" s="22">
        <v>0.9</v>
      </c>
      <c r="L25" s="21">
        <v>-0.37609999999999999</v>
      </c>
      <c r="M25" s="12">
        <v>0.32</v>
      </c>
    </row>
    <row r="26" spans="1:13" ht="10.5" x14ac:dyDescent="0.2">
      <c r="A26" s="7" t="s">
        <v>36</v>
      </c>
      <c r="B26" s="20">
        <v>0.24099999999999999</v>
      </c>
      <c r="C26" s="20">
        <v>7.0000000000000007E-2</v>
      </c>
      <c r="D26" s="20">
        <v>4.8000000000000001E-2</v>
      </c>
      <c r="E26" s="21">
        <v>3.7900000000000003E-2</v>
      </c>
      <c r="F26" s="21">
        <v>0.1166</v>
      </c>
      <c r="G26" s="21">
        <v>8.3299999999999999E-2</v>
      </c>
      <c r="H26" s="21">
        <v>-4.0800000000000003E-2</v>
      </c>
      <c r="I26" s="21">
        <v>5.5999999999999999E-3</v>
      </c>
      <c r="J26" s="21">
        <v>0.53369999999999995</v>
      </c>
      <c r="K26" s="22">
        <v>2.7</v>
      </c>
      <c r="L26" s="21">
        <v>1.01E-2</v>
      </c>
      <c r="M26" s="12">
        <v>0.54</v>
      </c>
    </row>
    <row r="27" spans="1:13" ht="10.5" x14ac:dyDescent="0.2">
      <c r="A27" s="7" t="s">
        <v>37</v>
      </c>
      <c r="B27" s="20">
        <v>0.26100000000000001</v>
      </c>
      <c r="C27" s="20">
        <v>5.8000000000000003E-2</v>
      </c>
      <c r="D27" s="20">
        <v>3.9E-2</v>
      </c>
      <c r="E27" s="21">
        <v>3.0800000000000001E-2</v>
      </c>
      <c r="F27" s="21">
        <v>0.1104</v>
      </c>
      <c r="G27" s="21">
        <v>0.1055</v>
      </c>
      <c r="H27" s="21">
        <v>1.5599999999999999E-2</v>
      </c>
      <c r="I27" s="21">
        <v>5.2299999999999999E-2</v>
      </c>
      <c r="J27" s="21">
        <v>0.49270000000000003</v>
      </c>
      <c r="K27" s="22">
        <v>2.2000000000000002</v>
      </c>
      <c r="L27" s="21">
        <v>7.8799999999999995E-2</v>
      </c>
      <c r="M27" s="12">
        <v>0.49</v>
      </c>
    </row>
    <row r="28" spans="1:13" x14ac:dyDescent="0.2">
      <c r="A28" s="10"/>
      <c r="B28" s="10"/>
      <c r="C28" s="10"/>
      <c r="D28" s="10"/>
      <c r="E28" s="10"/>
      <c r="F28" s="10"/>
      <c r="G28" s="10"/>
      <c r="H28" s="10"/>
      <c r="I28" s="10"/>
      <c r="J28" s="10"/>
      <c r="K28" s="10"/>
      <c r="L28" s="10"/>
      <c r="M28" s="10"/>
    </row>
    <row r="30" spans="1:13" x14ac:dyDescent="0.2">
      <c r="A30" s="6" t="s">
        <v>38</v>
      </c>
    </row>
    <row r="35" spans="1:1" x14ac:dyDescent="0.2">
      <c r="A35" t="s">
        <v>39</v>
      </c>
    </row>
    <row r="36" spans="1:1" x14ac:dyDescent="0.2">
      <c r="A36" t="s">
        <v>40</v>
      </c>
    </row>
    <row r="44" spans="1:1" ht="20" x14ac:dyDescent="0.2">
      <c r="A44" s="18" t="s">
        <v>41</v>
      </c>
    </row>
    <row r="46" spans="1:1" ht="25" customHeight="1" x14ac:dyDescent="0.2"/>
  </sheetData>
  <pageMargins left="0.2" right="0.2" top="0.5" bottom="0.5" header="0.5" footer="0.5"/>
  <pageSetup fitToWidth="0" fitToHeight="0" orientation="landscape" horizontalDpi="300" verticalDpi="300"/>
  <headerFooter alignWithMargins="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98294-018F-4EB1-B9F4-95B6A13C3AFA}">
  <sheetPr codeName="Sheet6">
    <outlinePr summaryBelow="0" summaryRight="0"/>
  </sheetPr>
  <dimension ref="A4:IU40"/>
  <sheetViews>
    <sheetView defaultGridColor="0" colorId="0" workbookViewId="0"/>
  </sheetViews>
  <sheetFormatPr defaultRowHeight="10" x14ac:dyDescent="0.2"/>
  <cols>
    <col min="1" max="1" width="47.81640625" customWidth="1"/>
    <col min="2" max="3" width="25.81640625" customWidth="1"/>
    <col min="4" max="9" width="9.26953125"/>
  </cols>
  <sheetData>
    <row r="4" spans="1:255" ht="17" x14ac:dyDescent="0.35">
      <c r="A4" s="1" t="s">
        <v>70</v>
      </c>
    </row>
    <row r="7" spans="1:255" x14ac:dyDescent="0.2">
      <c r="A7" s="2" t="s">
        <v>1</v>
      </c>
      <c r="B7" s="2"/>
      <c r="C7" s="2"/>
      <c r="D7" s="41"/>
      <c r="E7" s="41"/>
      <c r="F7" s="41"/>
      <c r="G7" s="41"/>
      <c r="H7" s="41"/>
      <c r="I7" s="41"/>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ht="10.5" x14ac:dyDescent="0.25">
      <c r="A8" s="3" t="s">
        <v>71</v>
      </c>
      <c r="B8" s="4" t="s">
        <v>3</v>
      </c>
    </row>
    <row r="9" spans="1:255" ht="10.5" x14ac:dyDescent="0.25">
      <c r="A9" s="3" t="s">
        <v>72</v>
      </c>
      <c r="B9" s="4" t="s">
        <v>5</v>
      </c>
    </row>
    <row r="10" spans="1:255" ht="10.5" x14ac:dyDescent="0.25">
      <c r="A10" s="3" t="s">
        <v>73</v>
      </c>
      <c r="B10" s="5">
        <v>45045</v>
      </c>
    </row>
    <row r="11" spans="1:255" x14ac:dyDescent="0.2">
      <c r="A11" s="6"/>
    </row>
    <row r="13" spans="1:255" x14ac:dyDescent="0.2">
      <c r="A13" s="2" t="s">
        <v>7</v>
      </c>
      <c r="B13" s="2"/>
      <c r="C13" s="2"/>
      <c r="D13" s="41"/>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10.5" x14ac:dyDescent="0.2">
      <c r="A14" s="7" t="s">
        <v>8</v>
      </c>
      <c r="B14" s="7" t="s">
        <v>74</v>
      </c>
      <c r="C14" s="7" t="s">
        <v>75</v>
      </c>
    </row>
    <row r="15" spans="1:255" ht="12" customHeight="1" x14ac:dyDescent="0.2">
      <c r="A15" s="7" t="s">
        <v>25</v>
      </c>
      <c r="B15" s="23" t="s">
        <v>76</v>
      </c>
      <c r="C15" s="23" t="s">
        <v>77</v>
      </c>
    </row>
    <row r="16" spans="1:255" ht="12" customHeight="1" x14ac:dyDescent="0.2">
      <c r="A16" s="7" t="s">
        <v>27</v>
      </c>
      <c r="B16" s="23" t="s">
        <v>78</v>
      </c>
      <c r="C16" s="23" t="s">
        <v>79</v>
      </c>
    </row>
    <row r="17" spans="1:3" ht="12" customHeight="1" x14ac:dyDescent="0.2">
      <c r="A17" s="7" t="s">
        <v>28</v>
      </c>
      <c r="B17" s="23" t="s">
        <v>80</v>
      </c>
      <c r="C17" s="23" t="s">
        <v>81</v>
      </c>
    </row>
    <row r="18" spans="1:3" ht="12" customHeight="1" x14ac:dyDescent="0.2">
      <c r="A18" s="7" t="s">
        <v>29</v>
      </c>
      <c r="B18" s="23" t="s">
        <v>82</v>
      </c>
      <c r="C18" s="23" t="s">
        <v>83</v>
      </c>
    </row>
    <row r="19" spans="1:3" ht="12" customHeight="1" x14ac:dyDescent="0.2">
      <c r="A19" s="7" t="s">
        <v>30</v>
      </c>
      <c r="B19" s="23" t="s">
        <v>84</v>
      </c>
      <c r="C19" s="23" t="s">
        <v>85</v>
      </c>
    </row>
    <row r="20" spans="1:3" ht="12" customHeight="1" x14ac:dyDescent="0.2">
      <c r="A20" s="7" t="s">
        <v>31</v>
      </c>
      <c r="B20" s="23" t="s">
        <v>86</v>
      </c>
      <c r="C20" s="23" t="s">
        <v>87</v>
      </c>
    </row>
    <row r="21" spans="1:3" ht="10.5" x14ac:dyDescent="0.2">
      <c r="A21" s="8"/>
      <c r="B21" s="8"/>
      <c r="C21" s="8"/>
    </row>
    <row r="22" spans="1:3" ht="10.5" x14ac:dyDescent="0.2">
      <c r="A22" s="9"/>
      <c r="B22" s="9"/>
      <c r="C22" s="9"/>
    </row>
    <row r="23" spans="1:3" ht="12" customHeight="1" x14ac:dyDescent="0.2">
      <c r="A23" s="7" t="s">
        <v>32</v>
      </c>
      <c r="B23" s="23" t="s">
        <v>88</v>
      </c>
      <c r="C23" s="23" t="s">
        <v>89</v>
      </c>
    </row>
    <row r="24" spans="1:3" x14ac:dyDescent="0.2">
      <c r="A24" s="10"/>
      <c r="B24" s="10"/>
      <c r="C24" s="10"/>
    </row>
    <row r="26" spans="1:3" x14ac:dyDescent="0.2">
      <c r="A26" s="6" t="s">
        <v>38</v>
      </c>
    </row>
    <row r="31" spans="1:3" x14ac:dyDescent="0.2">
      <c r="A31" t="s">
        <v>39</v>
      </c>
    </row>
    <row r="32" spans="1:3" x14ac:dyDescent="0.2">
      <c r="A32" t="s">
        <v>40</v>
      </c>
    </row>
    <row r="40" spans="1:1" ht="25" customHeight="1" x14ac:dyDescent="0.2">
      <c r="A40" s="18" t="s">
        <v>41</v>
      </c>
    </row>
  </sheetData>
  <pageMargins left="0.2" right="0.2" top="0.5" bottom="0.5" header="0.5" footer="0.5"/>
  <pageSetup fitToWidth="0" fitToHeight="0" orientation="landscape" horizontalDpi="300" verticalDpi="300"/>
  <headerFooter alignWithMargins="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4DFFA4-325D-4152-B2C3-327C9530FB96}">
  <sheetPr codeName="Sheet7">
    <outlinePr summaryBelow="0" summaryRight="0"/>
  </sheetPr>
  <dimension ref="A4:IU69"/>
  <sheetViews>
    <sheetView defaultGridColor="0" colorId="0" workbookViewId="0"/>
  </sheetViews>
  <sheetFormatPr defaultRowHeight="10" x14ac:dyDescent="0.2"/>
  <cols>
    <col min="1" max="1" width="25.81640625" customWidth="1"/>
    <col min="2" max="3" width="20.81640625" customWidth="1"/>
    <col min="4" max="9" width="25.81640625" customWidth="1"/>
  </cols>
  <sheetData>
    <row r="4" spans="1:255" ht="17" x14ac:dyDescent="0.35">
      <c r="A4" s="1" t="s">
        <v>90</v>
      </c>
    </row>
    <row r="7" spans="1:255" x14ac:dyDescent="0.2">
      <c r="A7" s="2" t="s">
        <v>1</v>
      </c>
      <c r="B7" s="2"/>
      <c r="C7" s="2"/>
      <c r="D7" s="2"/>
      <c r="E7" s="2"/>
      <c r="F7" s="2"/>
      <c r="G7" s="2"/>
      <c r="H7" s="2"/>
      <c r="I7" s="2"/>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ht="10.5" x14ac:dyDescent="0.25">
      <c r="A8" s="3" t="s">
        <v>91</v>
      </c>
      <c r="B8" s="4" t="s">
        <v>3</v>
      </c>
    </row>
    <row r="9" spans="1:255" ht="10.5" x14ac:dyDescent="0.25">
      <c r="A9" s="3" t="s">
        <v>92</v>
      </c>
      <c r="B9" s="4" t="s">
        <v>5</v>
      </c>
    </row>
    <row r="10" spans="1:255" ht="10.5" x14ac:dyDescent="0.25">
      <c r="A10" s="3" t="s">
        <v>93</v>
      </c>
      <c r="B10" s="5">
        <v>45045</v>
      </c>
    </row>
    <row r="11" spans="1:255" x14ac:dyDescent="0.2">
      <c r="A11" s="6"/>
    </row>
    <row r="13" spans="1:255" x14ac:dyDescent="0.2">
      <c r="A13" s="2" t="s">
        <v>7</v>
      </c>
      <c r="B13" s="2"/>
      <c r="C13" s="2"/>
      <c r="D13" s="2"/>
      <c r="E13" s="2"/>
      <c r="F13" s="2"/>
      <c r="G13" s="2"/>
      <c r="H13" s="2"/>
      <c r="I13" s="2"/>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10.5" x14ac:dyDescent="0.2">
      <c r="A14" s="9" t="s">
        <v>8</v>
      </c>
      <c r="B14" s="11" t="s">
        <v>18</v>
      </c>
      <c r="C14" s="11" t="s">
        <v>19</v>
      </c>
      <c r="D14" s="11" t="s">
        <v>20</v>
      </c>
      <c r="E14" s="11" t="s">
        <v>22</v>
      </c>
      <c r="F14" s="11" t="s">
        <v>23</v>
      </c>
      <c r="G14" s="11" t="s">
        <v>94</v>
      </c>
      <c r="H14" s="11" t="s">
        <v>24</v>
      </c>
      <c r="I14" s="11" t="s">
        <v>16</v>
      </c>
    </row>
    <row r="15" spans="1:255" ht="12" customHeight="1" x14ac:dyDescent="0.2">
      <c r="A15" s="7" t="s">
        <v>32</v>
      </c>
      <c r="B15" s="13">
        <v>109120</v>
      </c>
      <c r="C15" s="13">
        <v>6660</v>
      </c>
      <c r="D15" s="13">
        <v>3960</v>
      </c>
      <c r="E15" s="12">
        <v>111370.91</v>
      </c>
      <c r="F15" s="12">
        <v>8205.02</v>
      </c>
      <c r="G15" s="12">
        <v>6.02</v>
      </c>
      <c r="H15" s="12">
        <v>8.52</v>
      </c>
      <c r="I15" s="12">
        <v>23</v>
      </c>
    </row>
    <row r="16" spans="1:255" ht="10.5" x14ac:dyDescent="0.2">
      <c r="A16" s="8"/>
      <c r="B16" s="8"/>
      <c r="C16" s="8"/>
      <c r="D16" s="8"/>
      <c r="E16" s="8"/>
      <c r="F16" s="8"/>
      <c r="G16" s="8"/>
      <c r="H16" s="8"/>
      <c r="I16" s="8"/>
    </row>
    <row r="17" spans="1:9" ht="10.5" x14ac:dyDescent="0.2">
      <c r="A17" s="9"/>
      <c r="B17" s="9" t="s">
        <v>95</v>
      </c>
      <c r="C17" s="9" t="s">
        <v>95</v>
      </c>
      <c r="D17" s="9" t="s">
        <v>95</v>
      </c>
      <c r="E17" s="9" t="s">
        <v>96</v>
      </c>
      <c r="F17" s="9" t="s">
        <v>95</v>
      </c>
      <c r="G17" s="9" t="s">
        <v>95</v>
      </c>
      <c r="H17" s="9" t="s">
        <v>97</v>
      </c>
      <c r="I17" s="9" t="s">
        <v>95</v>
      </c>
    </row>
    <row r="18" spans="1:9" ht="21" x14ac:dyDescent="0.2">
      <c r="A18" s="9"/>
      <c r="B18" s="11" t="s">
        <v>46</v>
      </c>
      <c r="C18" s="11" t="s">
        <v>47</v>
      </c>
      <c r="D18" s="11" t="s">
        <v>48</v>
      </c>
      <c r="E18" s="11" t="s">
        <v>98</v>
      </c>
      <c r="F18" s="11" t="s">
        <v>99</v>
      </c>
      <c r="G18" s="11" t="s">
        <v>49</v>
      </c>
      <c r="H18" s="11" t="s">
        <v>100</v>
      </c>
      <c r="I18" s="11" t="s">
        <v>50</v>
      </c>
    </row>
    <row r="19" spans="1:9" ht="10.5" x14ac:dyDescent="0.2">
      <c r="A19" s="9" t="s">
        <v>34</v>
      </c>
      <c r="B19" s="14" t="s">
        <v>101</v>
      </c>
      <c r="C19" s="14" t="s">
        <v>101</v>
      </c>
      <c r="D19" s="14" t="s">
        <v>101</v>
      </c>
      <c r="E19" s="19">
        <v>1.64</v>
      </c>
      <c r="F19" s="19">
        <v>19.86</v>
      </c>
      <c r="G19" s="14" t="s">
        <v>101</v>
      </c>
      <c r="H19" s="19">
        <v>33.369999999999997</v>
      </c>
      <c r="I19" s="14" t="s">
        <v>101</v>
      </c>
    </row>
    <row r="20" spans="1:9" ht="10.5" x14ac:dyDescent="0.2">
      <c r="A20" s="9" t="s">
        <v>35</v>
      </c>
      <c r="B20" s="14" t="s">
        <v>101</v>
      </c>
      <c r="C20" s="14" t="s">
        <v>101</v>
      </c>
      <c r="D20" s="14" t="s">
        <v>101</v>
      </c>
      <c r="E20" s="19">
        <v>0.46</v>
      </c>
      <c r="F20" s="19">
        <v>8.7100000000000009</v>
      </c>
      <c r="G20" s="14" t="s">
        <v>101</v>
      </c>
      <c r="H20" s="19">
        <v>10.01</v>
      </c>
      <c r="I20" s="14" t="s">
        <v>101</v>
      </c>
    </row>
    <row r="21" spans="1:9" ht="10.5" x14ac:dyDescent="0.2">
      <c r="A21" s="9" t="s">
        <v>36</v>
      </c>
      <c r="B21" s="14" t="s">
        <v>101</v>
      </c>
      <c r="C21" s="14" t="s">
        <v>101</v>
      </c>
      <c r="D21" s="14" t="s">
        <v>101</v>
      </c>
      <c r="E21" s="19">
        <v>0.97</v>
      </c>
      <c r="F21" s="19">
        <v>13.98</v>
      </c>
      <c r="G21" s="14" t="s">
        <v>101</v>
      </c>
      <c r="H21" s="19">
        <v>21.69</v>
      </c>
      <c r="I21" s="14" t="s">
        <v>101</v>
      </c>
    </row>
    <row r="22" spans="1:9" ht="10.5" x14ac:dyDescent="0.2">
      <c r="A22" s="9" t="s">
        <v>37</v>
      </c>
      <c r="B22" s="14" t="s">
        <v>101</v>
      </c>
      <c r="C22" s="14" t="s">
        <v>101</v>
      </c>
      <c r="D22" s="14" t="s">
        <v>101</v>
      </c>
      <c r="E22" s="19">
        <v>0.81</v>
      </c>
      <c r="F22" s="19">
        <v>13.86</v>
      </c>
      <c r="G22" s="14" t="s">
        <v>101</v>
      </c>
      <c r="H22" s="19">
        <v>21.4</v>
      </c>
      <c r="I22" s="14" t="s">
        <v>101</v>
      </c>
    </row>
    <row r="23" spans="1:9" ht="10.5" x14ac:dyDescent="0.2">
      <c r="A23" s="8"/>
      <c r="B23" s="8"/>
      <c r="C23" s="8"/>
      <c r="D23" s="8"/>
      <c r="E23" s="8"/>
      <c r="F23" s="8"/>
      <c r="G23" s="8"/>
      <c r="H23" s="8"/>
      <c r="I23" s="8"/>
    </row>
    <row r="24" spans="1:9" ht="10.5" x14ac:dyDescent="0.2">
      <c r="A24" s="9" t="s">
        <v>102</v>
      </c>
      <c r="B24" s="9"/>
      <c r="C24" s="9"/>
      <c r="D24" s="9"/>
      <c r="E24" s="9"/>
      <c r="F24" s="9"/>
      <c r="G24" s="9"/>
      <c r="H24" s="9"/>
      <c r="I24" s="9"/>
    </row>
    <row r="25" spans="1:9" ht="10.5" x14ac:dyDescent="0.2">
      <c r="A25" s="7" t="s">
        <v>34</v>
      </c>
      <c r="B25" s="14" t="s">
        <v>103</v>
      </c>
      <c r="C25" s="14" t="s">
        <v>103</v>
      </c>
      <c r="D25" s="14" t="s">
        <v>103</v>
      </c>
      <c r="E25" s="12">
        <v>183056.89</v>
      </c>
      <c r="F25" s="12">
        <v>162950.96</v>
      </c>
      <c r="G25" s="8"/>
      <c r="H25" s="8"/>
      <c r="I25" s="8"/>
    </row>
    <row r="26" spans="1:9" ht="10.5" x14ac:dyDescent="0.2">
      <c r="A26" s="7" t="s">
        <v>35</v>
      </c>
      <c r="B26" s="14" t="s">
        <v>103</v>
      </c>
      <c r="C26" s="14" t="s">
        <v>103</v>
      </c>
      <c r="D26" s="14" t="s">
        <v>103</v>
      </c>
      <c r="E26" s="12">
        <v>51003.83</v>
      </c>
      <c r="F26" s="12">
        <v>71441.45</v>
      </c>
      <c r="G26" s="8"/>
      <c r="H26" s="8"/>
      <c r="I26" s="8"/>
    </row>
    <row r="27" spans="1:9" ht="10.5" x14ac:dyDescent="0.2">
      <c r="A27" s="7" t="s">
        <v>36</v>
      </c>
      <c r="B27" s="14" t="s">
        <v>103</v>
      </c>
      <c r="C27" s="14" t="s">
        <v>103</v>
      </c>
      <c r="D27" s="14" t="s">
        <v>103</v>
      </c>
      <c r="E27" s="12">
        <v>107513.17</v>
      </c>
      <c r="F27" s="12">
        <v>114706.79</v>
      </c>
      <c r="G27" s="8"/>
      <c r="H27" s="8"/>
      <c r="I27" s="8"/>
    </row>
    <row r="28" spans="1:9" ht="10.5" x14ac:dyDescent="0.2">
      <c r="A28" s="7" t="s">
        <v>37</v>
      </c>
      <c r="B28" s="14" t="s">
        <v>103</v>
      </c>
      <c r="C28" s="14" t="s">
        <v>103</v>
      </c>
      <c r="D28" s="14" t="s">
        <v>103</v>
      </c>
      <c r="E28" s="12">
        <v>90062.13</v>
      </c>
      <c r="F28" s="12">
        <v>113741.45</v>
      </c>
      <c r="G28" s="8"/>
      <c r="H28" s="8"/>
      <c r="I28" s="8"/>
    </row>
    <row r="29" spans="1:9" ht="10.5" x14ac:dyDescent="0.2">
      <c r="A29" s="8"/>
      <c r="B29" s="8"/>
      <c r="C29" s="8"/>
      <c r="D29" s="8"/>
      <c r="E29" s="8"/>
      <c r="F29" s="8"/>
      <c r="G29" s="8"/>
      <c r="H29" s="8"/>
      <c r="I29" s="8"/>
    </row>
    <row r="30" spans="1:9" ht="12" customHeight="1" x14ac:dyDescent="0.2">
      <c r="A30" s="9" t="s">
        <v>104</v>
      </c>
      <c r="B30" s="13">
        <v>2229</v>
      </c>
      <c r="C30" s="13">
        <v>2229</v>
      </c>
      <c r="D30" s="13">
        <v>2229</v>
      </c>
      <c r="E30" s="13">
        <v>2229</v>
      </c>
      <c r="F30" s="13">
        <v>2229</v>
      </c>
      <c r="G30" s="8"/>
      <c r="H30" s="8"/>
      <c r="I30" s="8"/>
    </row>
    <row r="31" spans="1:9" ht="12" customHeight="1" x14ac:dyDescent="0.2">
      <c r="A31" s="9" t="s">
        <v>105</v>
      </c>
      <c r="B31" s="13">
        <v>19154</v>
      </c>
      <c r="C31" s="13">
        <v>19154</v>
      </c>
      <c r="D31" s="13">
        <v>19154</v>
      </c>
      <c r="E31" s="13">
        <v>19154</v>
      </c>
      <c r="F31" s="13">
        <v>19154</v>
      </c>
      <c r="G31" s="8"/>
      <c r="H31" s="8"/>
      <c r="I31" s="8"/>
    </row>
    <row r="32" spans="1:9" ht="12" customHeight="1" x14ac:dyDescent="0.2">
      <c r="A32" s="9" t="s">
        <v>106</v>
      </c>
      <c r="B32" s="14" t="s">
        <v>26</v>
      </c>
      <c r="C32" s="14" t="s">
        <v>26</v>
      </c>
      <c r="D32" s="14" t="s">
        <v>26</v>
      </c>
      <c r="E32" s="14" t="s">
        <v>26</v>
      </c>
      <c r="F32" s="14" t="s">
        <v>26</v>
      </c>
      <c r="G32" s="8"/>
      <c r="H32" s="8"/>
      <c r="I32" s="8"/>
    </row>
    <row r="33" spans="1:9" ht="12" customHeight="1" x14ac:dyDescent="0.2">
      <c r="A33" s="9" t="s">
        <v>107</v>
      </c>
      <c r="B33" s="14" t="s">
        <v>26</v>
      </c>
      <c r="C33" s="14" t="s">
        <v>26</v>
      </c>
      <c r="D33" s="14" t="s">
        <v>26</v>
      </c>
      <c r="E33" s="14" t="s">
        <v>26</v>
      </c>
      <c r="F33" s="14" t="s">
        <v>26</v>
      </c>
      <c r="G33" s="8"/>
      <c r="H33" s="8"/>
      <c r="I33" s="8"/>
    </row>
    <row r="34" spans="1:9" ht="10.5" x14ac:dyDescent="0.2">
      <c r="A34" s="8"/>
      <c r="B34" s="8"/>
      <c r="C34" s="8"/>
      <c r="D34" s="8"/>
      <c r="E34" s="8"/>
      <c r="F34" s="8"/>
      <c r="G34" s="8"/>
      <c r="H34" s="8"/>
      <c r="I34" s="8"/>
    </row>
    <row r="35" spans="1:9" ht="10.5" x14ac:dyDescent="0.2">
      <c r="A35" s="9" t="s">
        <v>108</v>
      </c>
      <c r="B35" s="9"/>
      <c r="C35" s="9"/>
      <c r="D35" s="9"/>
      <c r="E35" s="9"/>
      <c r="F35" s="9"/>
      <c r="G35" s="9"/>
      <c r="H35" s="9"/>
      <c r="I35" s="9"/>
    </row>
    <row r="36" spans="1:9" ht="10.5" x14ac:dyDescent="0.2">
      <c r="A36" s="7" t="s">
        <v>34</v>
      </c>
      <c r="B36" s="14" t="s">
        <v>103</v>
      </c>
      <c r="C36" s="14" t="s">
        <v>103</v>
      </c>
      <c r="D36" s="14" t="s">
        <v>103</v>
      </c>
      <c r="E36" s="12">
        <v>166131.89000000001</v>
      </c>
      <c r="F36" s="12">
        <v>146025.96</v>
      </c>
      <c r="G36" s="14" t="s">
        <v>103</v>
      </c>
      <c r="H36" s="12">
        <v>130922.69</v>
      </c>
      <c r="I36" s="14" t="s">
        <v>103</v>
      </c>
    </row>
    <row r="37" spans="1:9" ht="10.5" x14ac:dyDescent="0.2">
      <c r="A37" s="7" t="s">
        <v>35</v>
      </c>
      <c r="B37" s="14" t="s">
        <v>103</v>
      </c>
      <c r="C37" s="14" t="s">
        <v>103</v>
      </c>
      <c r="D37" s="14" t="s">
        <v>103</v>
      </c>
      <c r="E37" s="12">
        <v>34078.83</v>
      </c>
      <c r="F37" s="12">
        <v>54516.45</v>
      </c>
      <c r="G37" s="14" t="s">
        <v>103</v>
      </c>
      <c r="H37" s="12">
        <v>39281.620000000003</v>
      </c>
      <c r="I37" s="14" t="s">
        <v>103</v>
      </c>
    </row>
    <row r="38" spans="1:9" ht="10.5" x14ac:dyDescent="0.2">
      <c r="A38" s="7" t="s">
        <v>36</v>
      </c>
      <c r="B38" s="14" t="s">
        <v>103</v>
      </c>
      <c r="C38" s="14" t="s">
        <v>103</v>
      </c>
      <c r="D38" s="14" t="s">
        <v>103</v>
      </c>
      <c r="E38" s="12">
        <v>90588.17</v>
      </c>
      <c r="F38" s="12">
        <v>97781.79</v>
      </c>
      <c r="G38" s="14" t="s">
        <v>103</v>
      </c>
      <c r="H38" s="12">
        <v>85100.95</v>
      </c>
      <c r="I38" s="14" t="s">
        <v>103</v>
      </c>
    </row>
    <row r="39" spans="1:9" ht="10.5" x14ac:dyDescent="0.2">
      <c r="A39" s="7" t="s">
        <v>37</v>
      </c>
      <c r="B39" s="14" t="s">
        <v>103</v>
      </c>
      <c r="C39" s="14" t="s">
        <v>103</v>
      </c>
      <c r="D39" s="14" t="s">
        <v>103</v>
      </c>
      <c r="E39" s="12">
        <v>73137.13</v>
      </c>
      <c r="F39" s="12">
        <v>96816.45</v>
      </c>
      <c r="G39" s="14" t="s">
        <v>103</v>
      </c>
      <c r="H39" s="12">
        <v>83956.36</v>
      </c>
      <c r="I39" s="14" t="s">
        <v>103</v>
      </c>
    </row>
    <row r="40" spans="1:9" ht="10.5" x14ac:dyDescent="0.2">
      <c r="A40" s="8"/>
      <c r="B40" s="8"/>
      <c r="C40" s="8"/>
      <c r="D40" s="8"/>
      <c r="E40" s="8"/>
      <c r="F40" s="8"/>
      <c r="G40" s="8"/>
      <c r="H40" s="8"/>
      <c r="I40" s="8"/>
    </row>
    <row r="41" spans="1:9" ht="12" customHeight="1" x14ac:dyDescent="0.2">
      <c r="A41" s="9" t="s">
        <v>109</v>
      </c>
      <c r="B41" s="12">
        <v>460.36</v>
      </c>
      <c r="C41" s="12">
        <v>460.36</v>
      </c>
      <c r="D41" s="12">
        <v>460.36</v>
      </c>
      <c r="E41" s="12">
        <v>460.36</v>
      </c>
      <c r="F41" s="12">
        <v>460.36</v>
      </c>
      <c r="G41" s="12">
        <v>460.36</v>
      </c>
      <c r="H41" s="12">
        <v>460.36</v>
      </c>
      <c r="I41" s="12">
        <v>460.36</v>
      </c>
    </row>
    <row r="42" spans="1:9" ht="10.5" x14ac:dyDescent="0.2">
      <c r="A42" s="8"/>
      <c r="B42" s="8"/>
      <c r="C42" s="8"/>
      <c r="D42" s="8"/>
      <c r="E42" s="8"/>
      <c r="F42" s="8"/>
      <c r="G42" s="8"/>
      <c r="H42" s="8"/>
      <c r="I42" s="8"/>
    </row>
    <row r="43" spans="1:9" ht="10.5" x14ac:dyDescent="0.2">
      <c r="A43" s="9" t="s">
        <v>110</v>
      </c>
      <c r="B43" s="9"/>
      <c r="C43" s="9"/>
      <c r="D43" s="9"/>
      <c r="E43" s="9"/>
      <c r="F43" s="9"/>
      <c r="G43" s="9"/>
      <c r="H43" s="9"/>
      <c r="I43" s="9"/>
    </row>
    <row r="44" spans="1:9" ht="10.5" x14ac:dyDescent="0.2">
      <c r="A44" s="7" t="s">
        <v>34</v>
      </c>
      <c r="B44" s="14" t="s">
        <v>103</v>
      </c>
      <c r="C44" s="14" t="s">
        <v>103</v>
      </c>
      <c r="D44" s="14" t="s">
        <v>103</v>
      </c>
      <c r="E44" s="12">
        <v>360.87</v>
      </c>
      <c r="F44" s="12">
        <v>317.2</v>
      </c>
      <c r="G44" s="14" t="s">
        <v>103</v>
      </c>
      <c r="H44" s="12">
        <v>284.39</v>
      </c>
      <c r="I44" s="14" t="s">
        <v>103</v>
      </c>
    </row>
    <row r="45" spans="1:9" ht="10.5" x14ac:dyDescent="0.2">
      <c r="A45" s="7" t="s">
        <v>35</v>
      </c>
      <c r="B45" s="14" t="s">
        <v>103</v>
      </c>
      <c r="C45" s="14" t="s">
        <v>103</v>
      </c>
      <c r="D45" s="14" t="s">
        <v>103</v>
      </c>
      <c r="E45" s="12">
        <v>74.03</v>
      </c>
      <c r="F45" s="12">
        <v>118.42</v>
      </c>
      <c r="G45" s="14" t="s">
        <v>103</v>
      </c>
      <c r="H45" s="12">
        <v>85.33</v>
      </c>
      <c r="I45" s="14" t="s">
        <v>103</v>
      </c>
    </row>
    <row r="46" spans="1:9" ht="10.5" x14ac:dyDescent="0.2">
      <c r="A46" s="7" t="s">
        <v>36</v>
      </c>
      <c r="B46" s="14" t="s">
        <v>103</v>
      </c>
      <c r="C46" s="14" t="s">
        <v>103</v>
      </c>
      <c r="D46" s="14" t="s">
        <v>103</v>
      </c>
      <c r="E46" s="12">
        <v>196.78</v>
      </c>
      <c r="F46" s="12">
        <v>212.4</v>
      </c>
      <c r="G46" s="14" t="s">
        <v>103</v>
      </c>
      <c r="H46" s="12">
        <v>184.86</v>
      </c>
      <c r="I46" s="14" t="s">
        <v>103</v>
      </c>
    </row>
    <row r="47" spans="1:9" ht="10.5" x14ac:dyDescent="0.2">
      <c r="A47" s="7" t="s">
        <v>37</v>
      </c>
      <c r="B47" s="14" t="s">
        <v>103</v>
      </c>
      <c r="C47" s="14" t="s">
        <v>103</v>
      </c>
      <c r="D47" s="14" t="s">
        <v>103</v>
      </c>
      <c r="E47" s="12">
        <v>158.87</v>
      </c>
      <c r="F47" s="12">
        <v>210.3</v>
      </c>
      <c r="G47" s="14" t="s">
        <v>103</v>
      </c>
      <c r="H47" s="12">
        <v>182.37</v>
      </c>
      <c r="I47" s="14" t="s">
        <v>103</v>
      </c>
    </row>
    <row r="48" spans="1:9" ht="10.5" x14ac:dyDescent="0.2">
      <c r="A48" s="8"/>
      <c r="B48" s="8"/>
      <c r="C48" s="8"/>
      <c r="D48" s="8"/>
      <c r="E48" s="8"/>
      <c r="F48" s="8"/>
      <c r="G48" s="8"/>
      <c r="H48" s="8"/>
      <c r="I48" s="8"/>
    </row>
    <row r="49" spans="1:9" ht="10.5" x14ac:dyDescent="0.2">
      <c r="A49" s="9" t="s">
        <v>111</v>
      </c>
      <c r="B49" s="11" t="s">
        <v>112</v>
      </c>
      <c r="C49" s="11" t="s">
        <v>113</v>
      </c>
      <c r="D49" s="9"/>
      <c r="E49" s="9"/>
      <c r="F49" s="9"/>
      <c r="G49" s="9"/>
      <c r="H49" s="9"/>
      <c r="I49" s="9"/>
    </row>
    <row r="50" spans="1:9" ht="10.5" x14ac:dyDescent="0.2">
      <c r="A50" s="9" t="s">
        <v>34</v>
      </c>
      <c r="B50" s="24">
        <v>147693.51</v>
      </c>
      <c r="C50" s="24">
        <v>320.82</v>
      </c>
      <c r="D50" s="8"/>
      <c r="E50" s="8"/>
      <c r="F50" s="8"/>
      <c r="G50" s="8"/>
      <c r="H50" s="8"/>
      <c r="I50" s="8"/>
    </row>
    <row r="51" spans="1:9" ht="10.5" x14ac:dyDescent="0.2">
      <c r="A51" s="9" t="s">
        <v>35</v>
      </c>
      <c r="B51" s="24">
        <v>42625.63</v>
      </c>
      <c r="C51" s="24">
        <v>92.59</v>
      </c>
      <c r="D51" s="8"/>
      <c r="E51" s="8"/>
      <c r="F51" s="8"/>
      <c r="G51" s="8"/>
      <c r="H51" s="8"/>
      <c r="I51" s="8"/>
    </row>
    <row r="52" spans="1:9" ht="10.5" x14ac:dyDescent="0.2">
      <c r="A52" s="9" t="s">
        <v>36</v>
      </c>
      <c r="B52" s="24">
        <v>91156.97</v>
      </c>
      <c r="C52" s="24">
        <v>198.01</v>
      </c>
      <c r="D52" s="8"/>
      <c r="E52" s="8"/>
      <c r="F52" s="8"/>
      <c r="G52" s="8"/>
      <c r="H52" s="8"/>
      <c r="I52" s="8"/>
    </row>
    <row r="53" spans="1:9" ht="10.5" x14ac:dyDescent="0.2">
      <c r="A53" s="9" t="s">
        <v>37</v>
      </c>
      <c r="B53" s="24">
        <v>84636.65</v>
      </c>
      <c r="C53" s="24">
        <v>183.85</v>
      </c>
      <c r="D53" s="8"/>
      <c r="E53" s="8"/>
      <c r="F53" s="8"/>
      <c r="G53" s="8"/>
      <c r="H53" s="8"/>
      <c r="I53" s="8"/>
    </row>
    <row r="54" spans="1:9" x14ac:dyDescent="0.2">
      <c r="A54" s="10"/>
      <c r="B54" s="10"/>
      <c r="C54" s="10"/>
      <c r="D54" s="10"/>
      <c r="E54" s="10"/>
      <c r="F54" s="10"/>
      <c r="G54" s="10"/>
      <c r="H54" s="10"/>
      <c r="I54" s="10"/>
    </row>
    <row r="55" spans="1:9" x14ac:dyDescent="0.2">
      <c r="A55" s="6"/>
    </row>
    <row r="60" spans="1:9" x14ac:dyDescent="0.2">
      <c r="A60" t="s">
        <v>39</v>
      </c>
    </row>
    <row r="69" spans="1:1" ht="25" customHeight="1" x14ac:dyDescent="0.2">
      <c r="A69" s="18" t="s">
        <v>41</v>
      </c>
    </row>
  </sheetData>
  <pageMargins left="0.2" right="0.2" top="0.5" bottom="0.5" header="0.5" footer="0.5"/>
  <pageSetup fitToWidth="0" fitToHeight="0" orientation="landscape" horizontalDpi="300" verticalDpi="300"/>
  <headerFooter alignWithMargins="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4BCE9E-BDE0-4E72-9D8F-DF9696A96DB4}">
  <sheetPr codeName="Sheet8">
    <outlinePr summaryBelow="0" summaryRight="0"/>
  </sheetPr>
  <dimension ref="A4:IU32"/>
  <sheetViews>
    <sheetView defaultGridColor="0" colorId="0" workbookViewId="0"/>
  </sheetViews>
  <sheetFormatPr defaultRowHeight="10" x14ac:dyDescent="0.2"/>
  <cols>
    <col min="1" max="1" width="25.81640625" customWidth="1"/>
    <col min="2" max="2" width="75.81640625" customWidth="1"/>
    <col min="3" max="8" width="9.26953125"/>
  </cols>
  <sheetData>
    <row r="4" spans="1:255" ht="17" x14ac:dyDescent="0.35">
      <c r="A4" s="1" t="s">
        <v>114</v>
      </c>
    </row>
    <row r="7" spans="1:255" x14ac:dyDescent="0.2">
      <c r="A7" s="2" t="s">
        <v>1</v>
      </c>
      <c r="B7" s="2"/>
      <c r="C7" s="41"/>
      <c r="D7" s="41"/>
      <c r="E7" s="41"/>
      <c r="F7" s="41"/>
      <c r="G7" s="41"/>
      <c r="H7" s="41"/>
      <c r="I7" s="41"/>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ht="10.5" x14ac:dyDescent="0.25">
      <c r="A8" s="3" t="s">
        <v>115</v>
      </c>
      <c r="B8" s="4" t="s">
        <v>3</v>
      </c>
    </row>
    <row r="9" spans="1:255" ht="10.5" x14ac:dyDescent="0.25">
      <c r="A9" s="3" t="s">
        <v>116</v>
      </c>
      <c r="B9" s="4" t="s">
        <v>5</v>
      </c>
    </row>
    <row r="10" spans="1:255" ht="10.5" x14ac:dyDescent="0.25">
      <c r="A10" s="3" t="s">
        <v>117</v>
      </c>
      <c r="B10" s="5">
        <v>45045</v>
      </c>
    </row>
    <row r="11" spans="1:255" x14ac:dyDescent="0.2">
      <c r="A11" s="6"/>
    </row>
    <row r="13" spans="1:255" x14ac:dyDescent="0.2">
      <c r="A13" s="2" t="s">
        <v>7</v>
      </c>
      <c r="B13" s="2"/>
      <c r="C13" s="41"/>
      <c r="D13" s="41"/>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10.5" x14ac:dyDescent="0.2">
      <c r="A14" s="25"/>
      <c r="B14" s="27"/>
    </row>
    <row r="15" spans="1:255" ht="400" customHeight="1" x14ac:dyDescent="0.2">
      <c r="A15" s="26"/>
      <c r="B15" s="10"/>
    </row>
    <row r="18" spans="1:1" x14ac:dyDescent="0.2">
      <c r="A18" s="6"/>
    </row>
    <row r="23" spans="1:1" x14ac:dyDescent="0.2">
      <c r="A23" t="s">
        <v>39</v>
      </c>
    </row>
    <row r="32" spans="1:1" ht="25" customHeight="1" x14ac:dyDescent="0.2">
      <c r="A32" s="18" t="s">
        <v>41</v>
      </c>
    </row>
  </sheetData>
  <pageMargins left="0.2" right="0.2" top="0.5" bottom="0.5" header="0.5" footer="0.5"/>
  <pageSetup fitToWidth="0" fitToHeight="0" orientation="landscape" horizontalDpi="300" verticalDpi="300"/>
  <headerFooter alignWithMargins="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25EF1A-3D57-44B9-A7ED-EB122833D753}">
  <sheetPr codeName="Sheet9">
    <outlinePr summaryBelow="0" summaryRight="0"/>
  </sheetPr>
  <dimension ref="A4:IU44"/>
  <sheetViews>
    <sheetView defaultGridColor="0" colorId="0" workbookViewId="0"/>
  </sheetViews>
  <sheetFormatPr defaultRowHeight="10" x14ac:dyDescent="0.2"/>
  <cols>
    <col min="1" max="1" width="47.81640625" customWidth="1"/>
    <col min="2" max="5" width="13.81640625" customWidth="1"/>
    <col min="6" max="12" width="25.81640625" customWidth="1"/>
  </cols>
  <sheetData>
    <row r="4" spans="1:255" ht="17" x14ac:dyDescent="0.35">
      <c r="A4" s="1" t="s">
        <v>118</v>
      </c>
    </row>
    <row r="7" spans="1:255" x14ac:dyDescent="0.2">
      <c r="A7" s="2" t="s">
        <v>1</v>
      </c>
      <c r="B7" s="2"/>
      <c r="C7" s="2"/>
      <c r="D7" s="2"/>
      <c r="E7" s="2"/>
      <c r="F7" s="2"/>
      <c r="G7" s="2"/>
      <c r="H7" s="2"/>
      <c r="I7" s="2"/>
      <c r="J7" s="2"/>
      <c r="K7" s="2"/>
      <c r="L7" s="2"/>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ht="10.5" x14ac:dyDescent="0.25">
      <c r="A8" s="3" t="s">
        <v>119</v>
      </c>
      <c r="B8" s="4" t="s">
        <v>3</v>
      </c>
    </row>
    <row r="9" spans="1:255" ht="10.5" x14ac:dyDescent="0.25">
      <c r="A9" s="3" t="s">
        <v>120</v>
      </c>
      <c r="B9" s="4" t="s">
        <v>5</v>
      </c>
    </row>
    <row r="10" spans="1:255" ht="10.5" x14ac:dyDescent="0.25">
      <c r="A10" s="3" t="s">
        <v>121</v>
      </c>
      <c r="B10" s="5">
        <v>45045</v>
      </c>
    </row>
    <row r="11" spans="1:255" x14ac:dyDescent="0.2">
      <c r="A11" s="6"/>
    </row>
    <row r="13" spans="1:255" x14ac:dyDescent="0.2">
      <c r="A13" s="2" t="s">
        <v>7</v>
      </c>
      <c r="B13" s="2"/>
      <c r="C13" s="2"/>
      <c r="D13" s="2"/>
      <c r="E13" s="2"/>
      <c r="F13" s="2"/>
      <c r="G13" s="2"/>
      <c r="H13" s="2"/>
      <c r="I13" s="2"/>
      <c r="J13" s="2"/>
      <c r="K13" s="2"/>
      <c r="L13" s="2"/>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1" x14ac:dyDescent="0.2">
      <c r="A14" s="28" t="s">
        <v>8</v>
      </c>
      <c r="B14" s="29" t="s">
        <v>122</v>
      </c>
      <c r="C14" s="29" t="s">
        <v>123</v>
      </c>
      <c r="D14" s="29" t="s">
        <v>124</v>
      </c>
      <c r="E14" s="29" t="s">
        <v>125</v>
      </c>
      <c r="F14" s="34" t="s">
        <v>126</v>
      </c>
      <c r="G14" s="34" t="s">
        <v>127</v>
      </c>
      <c r="H14" s="29" t="s">
        <v>128</v>
      </c>
      <c r="I14" s="29" t="s">
        <v>129</v>
      </c>
      <c r="J14" s="29" t="s">
        <v>130</v>
      </c>
      <c r="K14" s="28" t="s">
        <v>131</v>
      </c>
      <c r="L14" s="28" t="s">
        <v>132</v>
      </c>
    </row>
    <row r="15" spans="1:255" ht="12" customHeight="1" x14ac:dyDescent="0.2">
      <c r="A15" s="28" t="s">
        <v>25</v>
      </c>
      <c r="B15" s="30">
        <v>1</v>
      </c>
      <c r="C15" s="31">
        <v>2</v>
      </c>
      <c r="D15" s="30">
        <v>1</v>
      </c>
      <c r="E15" s="30">
        <v>1</v>
      </c>
      <c r="F15" s="35">
        <v>44969</v>
      </c>
      <c r="G15" s="35">
        <v>44996</v>
      </c>
      <c r="H15" s="36" t="s">
        <v>133</v>
      </c>
      <c r="I15" s="36" t="s">
        <v>134</v>
      </c>
      <c r="J15" s="36" t="s">
        <v>135</v>
      </c>
      <c r="K15" s="37" t="s">
        <v>136</v>
      </c>
      <c r="L15" s="37" t="s">
        <v>137</v>
      </c>
    </row>
    <row r="16" spans="1:255" ht="12" customHeight="1" x14ac:dyDescent="0.2">
      <c r="A16" s="28" t="s">
        <v>28</v>
      </c>
      <c r="B16" s="31">
        <v>2</v>
      </c>
      <c r="C16" s="30">
        <v>1</v>
      </c>
      <c r="D16" s="31">
        <v>2</v>
      </c>
      <c r="E16" s="31">
        <v>2</v>
      </c>
      <c r="F16" s="35">
        <v>44957</v>
      </c>
      <c r="G16" s="35">
        <v>45004</v>
      </c>
      <c r="H16" s="36" t="s">
        <v>138</v>
      </c>
      <c r="I16" s="36" t="s">
        <v>134</v>
      </c>
      <c r="J16" s="36" t="s">
        <v>139</v>
      </c>
      <c r="K16" s="37" t="s">
        <v>136</v>
      </c>
      <c r="L16" s="37" t="s">
        <v>137</v>
      </c>
    </row>
    <row r="17" spans="1:12" ht="12" customHeight="1" x14ac:dyDescent="0.2">
      <c r="A17" s="28" t="s">
        <v>29</v>
      </c>
      <c r="B17" s="31">
        <v>2</v>
      </c>
      <c r="C17" s="32">
        <v>3</v>
      </c>
      <c r="D17" s="31">
        <v>2</v>
      </c>
      <c r="E17" s="33">
        <v>4</v>
      </c>
      <c r="F17" s="35">
        <v>44954</v>
      </c>
      <c r="G17" s="35">
        <v>45003</v>
      </c>
      <c r="H17" s="36" t="s">
        <v>140</v>
      </c>
      <c r="I17" s="36" t="s">
        <v>141</v>
      </c>
      <c r="J17" s="36" t="s">
        <v>142</v>
      </c>
      <c r="K17" s="37" t="s">
        <v>136</v>
      </c>
      <c r="L17" s="37" t="s">
        <v>137</v>
      </c>
    </row>
    <row r="18" spans="1:12" ht="12" customHeight="1" x14ac:dyDescent="0.2">
      <c r="A18" s="28" t="s">
        <v>30</v>
      </c>
      <c r="B18" s="32">
        <v>3</v>
      </c>
      <c r="C18" s="32">
        <v>3</v>
      </c>
      <c r="D18" s="32">
        <v>3</v>
      </c>
      <c r="E18" s="33">
        <v>4</v>
      </c>
      <c r="F18" s="35">
        <v>44954</v>
      </c>
      <c r="G18" s="35">
        <v>45002</v>
      </c>
      <c r="H18" s="36" t="s">
        <v>143</v>
      </c>
      <c r="I18" s="36" t="s">
        <v>144</v>
      </c>
      <c r="J18" s="36" t="s">
        <v>145</v>
      </c>
      <c r="K18" s="37" t="s">
        <v>136</v>
      </c>
      <c r="L18" s="37" t="s">
        <v>137</v>
      </c>
    </row>
    <row r="19" spans="1:12" ht="12" customHeight="1" x14ac:dyDescent="0.2">
      <c r="A19" s="28" t="s">
        <v>27</v>
      </c>
      <c r="B19" s="33">
        <v>4</v>
      </c>
      <c r="C19" s="31">
        <v>2</v>
      </c>
      <c r="D19" s="33">
        <v>4</v>
      </c>
      <c r="E19" s="32">
        <v>3</v>
      </c>
      <c r="F19" s="35">
        <v>44960</v>
      </c>
      <c r="G19" s="35">
        <v>45011</v>
      </c>
      <c r="H19" s="36" t="s">
        <v>140</v>
      </c>
      <c r="I19" s="36" t="s">
        <v>141</v>
      </c>
      <c r="J19" s="36" t="s">
        <v>146</v>
      </c>
      <c r="K19" s="37" t="s">
        <v>136</v>
      </c>
      <c r="L19" s="37" t="s">
        <v>137</v>
      </c>
    </row>
    <row r="20" spans="1:12" ht="12" customHeight="1" x14ac:dyDescent="0.2">
      <c r="A20" s="28" t="s">
        <v>31</v>
      </c>
      <c r="B20" s="33">
        <v>4</v>
      </c>
      <c r="C20" s="33">
        <v>4</v>
      </c>
      <c r="D20" s="33">
        <v>4</v>
      </c>
      <c r="E20" s="31">
        <v>2</v>
      </c>
      <c r="F20" s="35">
        <v>44926</v>
      </c>
      <c r="G20" s="35">
        <v>45007</v>
      </c>
      <c r="H20" s="36" t="s">
        <v>147</v>
      </c>
      <c r="I20" s="36" t="s">
        <v>148</v>
      </c>
      <c r="J20" s="36" t="s">
        <v>149</v>
      </c>
      <c r="K20" s="37" t="s">
        <v>150</v>
      </c>
      <c r="L20" s="37" t="s">
        <v>137</v>
      </c>
    </row>
    <row r="21" spans="1:12" ht="10.5" x14ac:dyDescent="0.2">
      <c r="A21" s="8"/>
      <c r="B21" s="8"/>
      <c r="C21" s="8"/>
      <c r="D21" s="8"/>
      <c r="E21" s="8"/>
      <c r="F21" s="8"/>
      <c r="G21" s="8"/>
      <c r="H21" s="8"/>
      <c r="I21" s="8"/>
      <c r="J21" s="8"/>
      <c r="K21" s="8"/>
      <c r="L21" s="8"/>
    </row>
    <row r="22" spans="1:12" ht="10.5" x14ac:dyDescent="0.2">
      <c r="A22" s="9"/>
      <c r="B22" s="9"/>
      <c r="C22" s="9"/>
      <c r="D22" s="9"/>
      <c r="E22" s="9"/>
      <c r="F22" s="9"/>
      <c r="G22" s="9"/>
      <c r="H22" s="9"/>
      <c r="I22" s="9"/>
      <c r="J22" s="9"/>
      <c r="K22" s="9"/>
      <c r="L22" s="9"/>
    </row>
    <row r="23" spans="1:12" ht="12" customHeight="1" x14ac:dyDescent="0.2">
      <c r="A23" s="28" t="s">
        <v>32</v>
      </c>
      <c r="B23" s="32">
        <v>3</v>
      </c>
      <c r="C23" s="33">
        <v>4</v>
      </c>
      <c r="D23" s="32">
        <v>3</v>
      </c>
      <c r="E23" s="32">
        <v>3</v>
      </c>
      <c r="F23" s="35">
        <v>44954</v>
      </c>
      <c r="G23" s="35">
        <v>45003</v>
      </c>
      <c r="H23" s="36" t="s">
        <v>151</v>
      </c>
      <c r="I23" s="36" t="s">
        <v>152</v>
      </c>
      <c r="J23" s="36" t="s">
        <v>153</v>
      </c>
      <c r="K23" s="37" t="s">
        <v>136</v>
      </c>
      <c r="L23" s="37" t="s">
        <v>137</v>
      </c>
    </row>
    <row r="24" spans="1:12" x14ac:dyDescent="0.2">
      <c r="A24" s="10"/>
      <c r="B24" s="10"/>
      <c r="C24" s="10"/>
      <c r="D24" s="10"/>
      <c r="E24" s="10"/>
      <c r="F24" s="10"/>
      <c r="G24" s="10"/>
      <c r="H24" s="10"/>
      <c r="I24" s="10"/>
      <c r="J24" s="10"/>
      <c r="K24" s="10"/>
      <c r="L24" s="10"/>
    </row>
    <row r="26" spans="1:12" x14ac:dyDescent="0.2">
      <c r="A26" s="6" t="s">
        <v>38</v>
      </c>
    </row>
    <row r="31" spans="1:12" x14ac:dyDescent="0.2">
      <c r="A31" t="s">
        <v>39</v>
      </c>
    </row>
    <row r="34" spans="1:1" x14ac:dyDescent="0.2">
      <c r="A34" t="s">
        <v>154</v>
      </c>
    </row>
    <row r="41" spans="1:1" ht="25" customHeight="1" x14ac:dyDescent="0.2">
      <c r="A41" s="18" t="s">
        <v>155</v>
      </c>
    </row>
    <row r="44" spans="1:1" ht="120" customHeight="1" x14ac:dyDescent="0.2">
      <c r="A44" s="38" t="s">
        <v>156</v>
      </c>
    </row>
  </sheetData>
  <pageMargins left="0.2" right="0.2" top="0.5" bottom="0.5" header="0.5" footer="0.5"/>
  <pageSetup fitToWidth="0" fitToHeight="0" orientation="landscape" horizontalDpi="300" verticalDpi="300"/>
  <headerFooter alignWithMargins="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463B6-0888-4AFA-BFA8-1413DECA8ED1}">
  <sheetPr codeName="Sheet10">
    <outlinePr summaryBelow="0" summaryRight="0"/>
  </sheetPr>
  <dimension ref="A6:A26"/>
  <sheetViews>
    <sheetView defaultGridColor="0" colorId="0" workbookViewId="0"/>
  </sheetViews>
  <sheetFormatPr defaultRowHeight="10" x14ac:dyDescent="0.2"/>
  <cols>
    <col min="1" max="1" width="150.81640625" customWidth="1"/>
    <col min="2" max="2" width="9.26953125"/>
  </cols>
  <sheetData>
    <row r="6" spans="1:1" ht="16.5" customHeight="1" x14ac:dyDescent="0.35">
      <c r="A6" s="1" t="s">
        <v>157</v>
      </c>
    </row>
    <row r="8" spans="1:1" x14ac:dyDescent="0.2">
      <c r="A8" t="s">
        <v>158</v>
      </c>
    </row>
    <row r="10" spans="1:1" ht="120" customHeight="1" x14ac:dyDescent="0.2">
      <c r="A10" s="39" t="s">
        <v>159</v>
      </c>
    </row>
    <row r="12" spans="1:1" ht="72" customHeight="1" x14ac:dyDescent="0.2">
      <c r="A12" s="39" t="s">
        <v>160</v>
      </c>
    </row>
    <row r="14" spans="1:1" ht="36" customHeight="1" x14ac:dyDescent="0.2">
      <c r="A14" s="39" t="s">
        <v>161</v>
      </c>
    </row>
    <row r="16" spans="1:1" ht="36" customHeight="1" x14ac:dyDescent="0.2">
      <c r="A16" s="40" t="s">
        <v>162</v>
      </c>
    </row>
    <row r="18" spans="1:1" ht="36" customHeight="1" x14ac:dyDescent="0.2">
      <c r="A18" s="40" t="s">
        <v>163</v>
      </c>
    </row>
    <row r="20" spans="1:1" ht="36" customHeight="1" x14ac:dyDescent="0.2">
      <c r="A20" s="40" t="s">
        <v>164</v>
      </c>
    </row>
    <row r="22" spans="1:1" ht="24" customHeight="1" x14ac:dyDescent="0.2">
      <c r="A22" s="40" t="s">
        <v>165</v>
      </c>
    </row>
    <row r="24" spans="1:1" ht="24" customHeight="1" x14ac:dyDescent="0.2">
      <c r="A24" s="40" t="s">
        <v>166</v>
      </c>
    </row>
    <row r="26" spans="1:1" ht="24" customHeight="1" x14ac:dyDescent="0.2">
      <c r="A26" s="40" t="s">
        <v>167</v>
      </c>
    </row>
  </sheetData>
  <pageMargins left="0.2" right="0.2" top="0.5" bottom="0.5" header="0.5" footer="0.5"/>
  <pageSetup fitToWidth="0" fitToHeight="0" orientation="landscape" horizontalDpi="300" verticalDpi="300"/>
  <headerFooter alignWithMargins="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575982-77EC-47FE-9F39-8027CD07EB52}">
  <sheetPr codeName="Sheet11"/>
  <dimension ref="A5"/>
  <sheetViews>
    <sheetView workbookViewId="0"/>
  </sheetViews>
  <sheetFormatPr defaultRowHeight="10" x14ac:dyDescent="0.2"/>
  <sheetData>
    <row r="5" spans="1:1" ht="23.25" customHeight="1" x14ac:dyDescent="0.45">
      <c r="A5" s="42" t="s">
        <v>168</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11</vt:i4>
      </vt:variant>
      <vt:variant>
        <vt:lpstr>Named Ranges</vt:lpstr>
      </vt:variant>
      <vt:variant>
        <vt:i4>8</vt:i4>
      </vt:variant>
    </vt:vector>
  </HeadingPairs>
  <TitlesOfParts>
    <vt:vector size="19" baseType="lpstr">
      <vt:lpstr>COMPCO</vt:lpstr>
      <vt:lpstr>BENCHMARKING</vt:lpstr>
      <vt:lpstr>Financial Data</vt:lpstr>
      <vt:lpstr>Trading Multiples</vt:lpstr>
      <vt:lpstr>Operating Statistics</vt:lpstr>
      <vt:lpstr>Business Description</vt:lpstr>
      <vt:lpstr>Implied Valuation</vt:lpstr>
      <vt:lpstr>Valuation Chart</vt:lpstr>
      <vt:lpstr>Credit Health Panel</vt:lpstr>
      <vt:lpstr>Disclaimer</vt:lpstr>
      <vt:lpstr>Evaluation Warning</vt:lpstr>
      <vt:lpstr>'Business Description'!Print_Titles</vt:lpstr>
      <vt:lpstr>'Credit Health Panel'!Print_Titles</vt:lpstr>
      <vt:lpstr>Disclaimer!Print_Titles</vt:lpstr>
      <vt:lpstr>'Financial Data'!Print_Titles</vt:lpstr>
      <vt:lpstr>'Implied Valuation'!Print_Titles</vt:lpstr>
      <vt:lpstr>'Operating Statistics'!Print_Titles</vt:lpstr>
      <vt:lpstr>'Trading Multiples'!Print_Titles</vt:lpstr>
      <vt:lpstr>'Valuation Chart'!Print_Titles</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dcterms:created xsi:type="dcterms:W3CDTF">2004-07-20T21:40:42Z</dcterms:created>
  <dcterms:modified xsi:type="dcterms:W3CDTF">2023-04-29T22:12:03Z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reated By">
    <vt:lpwstr>SoftArtisans OfficeWriter for Excel 8.6.2.281 (http://officewriter.softartisans.com)</vt:lpwstr>
  </property>
</Properties>
</file>