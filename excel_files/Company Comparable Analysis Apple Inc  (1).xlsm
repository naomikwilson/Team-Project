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FAC8F066-9623-4ED6-820A-5E07816D1AB0}" xr6:coauthVersionLast="47" xr6:coauthVersionMax="47" xr10:uidLastSave="{00000000-0000-0000-0000-000000000000}"/>
  <bookViews>
    <workbookView xWindow="3072" yWindow="3072" windowWidth="17280" windowHeight="10500" xr2:uid="{00000000-000D-0000-FFFF-FFFF00000000}"/>
  </bookViews>
  <sheets>
    <sheet name="COMPCO AND BENCHMARKING" sheetId="10" r:id="rId1"/>
    <sheet name="Financial Data" sheetId="1" r:id="rId2"/>
    <sheet name="Trading Multiples" sheetId="2" r:id="rId3"/>
    <sheet name="Operating Statistics" sheetId="3" r:id="rId4"/>
    <sheet name="Business Description" sheetId="4" r:id="rId5"/>
    <sheet name="Implied Valuation" sheetId="5" r:id="rId6"/>
    <sheet name="Valuation Chart" sheetId="6" r:id="rId7"/>
    <sheet name="Credit Health Panel" sheetId="7" r:id="rId8"/>
    <sheet name="Disclaimer" sheetId="8" r:id="rId9"/>
    <sheet name="Evaluation Warning" sheetId="9" r:id="rId10"/>
  </sheets>
  <definedNames>
    <definedName name="_xlnm.Print_Titles" localSheetId="4">'Business Description'!$1:$3</definedName>
    <definedName name="_xlnm.Print_Titles" localSheetId="7">'Credit Health Panel'!$1:$3</definedName>
    <definedName name="_xlnm.Print_Titles" localSheetId="8">Disclaimer!$1:$3</definedName>
    <definedName name="_xlnm.Print_Titles" localSheetId="1">'Financial Data'!$1:$3</definedName>
    <definedName name="_xlnm.Print_Titles" localSheetId="5">'Implied Valuation'!$1:$3</definedName>
    <definedName name="_xlnm.Print_Titles" localSheetId="3">'Operating Statistics'!$1:$3</definedName>
    <definedName name="_xlnm.Print_Titles" localSheetId="2">'Trading Multiples'!$1:$3</definedName>
    <definedName name="_xlnm.Print_Titles" localSheetId="6">'Valuation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 i="10" l="1"/>
  <c r="C26" i="10" s="1"/>
  <c r="C27" i="10" s="1"/>
  <c r="C28" i="10" s="1"/>
  <c r="C29" i="10" s="1"/>
  <c r="C30" i="10" s="1"/>
  <c r="C31" i="10" s="1"/>
  <c r="C32" i="10" s="1"/>
  <c r="C33" i="10" s="1"/>
  <c r="C34" i="10" s="1"/>
  <c r="C35" i="10" s="1"/>
  <c r="C36" i="10" s="1"/>
  <c r="C37" i="10" s="1"/>
  <c r="C38" i="10" s="1"/>
  <c r="C39" i="10" s="1"/>
  <c r="C40" i="10" s="1"/>
  <c r="C41" i="10" s="1"/>
  <c r="C42" i="10" s="1"/>
  <c r="C43" i="10" s="1"/>
  <c r="C24" i="10"/>
  <c r="E7" i="10"/>
  <c r="F7" i="10"/>
  <c r="G7" i="10"/>
  <c r="H7" i="10"/>
  <c r="I7" i="10"/>
  <c r="J7" i="10"/>
  <c r="K7" i="10"/>
  <c r="L7" i="10"/>
  <c r="M7" i="10"/>
  <c r="N7" i="10"/>
  <c r="O7" i="10"/>
  <c r="E8" i="10"/>
  <c r="F8" i="10"/>
  <c r="G8" i="10"/>
  <c r="H8" i="10"/>
  <c r="I8" i="10"/>
  <c r="J8" i="10"/>
  <c r="K8" i="10"/>
  <c r="L8" i="10"/>
  <c r="M8" i="10"/>
  <c r="N8" i="10"/>
  <c r="O8" i="10"/>
  <c r="E9" i="10"/>
  <c r="F9" i="10"/>
  <c r="G9" i="10"/>
  <c r="H9" i="10"/>
  <c r="I9" i="10"/>
  <c r="J9" i="10"/>
  <c r="K9" i="10"/>
  <c r="L9" i="10"/>
  <c r="M9" i="10"/>
  <c r="N9" i="10"/>
  <c r="O9" i="10"/>
  <c r="E10" i="10"/>
  <c r="F10" i="10"/>
  <c r="G10" i="10"/>
  <c r="H10" i="10"/>
  <c r="I10" i="10"/>
  <c r="J10" i="10"/>
  <c r="K10" i="10"/>
  <c r="L10" i="10"/>
  <c r="M10" i="10"/>
  <c r="N10" i="10"/>
  <c r="O10" i="10"/>
  <c r="E11" i="10"/>
  <c r="F11" i="10"/>
  <c r="G11" i="10"/>
  <c r="H11" i="10"/>
  <c r="I11" i="10"/>
  <c r="J11" i="10"/>
  <c r="K11" i="10"/>
  <c r="L11" i="10"/>
  <c r="M11" i="10"/>
  <c r="N11" i="10"/>
  <c r="O11" i="10"/>
  <c r="E12" i="10"/>
  <c r="F12" i="10"/>
  <c r="G12" i="10"/>
  <c r="H12" i="10"/>
  <c r="I12" i="10"/>
  <c r="J12" i="10"/>
  <c r="K12" i="10"/>
  <c r="L12" i="10"/>
  <c r="M12" i="10"/>
  <c r="N12" i="10"/>
  <c r="O12" i="10"/>
  <c r="E13" i="10"/>
  <c r="F13" i="10"/>
  <c r="G13" i="10"/>
  <c r="H13" i="10"/>
  <c r="I13" i="10"/>
  <c r="J13" i="10"/>
  <c r="K13" i="10"/>
  <c r="L13" i="10"/>
  <c r="M13" i="10"/>
  <c r="N13" i="10"/>
  <c r="O13" i="10"/>
  <c r="E14" i="10"/>
  <c r="F14" i="10"/>
  <c r="G14" i="10"/>
  <c r="H14" i="10"/>
  <c r="I14" i="10"/>
  <c r="J14" i="10"/>
  <c r="K14" i="10"/>
  <c r="L14" i="10"/>
  <c r="M14" i="10"/>
  <c r="N14" i="10"/>
  <c r="O14" i="10"/>
  <c r="E15" i="10"/>
  <c r="F15" i="10"/>
  <c r="G15" i="10"/>
  <c r="H15" i="10"/>
  <c r="I15" i="10"/>
  <c r="J15" i="10"/>
  <c r="K15" i="10"/>
  <c r="L15" i="10"/>
  <c r="M15" i="10"/>
  <c r="N15" i="10"/>
  <c r="O15" i="10"/>
  <c r="E16" i="10"/>
  <c r="F16" i="10"/>
  <c r="G16" i="10"/>
  <c r="H16" i="10"/>
  <c r="I16" i="10"/>
  <c r="J16" i="10"/>
  <c r="K16" i="10"/>
  <c r="L16" i="10"/>
  <c r="M16" i="10"/>
  <c r="N16" i="10"/>
  <c r="O16" i="10"/>
  <c r="E17" i="10"/>
  <c r="F17" i="10"/>
  <c r="G17" i="10"/>
  <c r="H17" i="10"/>
  <c r="I17" i="10"/>
  <c r="J17" i="10"/>
  <c r="K17" i="10"/>
  <c r="L17" i="10"/>
  <c r="M17" i="10"/>
  <c r="N17" i="10"/>
  <c r="O17" i="10"/>
  <c r="D8" i="10"/>
  <c r="D9" i="10"/>
  <c r="D10" i="10"/>
  <c r="D11" i="10"/>
  <c r="D12" i="10"/>
  <c r="D13" i="10"/>
  <c r="D14" i="10"/>
  <c r="D15" i="10"/>
  <c r="D16" i="10"/>
  <c r="D17" i="10"/>
  <c r="D7" i="10"/>
  <c r="D6" i="10"/>
  <c r="E6" i="10"/>
  <c r="F6" i="10"/>
  <c r="G6" i="10"/>
  <c r="H6" i="10"/>
  <c r="I6" i="10"/>
  <c r="J6" i="10"/>
  <c r="K6" i="10"/>
  <c r="L6" i="10"/>
  <c r="M6" i="10"/>
  <c r="N6" i="10"/>
  <c r="O6" i="10"/>
  <c r="C6" i="10"/>
</calcChain>
</file>

<file path=xl/sharedStrings.xml><?xml version="1.0" encoding="utf-8"?>
<sst xmlns="http://schemas.openxmlformats.org/spreadsheetml/2006/main" count="586" uniqueCount="191">
  <si>
    <t>Apple Inc. (NasdaqGS:AAPL)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</si>
  <si>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</si>
  <si>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</si>
  <si>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</si>
  <si>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</si>
  <si>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</si>
  <si>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</si>
  <si>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</si>
  <si>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</si>
  <si>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</si>
  <si>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</si>
  <si>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</si>
  <si>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</si>
  <si>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</si>
  <si>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</si>
  <si>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</si>
  <si>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</si>
  <si>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</si>
  <si>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</si>
  <si>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</si>
  <si>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</si>
  <si>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</si>
  <si>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</si>
  <si>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</si>
  <si>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</si>
  <si>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Amazon.com, Inc. (NasdaqGS:AMZN)</t>
  </si>
  <si>
    <t>-</t>
  </si>
  <si>
    <t>Alphabet Inc. (NasdaqGS:GOOGL)</t>
  </si>
  <si>
    <t>Dell Technologies Inc. (NYSE:DELL)</t>
  </si>
  <si>
    <t>HP Inc. (NYSE:HPQ)</t>
  </si>
  <si>
    <t>Hewlett Packard Enterprise Company (NYSE:HPE)</t>
  </si>
  <si>
    <t>NetApp, Inc. (NasdaqGS:NTAP)</t>
  </si>
  <si>
    <t>QUALCOMM Incorporated (NasdaqGS:QCOM)</t>
  </si>
  <si>
    <t>Western Digital Corporation (NasdaqGS:WDC)</t>
  </si>
  <si>
    <t>Intel Corporation (NasdaqGS:INTC)</t>
  </si>
  <si>
    <t>Samsung Electronics Co., Ltd. (KOSE:A005930)</t>
  </si>
  <si>
    <t>Apple Inc. (NasdaqGS:AAPL)</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</si>
  <si>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</si>
  <si>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</si>
  <si>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</si>
  <si>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</si>
  <si>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</si>
  <si>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</si>
  <si>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</si>
  <si>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</si>
  <si>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</si>
  <si>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Apple Inc. (NasdaqGS:AAPL)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</si>
  <si>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</si>
  <si>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</si>
  <si>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</si>
  <si>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</si>
  <si>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</si>
  <si>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</si>
  <si>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</si>
  <si>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</si>
  <si>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</si>
  <si>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</si>
  <si>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</si>
  <si>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NM</t>
  </si>
  <si>
    <t>Apple Inc. (NasdaqGS:AAPL)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</si>
  <si>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</si>
  <si>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</si>
  <si>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</si>
  <si>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</si>
  <si>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</si>
  <si>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</si>
  <si>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</si>
  <si>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</si>
  <si>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</si>
  <si>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</si>
  <si>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</si>
  <si>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</si>
  <si>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</si>
  <si>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</si>
  <si>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</si>
  <si>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Apple Inc. (NasdaqGS:AAPL) &gt;  Quick Comparable Analysis &gt; Business Description</t>
  </si>
  <si>
    <t>Template:</t>
  </si>
  <si>
    <t>Currency:</t>
  </si>
  <si>
    <t>As-Of Date:</t>
  </si>
  <si>
    <t>Business Description</t>
  </si>
  <si>
    <t>Headquarters</t>
  </si>
  <si>
    <t>Amazon.com, Inc. engages in the retail sale of consumer products and subscriptions through online and physical stores in North America and internationally. It operates through three segments: North America, International, and Amazon Web Services (AWS). The company’s products offered through its stores include merchandise and content purchased for resale; and products offered by third-party sellers. It also manufactures and sells electronic devices, including Kindle, Fire tablets, Fire TVs, Rings, Blink, eero, and Echo; and develops and produces media content. In addition, the company offers programs that enable sellers to sell their products in its stores; and programs that allow authors, musicians, filmmakers, Twitch streamers, skill and app developers, and others to publish and sell content. Further, it provides compute, storage, database, analytics, machine learning, and other services, as well as fulfillment, advertising, and digital content subscriptions. Additionally, the company offers Amazon Prime, a membership program. It serves consumers, sellers, developers, enterprises, content creators, and advertisers. The company was incorporated in 1994 and is headquartered in Seattle, Washington.</t>
  </si>
  <si>
    <t>410 Terry Avenue North, Seattle, Washington, 98109-5210, United States</t>
  </si>
  <si>
    <t>Alphabet Inc. offers various products and platforms in the United States, Europe, the Middle East, Africa, the Asia-Pacific, Canada, and Latin America. It operates through Google Services, Google Cloud, and Other Bets segments. The Google Services segment provides products and services, including ads, Android, Chrome, hardware, Gmail, Google Drive, Google Maps, Google Photos, Google Play, Search, and YouTube. It is also involved in the sale of apps and in-app purchases and digital content in the Google Play store; and Fitbit wearable devices, Google Nest home products, Pixel phones, and other devices, as well as in the provision of YouTube non-advertising services. The Google Cloud segment offers infrastructure, cybersecurity, data, analytics, AI, and machine learning, and other services; Google Workspace that include cloud-based collaboration tools for enterprises, such as Gmail, Docs, Drive, Calendar, and Meet; and other services for enterprise customers. The Other Bets segment sells health technology and internet services. The company was founded in 1998 and is headquartered in Mountain View, California.</t>
  </si>
  <si>
    <t>1600 Amphitheatre Parkway, Mountain View, California, 94043, United States</t>
  </si>
  <si>
    <t>Dell Technologies Inc. designs, develops, manufactures, markets, sells, and supports various comprehensive and integrated solutions, products, and services in the Americas, Europe, the Middle East, Asia, and internationally. The company operates through two segments, Infrastructure Solutions Group (ISG) and Client Solutions Group (CSG). The ISG segment provides traditional and next-generation storage solutions, including all-flash arrays, scale-out file, object platforms, hyper-converged infrastructure, and software-defined storage; and rack, blade, tower, and hyperscale servers. This segment also offers networking products and services that help its business customers to transform and modernize their infrastructure, mobilize and enrich end-user experiences, and accelerate business applications and processes; attached software and peripherals; and support and deployment, configuration, and extended warranty services. The CSG segment provides desktops, workstations, and notebooks; displays, docking stations, and other electronics; and third-party software and peripherals, as well as support and deployment, configuration, and extended warranty services. The company is also involved in the provision of cybersecurity technology-driven security solutions to prevent security breaches, detect malicious activity, respond rapidly when a security breach occurs, and identify emerging threats; originating, collecting, and servicing customer financing arrangements; and infrastructure-as-a-service solutions, as well as in the resale of VMware products and services. The company was formerly known as Denali Holding Inc. and changed its name to Dell Technologies Inc. in August 2016. Dell Technologies Inc. was founded in 1984 and is headquartered in Round Rock, Texas.</t>
  </si>
  <si>
    <t>One Dell Way, Round Rock, Texas, 78682, United States</t>
  </si>
  <si>
    <t>HP Inc. provides personal computing and other access devices, imaging and printing products, and related technologies, solutions, and services in the United States and internationally. The company operates through three segments: Personal Systems, Printing, and Corporate Investments. The Personal Systems segment offers commercial and consumer desktops and notebooks, workstations, commercial mobility devices, thin clients, retail point-of-sale systems, displays and peripherals, software, support, and services, as well as video conferencing solutions, cameras, headsets, voice, and related software products. The Printing segment provides consumer and commercial printer hardware, supplies, solutions, and services, as well as focuses on graphics and 3D imaging solutions in the commercial and industrial markets. The Corporate Investments segment is involved in the HP Labs and business incubation, and investment projects. It serves individual consumers, small- and medium-sized businesses, and large enterprises, including customers in the government, health, and education sectors. The company was formerly known as Hewlett-Packard Company and changed its name to HP Inc. in October 2015. HP Inc. was founded in 1939 and is headquartered in Palo Alto, California.</t>
  </si>
  <si>
    <t>1501 Page Mill Road, Palo Alto, California, 94304, United States</t>
  </si>
  <si>
    <t>Hewlett Packard Enterprise Company provides solutions that allow customers to capture, analyze, and act upon data seamlessly in the Americas, Europe, the Middle East, Africa, the Asia Pacific, and Japan. It operates in six segments: Compute, HPC &amp; AI, Storage, Intelligent Edge, Financial Services, and Corporate Investments and Other. The company offers general purpose servers for multi-workload computing and workload-optimized servers; HPE ProLiant rack and tower servers; HPE Synergy; and solutions for secondary workloads and traditional tape, storage networking, and disk products, such as HPE Modular Storage Arrays and HPE XP. It also offers HPE Cray, HPE Apollo, and converged edge systems; and HPE Superdome Flex, HPE Nonstop, and HPE Integrity products. In addition, the company provides HPE Aruba product portfolio that includes hardware products, such as Wi-Fi access points, switches, and gateways; HPE Aruba software and services comprising cloud-based management, network management, network access control, analytics and assurance, and location; and professional and support services, as well as as-a-service and consumption models for the intelligent edge portfolio of products. Further, it offers various leasing, financing, IT consumption, and utility programs and asset management services for customers to facilitate technology deployment models and the acquisition of complete IT solutions, including hardware, software, and services from Hewlett Packard Enterprise and others. Additionally, the company provides consultative-led services; HPE Ezmeral Container Platform; HPE Ezmeral Data Fabric; and Hewlett Packard Labs. It serves commercial and large enterprise groups, such as business and public sector enterprises; and through various partners comprising resellers, distribution partners, original equipment manufacturers, independent software vendors, systems integrators, and advisory firms. The company was founded in 1939 and is headquartered in Spring, Texas.</t>
  </si>
  <si>
    <t>1701 East Mossy Oaks Road, Spring, Texas, 77389, United States</t>
  </si>
  <si>
    <t>NetApp, Inc. provides cloud-led and data-centric services to manage and share data on-premises, and private and public clouds worldwide. It operates in two segments, Hybrid Cloud and Public Could. The company offers intelligent data management software, such as NetApp ONTAP, NetApp Snapshot, NetApp SnapCenter Backup Management, NetApp SnapMirror Data Replication, NetApp SnapLock Data Compliance, NetApp ElementOS software, and NetApp SANtricity software; and storage infrastructure solutions, including NetApp All-Flash FAS series, NetApp Fabric Attached Storage, NetApp FlexPod, NetApp E/EF series, NetApp StorageGRID, and NetApp SolidFire. It also provides cloud storage and data services comprising NetApp Cloud Volumes ONTAP, Azure NetApp Files, Amazon FSx for NetApp ONTAP, NetApp Cloud Volumes Service for Google Cloud, NetApp Cloud Sync, NetApp Cloud Tiering, NetApp Cloud Backup, NetApp Cloud Data Sense, and NetApp Cloud Volumes Edge Cache; and cloud operations services, such as NetApp Cloud Insights, Spot Ocean Kubernetes Suite, Spot Security, Spot Eco, and Spot CloudCheckr. In addition, the company offers application-aware data management service under the NetApp Astra name; and professional and support services, such as strategic consulting, professional, managed, and support services. Further, it provides assessment, design, implementation, and migration services. The company serves the energy, financial service, government, technology, internet, life science, healthcare service, manufacturing, media, entertainment, animation, video postproduction, and telecommunication markets through a direct sales force and an ecosystem of partners. NetApp, Inc. was incorporated in 1992 and is headquartered in San Jose, California.</t>
  </si>
  <si>
    <t>3060 Olsen Drive, San Jose, California, 95128, United States</t>
  </si>
  <si>
    <t>QUALCOMM Incorporated engages in the development and commercialization of foundational technologies for the wireless industry worldwide. It operates through three segments: Qualcomm CDMA Technologies (QCT); Qualcomm Technology Licensing (QTL); and Qualcomm Strategic Initiatives (QSI). The QCT segment develops and supplies integrated circuits and system software based on 3G/4G/5G and other technologies for use in wireless voice and data communications, networking, application processing, multimedia, and global positioning system products. The QTL segment grants licenses or provides rights to use portions of its intellectual property portfolio, which include various patent rights useful in the manufacture and sale of wireless products comprising products implementing CDMA2000, WCDMA, LTE and/or OFDMA-based 5G standards and their derivatives. The QSI segment invests in early-stage companies in various industries, including 5G, artificial intelligence, automotive, consumer, enterprise, cloud, IoT, and extended reality, and investments, including non-marketable equity securities and, to a lesser extent, marketable equity securities, and convertible debt instruments. It also provides development, and other services and related products to the United States government agencies and their contractors. The company was incorporated in 1985 and is headquartered in San Diego, California.</t>
  </si>
  <si>
    <t>5775 Morehouse Drive, San Diego, California, 92121-1714, United States</t>
  </si>
  <si>
    <t>Western Digital Corporation develops, manufactures, and sells data storage devices and solutions in the United States, China, Hong Kong, Europe, the Middle East, Africa, rest of Asia, and internationally. It offers client devices, including hard disk drives (HDDs) and solid state drives (SSDs) for computing devices, such as desktop and notebook personal computers (PCs), smart video systems, gaming consoles, and set top boxes; flash-based embedded storage products for mobile phones, tablets, notebook PCs, and other portable and wearable devices, as well as automotive, Internet of Things, industrial, and connected home applications; and flash-based memory wafers. The company also provides enterprise helium hard drives; enterprise SSDs consisting of flash-based SSDs and software solutions for use in enterprise servers, on-line transactions, data analysis, and other enterprise applications; drives are used for data storage systems and tiered storage models; and data storage platforms. In addition, it offers client solutions, such as external HDD storage products in mobile and desktop form; client portable SSDs; removable cards that are used in consumer devices comprising mobile phones, tablets, imaging systems, and cameras and smart video systems; universal serial bus flash drives for use in the computing and consumer markets; and wireless drive products used in-field back up of created content, as well as wireless streaming of high-definition movies, photos, music, and documents to tablets, smartphones, and PCs. The company sells its products under the Western Digital, SanDisk, and WD brands to original equipment manufacturers, distributors, dealers, resellers, and retailers. Western Digital Corporation was founded in 1970 and is headquartered in San Jose, California.</t>
  </si>
  <si>
    <t>5601 Great Oaks Parkway, San Jose, California, 95119, United States</t>
  </si>
  <si>
    <t>Intel Corporation designs, develops, manufactures, markets, and sells computing and related products worldwide. It operates through Client Computing Group, Data Center and AI, Network and Edge, Mobileye, Accelerated Computing Systems and Graphics, Intel Foundry Services, and Other segments. The company offers platform products, such as central processing units and chipsets, and system-on-chip and multichip packages; and accelerators, boards and systems, connectivity products, and memory and storage products. It also provides high-performance compute solutions for targeted verticals and embedded applications for retail, industrial, and healthcare markets; and solutions for assisted and autonomous driving comprising compute platforms, computer vision and machine learning-based sensing, mapping and localization, driving policy, and active sensors. In addition, the company offers workload-optimized platforms and related products for cloud service providers, enterprise and government, and communications service providers. It serves original equipment manufacturers, original design manufacturers, cloud service providers, and other equipment manufacturers. The company was incorporated in 1968 and is headquartered in Santa Clara, California.</t>
  </si>
  <si>
    <t>2200 Mission College Boulevard, Santa Clara, California, 95054-1549, United States</t>
  </si>
  <si>
    <t>Samsung Electronics Co., Ltd. engages in the consumer electronics, information technology and mobile communications, and device solutions businesses worldwide. The company offers smartphones, tablets, watches, and accessories; TVs, projectors, and sound devices; home appliances, including refrigerators, washing machines and dryers, vacuum cleaners, cooking appliances, dishwashers, air conditioners, and air purifiers; monitors, and memory and storage products; displays, and smart and LED signages; and other accessories. It also engages in technology, venture capital investments, cloud services, network devices installation and optimization, semiconductor equipment services, digital advertising platforms, marketing, consulting, connected services, logistics, financing, and software design activities; toll processing of display panels and semiconductors; development and sale of network solutions; manufactures semiconductors and food; provision of repair services for electronic devices and enterprise automation solutions; and development and supply of semiconductor process defect and quality control software. The company serves various industries, including education, retail, and finance, as well as government and corporate customers. Samsung Electronics Co., Ltd. was founded in 1938 and is based in Suwon-si, South Korea.</t>
  </si>
  <si>
    <t>129 Samsung-Ro, Maetan-3dong, Yeongtong-gu, Suwon-si, Gyeonggi-do, 443-742, South Korea</t>
  </si>
  <si>
    <t>Apple Inc. designs, manufactures, and markets smartphones, personal computers, tablets, wearables, and accessories worldwide. The company offers iPhone, a line of smartphones; Mac, a line of personal computers; iPad, a line of multi-purpose tablets; and wearables, home, and accessories comprising AirPods, Apple TV, Apple Watch, Beats products, and HomePod. It also provides AppleCare support and cloud services; and operates various platforms, including the App Store that allow customers to discover and download applications and digital content, such as books, music, video, games, and podcasts. In addition, the company offers various services, such as Apple Arcade, a game subscription service; Apple Fitness+, a personalized fitness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</si>
  <si>
    <t>One Apple Park Way, Cupertino, California, 95014, United States</t>
  </si>
  <si>
    <t>Apple Inc. (NasdaqGS:AAPL)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</si>
  <si>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</si>
  <si>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</si>
  <si>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</si>
  <si>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</si>
  <si>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</si>
  <si>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</si>
  <si>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</si>
  <si>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</si>
  <si>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</si>
  <si>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</si>
  <si>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</si>
  <si>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</si>
  <si>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</si>
  <si>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</si>
  <si>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</si>
  <si>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</si>
  <si>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</si>
  <si>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</si>
  <si>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</si>
  <si>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</si>
  <si>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</si>
  <si>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</si>
  <si>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Apple Inc. (NasdaqGS:AAPL) &gt;  Quick Comparable Analysis &gt; Valuation Chart</t>
  </si>
  <si>
    <t>Template:</t>
  </si>
  <si>
    <t>Currency:</t>
  </si>
  <si>
    <t>As-Of Date:</t>
  </si>
  <si>
    <t>Apple Inc. (NasdaqGS:AAPL)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</si>
  <si>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</si>
  <si>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</si>
  <si>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</si>
  <si>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</si>
  <si>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</si>
  <si>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</si>
  <si>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</si>
  <si>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</si>
  <si>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</si>
  <si>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</si>
  <si>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</si>
  <si>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</si>
  <si>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</si>
  <si>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</si>
  <si>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AA+</t>
  </si>
  <si>
    <t>aa+</t>
  </si>
  <si>
    <t>0.1896%</t>
  </si>
  <si>
    <t>United States</t>
  </si>
  <si>
    <t>Interactive Media and Services</t>
  </si>
  <si>
    <t>AA-</t>
  </si>
  <si>
    <t>aa</t>
  </si>
  <si>
    <t>0.1458%</t>
  </si>
  <si>
    <t>South Korea</t>
  </si>
  <si>
    <t>Technology Hardware, Storage and Peripherals</t>
  </si>
  <si>
    <t>A</t>
  </si>
  <si>
    <t>a</t>
  </si>
  <si>
    <t>0.6809%</t>
  </si>
  <si>
    <t>Semiconductors</t>
  </si>
  <si>
    <t>bbb-</t>
  </si>
  <si>
    <t>1.1635%</t>
  </si>
  <si>
    <t>AA</t>
  </si>
  <si>
    <t>0.7101%</t>
  </si>
  <si>
    <t>Broadline Retail</t>
  </si>
  <si>
    <t>BBB+</t>
  </si>
  <si>
    <t>0.7551%</t>
  </si>
  <si>
    <t>BB</t>
  </si>
  <si>
    <t>bb</t>
  </si>
  <si>
    <t>BBB</t>
  </si>
  <si>
    <t>bbb</t>
  </si>
  <si>
    <t>1.0975%</t>
  </si>
  <si>
    <t>bbb+</t>
  </si>
  <si>
    <t>1.7430%</t>
  </si>
  <si>
    <t>2.6298%</t>
  </si>
  <si>
    <t>0.1508%</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</si>
  <si>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</si>
  <si>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</si>
  <si>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</si>
  <si>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Apple Inc. (NasdaqGS:AAPL)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</si>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</sst>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 numFmtId="172" formatCode="_(\ #,##0.0###_);_(\ \(#,##0.0###\)_);_(\ &quot; - &quot;_)"/>
  </numFmts>
  <fonts count="19"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
    <border>
      <left/>
      <right/>
      <top/>
      <bottom/>
      <diagonal/>
    </border>
    <border>
      <left style="thin">
        <color indexed="8"/>
      </left>
      <right style="thin">
        <color indexed="8"/>
      </right>
      <top style="thin">
        <color indexed="8"/>
      </top>
      <bottom style="thin">
        <color indexed="8"/>
      </bottom>
      <diagonal/>
    </border>
  </borders>
  <cellStyleXfs count="16">
    <xf numFmtId="0" fontId="0" fillId="0" borderId="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50">
    <xf numFmtId="0" fontId="1" fillId="0" borderId="0" xfId="0" applyFont="1" applyAlignment="1"/>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64"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7" fillId="0" borderId="1" xfId="0" applyNumberFormat="1" applyFont="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172"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vertical="center" wrapText="1"/>
    </xf>
    <xf numFmtId="0" fontId="1" fillId="0" borderId="0" xfId="0" applyFont="1" applyAlignment="1">
      <alignment wrapText="1"/>
    </xf>
    <xf numFmtId="0" fontId="13" fillId="0" borderId="0" xfId="13" applyFont="1" applyAlignment="1"/>
    <xf numFmtId="0" fontId="18" fillId="0" borderId="0" xfId="0" applyNumberFormat="1" applyFont="1" applyFill="1" applyBorder="1" applyAlignment="1" applyProtection="1"/>
    <xf numFmtId="0" fontId="1" fillId="0" borderId="0" xfId="0" applyFont="1" applyAlignment="1">
      <alignment horizontal="right" wrapText="1"/>
    </xf>
    <xf numFmtId="0" fontId="1" fillId="0" borderId="0" xfId="0" applyFont="1" applyAlignment="1"/>
    <xf numFmtId="0" fontId="1" fillId="0" borderId="0" xfId="0" applyFont="1" applyAlignment="1">
      <alignment horizontal="left" wrapText="1"/>
    </xf>
    <xf numFmtId="9" fontId="1" fillId="0" borderId="0" xfId="0" applyNumberFormat="1" applyFont="1" applyAlignment="1"/>
  </cellXfs>
  <cellStyles count="16">
    <cellStyle name="ChartingText" xfId="14" xr:uid="{00000000-0005-0000-0000-000013000000}"/>
    <cellStyle name="CHPTop" xfId="15" xr:uid="{00000000-0005-0000-0000-000014000000}"/>
    <cellStyle name="ColumnHeaderNormal" xfId="6" xr:uid="{00000000-0005-0000-0000-00000B000000}"/>
    <cellStyle name="Invisible" xfId="13" xr:uid="{00000000-0005-0000-0000-000012000000}"/>
    <cellStyle name="NewColumnHeaderNormal" xfId="4" xr:uid="{00000000-0005-0000-0000-000009000000}"/>
    <cellStyle name="NewSectionHeaderNormal" xfId="3" xr:uid="{00000000-0005-0000-0000-000008000000}"/>
    <cellStyle name="NewTitleNormal" xfId="2" xr:uid="{00000000-0005-0000-0000-000007000000}"/>
    <cellStyle name="Normal" xfId="0" builtinId="0"/>
    <cellStyle name="SectionHeaderNormal" xfId="5" xr:uid="{00000000-0005-0000-0000-00000A000000}"/>
    <cellStyle name="SubScript" xfId="9" xr:uid="{00000000-0005-0000-0000-00000E000000}"/>
    <cellStyle name="SuperScript" xfId="8" xr:uid="{00000000-0005-0000-0000-00000D000000}"/>
    <cellStyle name="TextBold" xfId="10" xr:uid="{00000000-0005-0000-0000-00000F000000}"/>
    <cellStyle name="TextItalic" xfId="11" xr:uid="{00000000-0005-0000-0000-000010000000}"/>
    <cellStyle name="TextNormal" xfId="7" xr:uid="{00000000-0005-0000-0000-00000C000000}"/>
    <cellStyle name="TitleNormal" xfId="1" xr:uid="{00000000-0005-0000-0000-000006000000}"/>
    <cellStyle name="Total" xfId="12" xr:uid="{00000000-0005-0000-0000-000011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35319D8A-9B7E-4759-B375-10D49EC98C5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83AED4DA-D2FC-4069-B33D-6B41334A7CF8}"/>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9CB3423E-296F-4B86-A612-D05EE453F405}"/>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78CBFB28-C532-4241-872C-441BA32F9C16}"/>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9B23F29D-09D2-43A1-9809-08ABF5603345}"/>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63C18878-275D-457D-8093-640CF3B6913A}"/>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6F442A54-C921-4224-A10B-31D91C0026A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15CAB612-F964-48FD-8C70-63A9DEA42AE0}"/>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F23DCA19-6B2C-4929-9849-75DD9E9D08E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5656A2AD-CDBF-43AA-9996-47BCA68C7E66}"/>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3D69E1DC-F6CE-40CE-B7E3-A341FCED68D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DF232318-A6A4-4B65-87CC-C1A068B61CBE}"/>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C908F09C-C674-4B76-8610-C9308E5D52B9}"/>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29D3D961-9CAA-4524-9C22-6078C2552C7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20AE2F9B-3A1B-42AC-B945-B476954C870E}"/>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58CE1E37-7D4F-4FB9-8972-938B607BFCBC}"/>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A5B68B3A-8CDE-4BE3-9A13-19B515D7A0F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6D24-E941-4385-87CF-FD4C3D12B55A}">
  <sheetPr codeName="Sheet1"/>
  <dimension ref="C6:O43"/>
  <sheetViews>
    <sheetView tabSelected="1" workbookViewId="0">
      <selection activeCell="C17" sqref="C17"/>
    </sheetView>
  </sheetViews>
  <sheetFormatPr defaultRowHeight="10.199999999999999" x14ac:dyDescent="0.2"/>
  <cols>
    <col min="3" max="3" width="34.33203125" bestFit="1" customWidth="1"/>
  </cols>
  <sheetData>
    <row r="6" spans="3:15" x14ac:dyDescent="0.2">
      <c r="C6" t="str">
        <f>'Operating Statistics'!A14</f>
        <v>Company Name</v>
      </c>
      <c r="D6" s="1" t="str">
        <f>'Operating Statistics'!B14</f>
        <v xml:space="preserve">LTM Gross Margin % </v>
      </c>
      <c r="E6" s="1" t="str">
        <f>'Operating Statistics'!C14</f>
        <v xml:space="preserve">LTM EBITDA Margin % </v>
      </c>
      <c r="F6" s="1" t="str">
        <f>'Operating Statistics'!D14</f>
        <v xml:space="preserve">LTM EBIT Margin % </v>
      </c>
      <c r="G6" s="1" t="str">
        <f>'Operating Statistics'!E14</f>
        <v xml:space="preserve">LTM Net Income Margin % </v>
      </c>
      <c r="H6" s="1" t="str">
        <f>'Operating Statistics'!F14</f>
        <v xml:space="preserve">LTM Total Revenues, 1 Yr Growth % </v>
      </c>
      <c r="I6" s="1" t="str">
        <f>'Operating Statistics'!G14</f>
        <v xml:space="preserve">LTM EBITDA, 1 Yr Growth % </v>
      </c>
      <c r="J6" s="1" t="str">
        <f>'Operating Statistics'!H14</f>
        <v xml:space="preserve">LTM EBIT, 1 Yr Growth % </v>
      </c>
      <c r="K6" s="1" t="str">
        <f>'Operating Statistics'!I14</f>
        <v xml:space="preserve">LTM Net Income, 1 Yr Growth % </v>
      </c>
      <c r="L6" s="1" t="str">
        <f>'Operating Statistics'!J14</f>
        <v>LTM Total Debt/Capital %</v>
      </c>
      <c r="M6" s="1" t="str">
        <f>'Operating Statistics'!K14</f>
        <v xml:space="preserve">LTM Total Debt/EBITDA </v>
      </c>
      <c r="N6" s="1" t="str">
        <f>'Operating Statistics'!L14</f>
        <v xml:space="preserve">NTM LT EPS Growth Rate (Capital IQ) </v>
      </c>
      <c r="O6" s="1" t="str">
        <f>'Operating Statistics'!M14</f>
        <v>5 Year Beta</v>
      </c>
    </row>
    <row r="7" spans="3:15" x14ac:dyDescent="0.2">
      <c r="C7" t="s">
        <v>25</v>
      </c>
      <c r="D7">
        <f>INDEX('Operating Statistics'!B$14:B$27,MATCH('COMPCO AND BENCHMARKING'!$C7,'Operating Statistics'!$A$14:$A$27,0))</f>
        <v>0.438</v>
      </c>
      <c r="E7" s="1">
        <f>INDEX('Operating Statistics'!C$14:C$27,MATCH('COMPCO AND BENCHMARKING'!$C7,'Operating Statistics'!$A$14:$A$27,0))</f>
        <v>0.105</v>
      </c>
      <c r="F7" s="1">
        <f>INDEX('Operating Statistics'!D$14:D$27,MATCH('COMPCO AND BENCHMARKING'!$C7,'Operating Statistics'!$A$14:$A$27,0))</f>
        <v>2.4E-2</v>
      </c>
      <c r="G7" s="1">
        <f>INDEX('Operating Statistics'!E$14:E$27,MATCH('COMPCO AND BENCHMARKING'!$C7,'Operating Statistics'!$A$14:$A$27,0))</f>
        <v>-5.3E-3</v>
      </c>
      <c r="H7" s="1">
        <f>INDEX('Operating Statistics'!F$14:F$27,MATCH('COMPCO AND BENCHMARKING'!$C7,'Operating Statistics'!$A$14:$A$27,0))</f>
        <v>9.4E-2</v>
      </c>
      <c r="I7" s="1">
        <f>INDEX('Operating Statistics'!G$14:G$27,MATCH('COMPCO AND BENCHMARKING'!$C7,'Operating Statistics'!$A$14:$A$27,0))</f>
        <v>-8.6699999999999999E-2</v>
      </c>
      <c r="J7" s="1">
        <f>INDEX('Operating Statistics'!H$14:H$27,MATCH('COMPCO AND BENCHMARKING'!$C7,'Operating Statistics'!$A$14:$A$27,0))</f>
        <v>-0.50770000000000004</v>
      </c>
      <c r="K7" s="1" t="str">
        <f>INDEX('Operating Statistics'!I$14:I$27,MATCH('COMPCO AND BENCHMARKING'!$C7,'Operating Statistics'!$A$14:$A$27,0))</f>
        <v>-</v>
      </c>
      <c r="L7" s="1">
        <f>INDEX('Operating Statistics'!J$14:J$27,MATCH('COMPCO AND BENCHMARKING'!$C7,'Operating Statistics'!$A$14:$A$27,0))</f>
        <v>0.53779999999999994</v>
      </c>
      <c r="M7" s="1">
        <f>INDEX('Operating Statistics'!K$14:K$27,MATCH('COMPCO AND BENCHMARKING'!$C7,'Operating Statistics'!$A$14:$A$27,0))</f>
        <v>2.6</v>
      </c>
      <c r="N7" s="1">
        <f>INDEX('Operating Statistics'!L$14:L$27,MATCH('COMPCO AND BENCHMARKING'!$C7,'Operating Statistics'!$A$14:$A$27,0))</f>
        <v>0.32029999999999997</v>
      </c>
      <c r="O7" s="1">
        <f>INDEX('Operating Statistics'!M$14:M$27,MATCH('COMPCO AND BENCHMARKING'!$C7,'Operating Statistics'!$A$14:$A$27,0))</f>
        <v>1.26</v>
      </c>
    </row>
    <row r="8" spans="3:15" x14ac:dyDescent="0.2">
      <c r="C8" t="s">
        <v>27</v>
      </c>
      <c r="D8" s="1">
        <f>INDEX('Operating Statistics'!B$14:B$27,MATCH('COMPCO AND BENCHMARKING'!$C8,'Operating Statistics'!$A$14:$A$27,0))</f>
        <v>0.55400000000000005</v>
      </c>
      <c r="E8" s="1">
        <f>INDEX('Operating Statistics'!C$14:C$27,MATCH('COMPCO AND BENCHMARKING'!$C8,'Operating Statistics'!$A$14:$A$27,0))</f>
        <v>0.32100000000000001</v>
      </c>
      <c r="F8" s="1">
        <f>INDEX('Operating Statistics'!D$14:D$27,MATCH('COMPCO AND BENCHMARKING'!$C8,'Operating Statistics'!$A$14:$A$27,0))</f>
        <v>0.26500000000000001</v>
      </c>
      <c r="G8" s="1">
        <f>INDEX('Operating Statistics'!E$14:E$27,MATCH('COMPCO AND BENCHMARKING'!$C8,'Operating Statistics'!$A$14:$A$27,0))</f>
        <v>0.21199999999999999</v>
      </c>
      <c r="H8" s="1">
        <f>INDEX('Operating Statistics'!F$14:F$27,MATCH('COMPCO AND BENCHMARKING'!$C8,'Operating Statistics'!$A$14:$A$27,0))</f>
        <v>9.7799999999999998E-2</v>
      </c>
      <c r="I8" s="1">
        <f>INDEX('Operating Statistics'!G$14:G$27,MATCH('COMPCO AND BENCHMARKING'!$C8,'Operating Statistics'!$A$14:$A$27,0))</f>
        <v>-4.1000000000000003E-3</v>
      </c>
      <c r="J8" s="1">
        <f>INDEX('Operating Statistics'!H$14:H$27,MATCH('COMPCO AND BENCHMARKING'!$C8,'Operating Statistics'!$A$14:$A$27,0))</f>
        <v>-4.9200000000000001E-2</v>
      </c>
      <c r="K8" s="1">
        <f>INDEX('Operating Statistics'!I$14:I$27,MATCH('COMPCO AND BENCHMARKING'!$C8,'Operating Statistics'!$A$14:$A$27,0))</f>
        <v>-0.2112</v>
      </c>
      <c r="L8" s="1">
        <f>INDEX('Operating Statistics'!J$14:J$27,MATCH('COMPCO AND BENCHMARKING'!$C8,'Operating Statistics'!$A$14:$A$27,0))</f>
        <v>0.1048</v>
      </c>
      <c r="M8" s="1">
        <f>INDEX('Operating Statistics'!K$14:K$27,MATCH('COMPCO AND BENCHMARKING'!$C8,'Operating Statistics'!$A$14:$A$27,0))</f>
        <v>0.3</v>
      </c>
      <c r="N8" s="1">
        <f>INDEX('Operating Statistics'!L$14:L$27,MATCH('COMPCO AND BENCHMARKING'!$C8,'Operating Statistics'!$A$14:$A$27,0))</f>
        <v>0.16520000000000001</v>
      </c>
      <c r="O8" s="1">
        <f>INDEX('Operating Statistics'!M$14:M$27,MATCH('COMPCO AND BENCHMARKING'!$C8,'Operating Statistics'!$A$14:$A$27,0))</f>
        <v>1.1000000000000001</v>
      </c>
    </row>
    <row r="9" spans="3:15" x14ac:dyDescent="0.2">
      <c r="C9" t="s">
        <v>28</v>
      </c>
      <c r="D9" s="1">
        <f>INDEX('Operating Statistics'!B$14:B$27,MATCH('COMPCO AND BENCHMARKING'!$C9,'Operating Statistics'!$A$14:$A$27,0))</f>
        <v>0.222</v>
      </c>
      <c r="E9" s="1">
        <f>INDEX('Operating Statistics'!C$14:C$27,MATCH('COMPCO AND BENCHMARKING'!$C9,'Operating Statistics'!$A$14:$A$27,0))</f>
        <v>44960</v>
      </c>
      <c r="F9" s="1">
        <f>INDEX('Operating Statistics'!D$14:D$27,MATCH('COMPCO AND BENCHMARKING'!$C9,'Operating Statistics'!$A$14:$A$27,0))</f>
        <v>5.6000000000000001E-2</v>
      </c>
      <c r="G9" s="1">
        <f>INDEX('Operating Statistics'!E$14:E$27,MATCH('COMPCO AND BENCHMARKING'!$C9,'Operating Statistics'!$A$14:$A$27,0))</f>
        <v>2.3900000000000001E-2</v>
      </c>
      <c r="H9" s="1">
        <f>INDEX('Operating Statistics'!F$14:F$27,MATCH('COMPCO AND BENCHMARKING'!$C9,'Operating Statistics'!$A$14:$A$27,0))</f>
        <v>1.09E-2</v>
      </c>
      <c r="I9" s="1">
        <f>INDEX('Operating Statistics'!G$14:G$27,MATCH('COMPCO AND BENCHMARKING'!$C9,'Operating Statistics'!$A$14:$A$27,0))</f>
        <v>-7.1800000000000003E-2</v>
      </c>
      <c r="J9" s="1">
        <f>INDEX('Operating Statistics'!H$14:H$27,MATCH('COMPCO AND BENCHMARKING'!$C9,'Operating Statistics'!$A$14:$A$27,0))</f>
        <v>0.2387</v>
      </c>
      <c r="K9" s="1">
        <f>INDEX('Operating Statistics'!I$14:I$27,MATCH('COMPCO AND BENCHMARKING'!$C9,'Operating Statistics'!$A$14:$A$27,0))</f>
        <v>-0.56100000000000005</v>
      </c>
      <c r="L9" s="1">
        <f>INDEX('Operating Statistics'!J$14:J$27,MATCH('COMPCO AND BENCHMARKING'!$C9,'Operating Statistics'!$A$14:$A$27,0))</f>
        <v>1.1102000000000001</v>
      </c>
      <c r="M9" s="1">
        <f>INDEX('Operating Statistics'!K$14:K$27,MATCH('COMPCO AND BENCHMARKING'!$C9,'Operating Statistics'!$A$14:$A$27,0))</f>
        <v>3.7</v>
      </c>
      <c r="N9" s="1">
        <f>INDEX('Operating Statistics'!L$14:L$27,MATCH('COMPCO AND BENCHMARKING'!$C9,'Operating Statistics'!$A$14:$A$27,0))</f>
        <v>5.8299999999999998E-2</v>
      </c>
      <c r="O9" s="1">
        <f>INDEX('Operating Statistics'!M$14:M$27,MATCH('COMPCO AND BENCHMARKING'!$C9,'Operating Statistics'!$A$14:$A$27,0))</f>
        <v>0.97</v>
      </c>
    </row>
    <row r="10" spans="3:15" x14ac:dyDescent="0.2">
      <c r="C10" t="s">
        <v>29</v>
      </c>
      <c r="D10" s="1">
        <f>INDEX('Operating Statistics'!B$14:B$27,MATCH('COMPCO AND BENCHMARKING'!$C10,'Operating Statistics'!$A$14:$A$27,0))</f>
        <v>0.19700000000000001</v>
      </c>
      <c r="E10" s="1">
        <f>INDEX('Operating Statistics'!C$14:C$27,MATCH('COMPCO AND BENCHMARKING'!$C10,'Operating Statistics'!$A$14:$A$27,0))</f>
        <v>9.2999999999999999E-2</v>
      </c>
      <c r="F10" s="1">
        <f>INDEX('Operating Statistics'!D$14:D$27,MATCH('COMPCO AND BENCHMARKING'!$C10,'Operating Statistics'!$A$14:$A$27,0))</f>
        <v>0.08</v>
      </c>
      <c r="G10" s="1">
        <f>INDEX('Operating Statistics'!E$14:E$27,MATCH('COMPCO AND BENCHMARKING'!$C10,'Operating Statistics'!$A$14:$A$27,0))</f>
        <v>4.36E-2</v>
      </c>
      <c r="H10" s="1">
        <f>INDEX('Operating Statistics'!F$14:F$27,MATCH('COMPCO AND BENCHMARKING'!$C10,'Operating Statistics'!$A$14:$A$27,0))</f>
        <v>-7.8399999999999997E-2</v>
      </c>
      <c r="I10" s="1">
        <f>INDEX('Operating Statistics'!G$14:G$27,MATCH('COMPCO AND BENCHMARKING'!$C10,'Operating Statistics'!$A$14:$A$27,0))</f>
        <v>-0.1242</v>
      </c>
      <c r="J10" s="1">
        <f>INDEX('Operating Statistics'!H$14:H$27,MATCH('COMPCO AND BENCHMARKING'!$C10,'Operating Statistics'!$A$14:$A$27,0))</f>
        <v>-0.1439</v>
      </c>
      <c r="K10" s="1">
        <f>INDEX('Operating Statistics'!I$14:I$27,MATCH('COMPCO AND BENCHMARKING'!$C10,'Operating Statistics'!$A$14:$A$27,0))</f>
        <v>-0.60070000000000001</v>
      </c>
      <c r="L10" s="1">
        <f>INDEX('Operating Statistics'!J$14:J$27,MATCH('COMPCO AND BENCHMARKING'!$C10,'Operating Statistics'!$A$14:$A$27,0))</f>
        <v>1.4426000000000001</v>
      </c>
      <c r="M10" s="1">
        <f>INDEX('Operating Statistics'!K$14:K$27,MATCH('COMPCO AND BENCHMARKING'!$C10,'Operating Statistics'!$A$14:$A$27,0))</f>
        <v>2.1</v>
      </c>
      <c r="N10" s="1">
        <f>INDEX('Operating Statistics'!L$14:L$27,MATCH('COMPCO AND BENCHMARKING'!$C10,'Operating Statistics'!$A$14:$A$27,0))</f>
        <v>-0.03</v>
      </c>
      <c r="O10" s="1">
        <f>INDEX('Operating Statistics'!M$14:M$27,MATCH('COMPCO AND BENCHMARKING'!$C10,'Operating Statistics'!$A$14:$A$27,0))</f>
        <v>1.02</v>
      </c>
    </row>
    <row r="11" spans="3:15" x14ac:dyDescent="0.2">
      <c r="C11" t="s">
        <v>30</v>
      </c>
      <c r="D11" s="1">
        <f>INDEX('Operating Statistics'!B$14:B$27,MATCH('COMPCO AND BENCHMARKING'!$C11,'Operating Statistics'!$A$14:$A$27,0))</f>
        <v>0.33500000000000002</v>
      </c>
      <c r="E11" s="1">
        <f>INDEX('Operating Statistics'!C$14:C$27,MATCH('COMPCO AND BENCHMARKING'!$C11,'Operating Statistics'!$A$14:$A$27,0))</f>
        <v>0.16800000000000001</v>
      </c>
      <c r="F11" s="1">
        <f>INDEX('Operating Statistics'!D$14:D$27,MATCH('COMPCO AND BENCHMARKING'!$C11,'Operating Statistics'!$A$14:$A$27,0))</f>
        <v>8.2000000000000003E-2</v>
      </c>
      <c r="G11" s="1">
        <f>INDEX('Operating Statistics'!E$14:E$27,MATCH('COMPCO AND BENCHMARKING'!$C11,'Operating Statistics'!$A$14:$A$27,0))</f>
        <v>2.92E-2</v>
      </c>
      <c r="H11" s="1">
        <f>INDEX('Operating Statistics'!F$14:F$27,MATCH('COMPCO AND BENCHMARKING'!$C11,'Operating Statistics'!$A$14:$A$27,0))</f>
        <v>5.1299999999999998E-2</v>
      </c>
      <c r="I11" s="1">
        <f>INDEX('Operating Statistics'!G$14:G$27,MATCH('COMPCO AND BENCHMARKING'!$C11,'Operating Statistics'!$A$14:$A$27,0))</f>
        <v>2.1299999999999999E-2</v>
      </c>
      <c r="J11" s="1">
        <f>INDEX('Operating Statistics'!H$14:H$27,MATCH('COMPCO AND BENCHMARKING'!$C11,'Operating Statistics'!$A$14:$A$27,0))</f>
        <v>5.7700000000000001E-2</v>
      </c>
      <c r="K11" s="1">
        <f>INDEX('Operating Statistics'!I$14:I$27,MATCH('COMPCO AND BENCHMARKING'!$C11,'Operating Statistics'!$A$14:$A$27,0))</f>
        <v>-0.76970000000000005</v>
      </c>
      <c r="L11" s="1">
        <f>INDEX('Operating Statistics'!J$14:J$27,MATCH('COMPCO AND BENCHMARKING'!$C11,'Operating Statistics'!$A$14:$A$27,0))</f>
        <v>0.39429999999999998</v>
      </c>
      <c r="M11" s="1">
        <f>INDEX('Operating Statistics'!K$14:K$27,MATCH('COMPCO AND BENCHMARKING'!$C11,'Operating Statistics'!$A$14:$A$27,0))</f>
        <v>2.6</v>
      </c>
      <c r="N11" s="1">
        <f>INDEX('Operating Statistics'!L$14:L$27,MATCH('COMPCO AND BENCHMARKING'!$C11,'Operating Statistics'!$A$14:$A$27,0))</f>
        <v>4.7199999999999999E-2</v>
      </c>
      <c r="O11" s="1" t="str">
        <f>INDEX('Operating Statistics'!M$14:M$27,MATCH('COMPCO AND BENCHMARKING'!$C11,'Operating Statistics'!$A$14:$A$27,0))</f>
        <v>-</v>
      </c>
    </row>
    <row r="12" spans="3:15" x14ac:dyDescent="0.2">
      <c r="C12" t="s">
        <v>31</v>
      </c>
      <c r="D12" s="1">
        <f>INDEX('Operating Statistics'!B$14:B$27,MATCH('COMPCO AND BENCHMARKING'!$C12,'Operating Statistics'!$A$14:$A$27,0))</f>
        <v>0.65400000000000003</v>
      </c>
      <c r="E12" s="1">
        <f>INDEX('Operating Statistics'!C$14:C$27,MATCH('COMPCO AND BENCHMARKING'!$C12,'Operating Statistics'!$A$14:$A$27,0))</f>
        <v>0.20599999999999999</v>
      </c>
      <c r="F12" s="1">
        <f>INDEX('Operating Statistics'!D$14:D$27,MATCH('COMPCO AND BENCHMARKING'!$C12,'Operating Statistics'!$A$14:$A$27,0))</f>
        <v>0.17599999999999999</v>
      </c>
      <c r="G12" s="1">
        <f>INDEX('Operating Statistics'!E$14:E$27,MATCH('COMPCO AND BENCHMARKING'!$C12,'Operating Statistics'!$A$14:$A$27,0))</f>
        <v>0.1993</v>
      </c>
      <c r="H12" s="1">
        <f>INDEX('Operating Statistics'!F$14:F$27,MATCH('COMPCO AND BENCHMARKING'!$C12,'Operating Statistics'!$A$14:$A$27,0))</f>
        <v>4.3299999999999998E-2</v>
      </c>
      <c r="I12" s="1">
        <f>INDEX('Operating Statistics'!G$14:G$27,MATCH('COMPCO AND BENCHMARKING'!$C12,'Operating Statistics'!$A$14:$A$27,0))</f>
        <v>-2.4199999999999999E-2</v>
      </c>
      <c r="J12" s="1">
        <f>INDEX('Operating Statistics'!H$14:H$27,MATCH('COMPCO AND BENCHMARKING'!$C12,'Operating Statistics'!$A$14:$A$27,0))</f>
        <v>-5.3199999999999997E-2</v>
      </c>
      <c r="K12" s="1">
        <f>INDEX('Operating Statistics'!I$14:I$27,MATCH('COMPCO AND BENCHMARKING'!$C12,'Operating Statistics'!$A$14:$A$27,0))</f>
        <v>0.2727</v>
      </c>
      <c r="L12" s="1">
        <f>INDEX('Operating Statistics'!J$14:J$27,MATCH('COMPCO AND BENCHMARKING'!$C12,'Operating Statistics'!$A$14:$A$27,0))</f>
        <v>0.70940000000000003</v>
      </c>
      <c r="M12" s="1">
        <f>INDEX('Operating Statistics'!K$14:K$27,MATCH('COMPCO AND BENCHMARKING'!$C12,'Operating Statistics'!$A$14:$A$27,0))</f>
        <v>1.9</v>
      </c>
      <c r="N12" s="1">
        <f>INDEX('Operating Statistics'!L$14:L$27,MATCH('COMPCO AND BENCHMARKING'!$C12,'Operating Statistics'!$A$14:$A$27,0))</f>
        <v>6.4699999999999994E-2</v>
      </c>
      <c r="O12" s="1">
        <f>INDEX('Operating Statistics'!M$14:M$27,MATCH('COMPCO AND BENCHMARKING'!$C12,'Operating Statistics'!$A$14:$A$27,0))</f>
        <v>1.18</v>
      </c>
    </row>
    <row r="13" spans="3:15" x14ac:dyDescent="0.2">
      <c r="C13" t="s">
        <v>32</v>
      </c>
      <c r="D13" s="1">
        <f>INDEX('Operating Statistics'!B$14:B$27,MATCH('COMPCO AND BENCHMARKING'!$C13,'Operating Statistics'!$A$14:$A$27,0))</f>
        <v>0.57199999999999995</v>
      </c>
      <c r="E13" s="1">
        <f>INDEX('Operating Statistics'!C$14:C$27,MATCH('COMPCO AND BENCHMARKING'!$C13,'Operating Statistics'!$A$14:$A$27,0))</f>
        <v>0.379</v>
      </c>
      <c r="F13" s="1">
        <f>INDEX('Operating Statistics'!D$14:D$27,MATCH('COMPCO AND BENCHMARKING'!$C13,'Operating Statistics'!$A$14:$A$27,0))</f>
        <v>0.33800000000000002</v>
      </c>
      <c r="G13" s="1">
        <f>INDEX('Operating Statistics'!E$14:E$27,MATCH('COMPCO AND BENCHMARKING'!$C13,'Operating Statistics'!$A$14:$A$27,0))</f>
        <v>0.27400000000000002</v>
      </c>
      <c r="H13" s="1">
        <f>INDEX('Operating Statistics'!F$14:F$27,MATCH('COMPCO AND BENCHMARKING'!$C13,'Operating Statistics'!$A$14:$A$27,0))</f>
        <v>0.19209999999999999</v>
      </c>
      <c r="I13" s="1">
        <f>INDEX('Operating Statistics'!G$14:G$27,MATCH('COMPCO AND BENCHMARKING'!$C13,'Operating Statistics'!$A$14:$A$27,0))</f>
        <v>0.27789999999999998</v>
      </c>
      <c r="J13" s="1">
        <f>INDEX('Operating Statistics'!H$14:H$27,MATCH('COMPCO AND BENCHMARKING'!$C13,'Operating Statistics'!$A$14:$A$27,0))</f>
        <v>0.30680000000000002</v>
      </c>
      <c r="K13" s="1">
        <f>INDEX('Operating Statistics'!I$14:I$27,MATCH('COMPCO AND BENCHMARKING'!$C13,'Operating Statistics'!$A$14:$A$27,0))</f>
        <v>0.1787</v>
      </c>
      <c r="L13" s="1">
        <f>INDEX('Operating Statistics'!J$14:J$27,MATCH('COMPCO AND BENCHMARKING'!$C13,'Operating Statistics'!$A$14:$A$27,0))</f>
        <v>0.47289999999999999</v>
      </c>
      <c r="M13" s="1">
        <f>INDEX('Operating Statistics'!K$14:K$27,MATCH('COMPCO AND BENCHMARKING'!$C13,'Operating Statistics'!$A$14:$A$27,0))</f>
        <v>1</v>
      </c>
      <c r="N13" s="1">
        <f>INDEX('Operating Statistics'!L$14:L$27,MATCH('COMPCO AND BENCHMARKING'!$C13,'Operating Statistics'!$A$14:$A$27,0))</f>
        <v>5.8299999999999998E-2</v>
      </c>
      <c r="O13" s="1">
        <f>INDEX('Operating Statistics'!M$14:M$27,MATCH('COMPCO AND BENCHMARKING'!$C13,'Operating Statistics'!$A$14:$A$27,0))</f>
        <v>1.27</v>
      </c>
    </row>
    <row r="14" spans="3:15" x14ac:dyDescent="0.2">
      <c r="C14" t="s">
        <v>33</v>
      </c>
      <c r="D14" s="1">
        <f>INDEX('Operating Statistics'!B$14:B$27,MATCH('COMPCO AND BENCHMARKING'!$C14,'Operating Statistics'!$A$14:$A$27,0))</f>
        <v>0.26300000000000001</v>
      </c>
      <c r="E14" s="1">
        <f>INDEX('Operating Statistics'!C$14:C$27,MATCH('COMPCO AND BENCHMARKING'!$C14,'Operating Statistics'!$A$14:$A$27,0))</f>
        <v>0.11</v>
      </c>
      <c r="F14" s="1">
        <f>INDEX('Operating Statistics'!D$14:D$27,MATCH('COMPCO AND BENCHMARKING'!$C14,'Operating Statistics'!$A$14:$A$27,0))</f>
        <v>5.5E-2</v>
      </c>
      <c r="G14" s="1">
        <f>INDEX('Operating Statistics'!E$14:E$27,MATCH('COMPCO AND BENCHMARKING'!$C14,'Operating Statistics'!$A$14:$A$27,0))</f>
        <v>-5.8999999999999999E-3</v>
      </c>
      <c r="H14" s="1">
        <f>INDEX('Operating Statistics'!F$14:F$27,MATCH('COMPCO AND BENCHMARKING'!$C14,'Operating Statistics'!$A$14:$A$27,0))</f>
        <v>-0.16839999999999999</v>
      </c>
      <c r="I14" s="1">
        <f>INDEX('Operating Statistics'!G$14:G$27,MATCH('COMPCO AND BENCHMARKING'!$C14,'Operating Statistics'!$A$14:$A$27,0))</f>
        <v>-0.4869</v>
      </c>
      <c r="J14" s="1">
        <f>INDEX('Operating Statistics'!H$14:H$27,MATCH('COMPCO AND BENCHMARKING'!$C14,'Operating Statistics'!$A$14:$A$27,0))</f>
        <v>-0.63590000000000002</v>
      </c>
      <c r="K14" s="1" t="str">
        <f>INDEX('Operating Statistics'!I$14:I$27,MATCH('COMPCO AND BENCHMARKING'!$C14,'Operating Statistics'!$A$14:$A$27,0))</f>
        <v>-</v>
      </c>
      <c r="L14" s="1">
        <f>INDEX('Operating Statistics'!J$14:J$27,MATCH('COMPCO AND BENCHMARKING'!$C14,'Operating Statistics'!$A$14:$A$27,0))</f>
        <v>0.378</v>
      </c>
      <c r="M14" s="1">
        <f>INDEX('Operating Statistics'!K$14:K$27,MATCH('COMPCO AND BENCHMARKING'!$C14,'Operating Statistics'!$A$14:$A$27,0))</f>
        <v>4.0999999999999996</v>
      </c>
      <c r="N14" s="1">
        <f>INDEX('Operating Statistics'!L$14:L$27,MATCH('COMPCO AND BENCHMARKING'!$C14,'Operating Statistics'!$A$14:$A$27,0))</f>
        <v>-5.8599999999999999E-2</v>
      </c>
      <c r="O14" s="1">
        <f>INDEX('Operating Statistics'!M$14:M$27,MATCH('COMPCO AND BENCHMARKING'!$C14,'Operating Statistics'!$A$14:$A$27,0))</f>
        <v>1.69</v>
      </c>
    </row>
    <row r="15" spans="3:15" x14ac:dyDescent="0.2">
      <c r="C15" t="s">
        <v>34</v>
      </c>
      <c r="D15" s="1">
        <f>INDEX('Operating Statistics'!B$14:B$27,MATCH('COMPCO AND BENCHMARKING'!$C15,'Operating Statistics'!$A$14:$A$27,0))</f>
        <v>0.42599999999999999</v>
      </c>
      <c r="E15" s="1">
        <f>INDEX('Operating Statistics'!C$14:C$27,MATCH('COMPCO AND BENCHMARKING'!$C15,'Operating Statistics'!$A$14:$A$27,0))</f>
        <v>0.24399999999999999</v>
      </c>
      <c r="F15" s="1">
        <f>INDEX('Operating Statistics'!D$14:D$27,MATCH('COMPCO AND BENCHMARKING'!$C15,'Operating Statistics'!$A$14:$A$27,0))</f>
        <v>3.6999999999999998E-2</v>
      </c>
      <c r="G15" s="1">
        <f>INDEX('Operating Statistics'!E$14:E$27,MATCH('COMPCO AND BENCHMARKING'!$C15,'Operating Statistics'!$A$14:$A$27,0))</f>
        <v>0.12709999999999999</v>
      </c>
      <c r="H15" s="1">
        <f>INDEX('Operating Statistics'!F$14:F$27,MATCH('COMPCO AND BENCHMARKING'!$C15,'Operating Statistics'!$A$14:$A$27,0))</f>
        <v>-0.2021</v>
      </c>
      <c r="I15" s="1">
        <f>INDEX('Operating Statistics'!G$14:G$27,MATCH('COMPCO AND BENCHMARKING'!$C15,'Operating Statistics'!$A$14:$A$27,0))</f>
        <v>-0.54620000000000002</v>
      </c>
      <c r="J15" s="1">
        <f>INDEX('Operating Statistics'!H$14:H$27,MATCH('COMPCO AND BENCHMARKING'!$C15,'Operating Statistics'!$A$14:$A$27,0))</f>
        <v>-0.89419999999999999</v>
      </c>
      <c r="K15" s="1">
        <f>INDEX('Operating Statistics'!I$14:I$27,MATCH('COMPCO AND BENCHMARKING'!$C15,'Operating Statistics'!$A$14:$A$27,0))</f>
        <v>-0.59660000000000002</v>
      </c>
      <c r="L15" s="1">
        <f>INDEX('Operating Statistics'!J$14:J$27,MATCH('COMPCO AND BENCHMARKING'!$C15,'Operating Statistics'!$A$14:$A$27,0))</f>
        <v>0.29139999999999999</v>
      </c>
      <c r="M15" s="1">
        <f>INDEX('Operating Statistics'!K$14:K$27,MATCH('COMPCO AND BENCHMARKING'!$C15,'Operating Statistics'!$A$14:$A$27,0))</f>
        <v>2.6</v>
      </c>
      <c r="N15" s="1">
        <f>INDEX('Operating Statistics'!L$14:L$27,MATCH('COMPCO AND BENCHMARKING'!$C15,'Operating Statistics'!$A$14:$A$27,0))</f>
        <v>5.6599999999999998E-2</v>
      </c>
      <c r="O15" s="1">
        <f>INDEX('Operating Statistics'!M$14:M$27,MATCH('COMPCO AND BENCHMARKING'!$C15,'Operating Statistics'!$A$14:$A$27,0))</f>
        <v>0.88</v>
      </c>
    </row>
    <row r="16" spans="3:15" x14ac:dyDescent="0.2">
      <c r="C16" t="s">
        <v>35</v>
      </c>
      <c r="D16" s="1">
        <f>INDEX('Operating Statistics'!B$14:B$27,MATCH('COMPCO AND BENCHMARKING'!$C16,'Operating Statistics'!$A$14:$A$27,0))</f>
        <v>0.371</v>
      </c>
      <c r="E16" s="1">
        <f>INDEX('Operating Statistics'!C$14:C$27,MATCH('COMPCO AND BENCHMARKING'!$C16,'Operating Statistics'!$A$14:$A$27,0))</f>
        <v>0.27300000000000002</v>
      </c>
      <c r="F16" s="1">
        <f>INDEX('Operating Statistics'!D$14:D$27,MATCH('COMPCO AND BENCHMARKING'!$C16,'Operating Statistics'!$A$14:$A$27,0))</f>
        <v>0.14399999999999999</v>
      </c>
      <c r="G16" s="1">
        <f>INDEX('Operating Statistics'!E$14:E$27,MATCH('COMPCO AND BENCHMARKING'!$C16,'Operating Statistics'!$A$14:$A$27,0))</f>
        <v>0.18110000000000001</v>
      </c>
      <c r="H16" s="1">
        <f>INDEX('Operating Statistics'!F$14:F$27,MATCH('COMPCO AND BENCHMARKING'!$C16,'Operating Statistics'!$A$14:$A$27,0))</f>
        <v>8.09E-2</v>
      </c>
      <c r="I16" s="1">
        <f>INDEX('Operating Statistics'!G$14:G$27,MATCH('COMPCO AND BENCHMARKING'!$C16,'Operating Statistics'!$A$14:$A$27,0))</f>
        <v>-2.76E-2</v>
      </c>
      <c r="J16" s="1">
        <f>INDEX('Operating Statistics'!H$14:H$27,MATCH('COMPCO AND BENCHMARKING'!$C16,'Operating Statistics'!$A$14:$A$27,0))</f>
        <v>-0.15989999999999999</v>
      </c>
      <c r="K16" s="1">
        <f>INDEX('Operating Statistics'!I$14:I$27,MATCH('COMPCO AND BENCHMARKING'!$C16,'Operating Statistics'!$A$14:$A$27,0))</f>
        <v>0.39460000000000001</v>
      </c>
      <c r="L16" s="1">
        <f>INDEX('Operating Statistics'!J$14:J$27,MATCH('COMPCO AND BENCHMARKING'!$C16,'Operating Statistics'!$A$14:$A$27,0))</f>
        <v>2.8299999999999999E-2</v>
      </c>
      <c r="M16" s="1">
        <f>INDEX('Operating Statistics'!K$14:K$27,MATCH('COMPCO AND BENCHMARKING'!$C16,'Operating Statistics'!$A$14:$A$27,0))</f>
        <v>0.1</v>
      </c>
      <c r="N16" s="1">
        <f>INDEX('Operating Statistics'!L$14:L$27,MATCH('COMPCO AND BENCHMARKING'!$C16,'Operating Statistics'!$A$14:$A$27,0))</f>
        <v>-0.17949999999999999</v>
      </c>
      <c r="O16" s="1">
        <f>INDEX('Operating Statistics'!M$14:M$27,MATCH('COMPCO AND BENCHMARKING'!$C16,'Operating Statistics'!$A$14:$A$27,0))</f>
        <v>0.94</v>
      </c>
    </row>
    <row r="17" spans="3:15" x14ac:dyDescent="0.2">
      <c r="C17" t="s">
        <v>36</v>
      </c>
      <c r="D17" s="1">
        <f>INDEX('Operating Statistics'!B$14:B$27,MATCH('COMPCO AND BENCHMARKING'!$C17,'Operating Statistics'!$A$14:$A$27,0))</f>
        <v>0.43099999999999999</v>
      </c>
      <c r="E17" s="1">
        <f>INDEX('Operating Statistics'!C$14:C$27,MATCH('COMPCO AND BENCHMARKING'!$C17,'Operating Statistics'!$A$14:$A$27,0))</f>
        <v>0.32300000000000001</v>
      </c>
      <c r="F17" s="1">
        <f>INDEX('Operating Statistics'!D$14:D$27,MATCH('COMPCO AND BENCHMARKING'!$C17,'Operating Statistics'!$A$14:$A$27,0))</f>
        <v>0.29399999999999998</v>
      </c>
      <c r="G17" s="1">
        <f>INDEX('Operating Statistics'!E$14:E$27,MATCH('COMPCO AND BENCHMARKING'!$C17,'Operating Statistics'!$A$14:$A$27,0))</f>
        <v>0.24560000000000001</v>
      </c>
      <c r="H17" s="1">
        <f>INDEX('Operating Statistics'!F$14:F$27,MATCH('COMPCO AND BENCHMARKING'!$C17,'Operating Statistics'!$A$14:$A$27,0))</f>
        <v>2.4400000000000002E-2</v>
      </c>
      <c r="I17" s="1">
        <f>INDEX('Operating Statistics'!G$14:G$27,MATCH('COMPCO AND BENCHMARKING'!$C17,'Operating Statistics'!$A$14:$A$27,0))</f>
        <v>-2.29E-2</v>
      </c>
      <c r="J17" s="1">
        <f>INDEX('Operating Statistics'!H$14:H$27,MATCH('COMPCO AND BENCHMARKING'!$C17,'Operating Statistics'!$A$14:$A$27,0))</f>
        <v>-2.5100000000000001E-2</v>
      </c>
      <c r="K17" s="1">
        <f>INDEX('Operating Statistics'!I$14:I$27,MATCH('COMPCO AND BENCHMARKING'!$C17,'Operating Statistics'!$A$14:$A$27,0))</f>
        <v>-5.3499999999999999E-2</v>
      </c>
      <c r="L17" s="1">
        <f>INDEX('Operating Statistics'!J$14:J$27,MATCH('COMPCO AND BENCHMARKING'!$C17,'Operating Statistics'!$A$14:$A$27,0))</f>
        <v>0.66200000000000003</v>
      </c>
      <c r="M17" s="1">
        <f>INDEX('Operating Statistics'!K$14:K$27,MATCH('COMPCO AND BENCHMARKING'!$C17,'Operating Statistics'!$A$14:$A$27,0))</f>
        <v>0.8</v>
      </c>
      <c r="N17" s="1">
        <f>INDEX('Operating Statistics'!L$14:L$27,MATCH('COMPCO AND BENCHMARKING'!$C17,'Operating Statistics'!$A$14:$A$27,0))</f>
        <v>0.1031</v>
      </c>
      <c r="O17" s="1">
        <f>INDEX('Operating Statistics'!M$14:M$27,MATCH('COMPCO AND BENCHMARKING'!$C17,'Operating Statistics'!$A$14:$A$27,0))</f>
        <v>1.3</v>
      </c>
    </row>
    <row r="22" spans="3:15" x14ac:dyDescent="0.2">
      <c r="C22" t="s">
        <v>190</v>
      </c>
    </row>
    <row r="23" spans="3:15" x14ac:dyDescent="0.2">
      <c r="C23" s="49">
        <v>0</v>
      </c>
    </row>
    <row r="24" spans="3:15" x14ac:dyDescent="0.2">
      <c r="C24">
        <f>C23+5%</f>
        <v>0.05</v>
      </c>
    </row>
    <row r="25" spans="3:15" x14ac:dyDescent="0.2">
      <c r="C25" s="1">
        <f t="shared" ref="C25:C43" si="0">C24+5%</f>
        <v>0.1</v>
      </c>
    </row>
    <row r="26" spans="3:15" x14ac:dyDescent="0.2">
      <c r="C26" s="1">
        <f t="shared" si="0"/>
        <v>0.15000000000000002</v>
      </c>
    </row>
    <row r="27" spans="3:15" x14ac:dyDescent="0.2">
      <c r="C27" s="1">
        <f t="shared" si="0"/>
        <v>0.2</v>
      </c>
    </row>
    <row r="28" spans="3:15" x14ac:dyDescent="0.2">
      <c r="C28" s="1">
        <f t="shared" si="0"/>
        <v>0.25</v>
      </c>
    </row>
    <row r="29" spans="3:15" x14ac:dyDescent="0.2">
      <c r="C29" s="1">
        <f t="shared" si="0"/>
        <v>0.3</v>
      </c>
    </row>
    <row r="30" spans="3:15" x14ac:dyDescent="0.2">
      <c r="C30" s="1">
        <f t="shared" si="0"/>
        <v>0.35</v>
      </c>
    </row>
    <row r="31" spans="3:15" x14ac:dyDescent="0.2">
      <c r="C31" s="1">
        <f t="shared" si="0"/>
        <v>0.39999999999999997</v>
      </c>
    </row>
    <row r="32" spans="3:15" x14ac:dyDescent="0.2">
      <c r="C32" s="1">
        <f t="shared" si="0"/>
        <v>0.44999999999999996</v>
      </c>
    </row>
    <row r="33" spans="3:3" x14ac:dyDescent="0.2">
      <c r="C33" s="1">
        <f t="shared" si="0"/>
        <v>0.49999999999999994</v>
      </c>
    </row>
    <row r="34" spans="3:3" x14ac:dyDescent="0.2">
      <c r="C34" s="1">
        <f t="shared" si="0"/>
        <v>0.54999999999999993</v>
      </c>
    </row>
    <row r="35" spans="3:3" x14ac:dyDescent="0.2">
      <c r="C35" s="1">
        <f t="shared" si="0"/>
        <v>0.6</v>
      </c>
    </row>
    <row r="36" spans="3:3" x14ac:dyDescent="0.2">
      <c r="C36" s="1">
        <f t="shared" si="0"/>
        <v>0.65</v>
      </c>
    </row>
    <row r="37" spans="3:3" x14ac:dyDescent="0.2">
      <c r="C37" s="1">
        <f t="shared" si="0"/>
        <v>0.70000000000000007</v>
      </c>
    </row>
    <row r="38" spans="3:3" x14ac:dyDescent="0.2">
      <c r="C38" s="1">
        <f t="shared" si="0"/>
        <v>0.75000000000000011</v>
      </c>
    </row>
    <row r="39" spans="3:3" x14ac:dyDescent="0.2">
      <c r="C39" s="1">
        <f t="shared" si="0"/>
        <v>0.80000000000000016</v>
      </c>
    </row>
    <row r="40" spans="3:3" x14ac:dyDescent="0.2">
      <c r="C40" s="1">
        <f t="shared" si="0"/>
        <v>0.8500000000000002</v>
      </c>
    </row>
    <row r="41" spans="3:3" x14ac:dyDescent="0.2">
      <c r="C41" s="1">
        <f t="shared" si="0"/>
        <v>0.90000000000000024</v>
      </c>
    </row>
    <row r="42" spans="3:3" x14ac:dyDescent="0.2">
      <c r="C42" s="1">
        <f t="shared" si="0"/>
        <v>0.95000000000000029</v>
      </c>
    </row>
    <row r="43" spans="3:3" x14ac:dyDescent="0.2">
      <c r="C43" s="1">
        <f t="shared" si="0"/>
        <v>1.0000000000000002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79F6C-3B59-4EFE-A32A-86949D3AEB0C}">
  <sheetPr codeName="Sheet2">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2" t="s">
        <v>0</v>
      </c>
    </row>
    <row r="7" spans="1:255" x14ac:dyDescent="0.2">
      <c r="A7" s="3" t="s">
        <v>1</v>
      </c>
      <c r="B7" s="3"/>
      <c r="C7" s="3"/>
      <c r="D7" s="3"/>
      <c r="E7" s="3"/>
      <c r="F7" s="3"/>
      <c r="G7" s="3"/>
      <c r="H7" s="3"/>
      <c r="I7" s="3"/>
      <c r="J7" s="3"/>
      <c r="K7" s="3"/>
      <c r="L7" s="3"/>
      <c r="M7" s="3"/>
      <c r="N7" s="3"/>
      <c r="O7" s="3"/>
      <c r="P7" s="3"/>
      <c r="Q7" s="3"/>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row>
    <row r="8" spans="1:255" x14ac:dyDescent="0.2">
      <c r="A8" s="4" t="s">
        <v>2</v>
      </c>
      <c r="B8" s="5" t="s">
        <v>3</v>
      </c>
    </row>
    <row r="9" spans="1:255" x14ac:dyDescent="0.2">
      <c r="A9" s="4" t="s">
        <v>4</v>
      </c>
      <c r="B9" s="5" t="s">
        <v>5</v>
      </c>
    </row>
    <row r="10" spans="1:255" x14ac:dyDescent="0.2">
      <c r="A10" s="4" t="s">
        <v>6</v>
      </c>
      <c r="B10" s="6">
        <v>45034</v>
      </c>
    </row>
    <row r="11" spans="1:255" x14ac:dyDescent="0.2">
      <c r="A11" s="7"/>
    </row>
    <row r="13" spans="1:255" x14ac:dyDescent="0.2">
      <c r="A13" s="3" t="s">
        <v>7</v>
      </c>
      <c r="B13" s="3"/>
      <c r="C13" s="3"/>
      <c r="D13" s="3"/>
      <c r="E13" s="3"/>
      <c r="F13" s="3"/>
      <c r="G13" s="3"/>
      <c r="H13" s="3"/>
      <c r="I13" s="3"/>
      <c r="J13" s="3"/>
      <c r="K13" s="3"/>
      <c r="L13" s="3"/>
      <c r="M13" s="3"/>
      <c r="N13" s="3"/>
      <c r="O13" s="3"/>
      <c r="P13" s="3"/>
      <c r="Q13" s="3"/>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row>
    <row r="14" spans="1:255" ht="20.399999999999999" x14ac:dyDescent="0.2">
      <c r="A14" s="8" t="s">
        <v>8</v>
      </c>
      <c r="B14" s="12" t="s">
        <v>9</v>
      </c>
      <c r="C14" s="12" t="s">
        <v>10</v>
      </c>
      <c r="D14" s="12" t="s">
        <v>11</v>
      </c>
      <c r="E14" s="12" t="s">
        <v>12</v>
      </c>
      <c r="F14" s="12" t="s">
        <v>13</v>
      </c>
      <c r="G14" s="12" t="s">
        <v>14</v>
      </c>
      <c r="H14" s="12" t="s">
        <v>15</v>
      </c>
      <c r="I14" s="12" t="s">
        <v>16</v>
      </c>
      <c r="J14" s="16" t="s">
        <v>17</v>
      </c>
      <c r="K14" s="12" t="s">
        <v>18</v>
      </c>
      <c r="L14" s="12" t="s">
        <v>19</v>
      </c>
      <c r="M14" s="12" t="s">
        <v>20</v>
      </c>
      <c r="N14" s="12" t="s">
        <v>21</v>
      </c>
      <c r="O14" s="12" t="s">
        <v>22</v>
      </c>
      <c r="P14" s="12" t="s">
        <v>23</v>
      </c>
      <c r="Q14" s="12" t="s">
        <v>24</v>
      </c>
    </row>
    <row r="15" spans="1:255" ht="12" customHeight="1" x14ac:dyDescent="0.2">
      <c r="A15" s="8" t="s">
        <v>25</v>
      </c>
      <c r="B15" s="13">
        <v>102.3</v>
      </c>
      <c r="C15" s="14">
        <v>10258</v>
      </c>
      <c r="D15" s="14">
        <v>1049393.5</v>
      </c>
      <c r="E15" s="14">
        <v>99912</v>
      </c>
      <c r="F15" s="15" t="s">
        <v>26</v>
      </c>
      <c r="G15" s="15" t="s">
        <v>26</v>
      </c>
      <c r="H15" s="14">
        <v>1149305.5</v>
      </c>
      <c r="I15" s="13">
        <v>11.68</v>
      </c>
      <c r="J15" s="17">
        <v>44960</v>
      </c>
      <c r="K15" s="14">
        <v>513983</v>
      </c>
      <c r="L15" s="14">
        <v>54169</v>
      </c>
      <c r="M15" s="14">
        <v>12248</v>
      </c>
      <c r="N15" s="13">
        <v>-0.27</v>
      </c>
      <c r="O15" s="13">
        <v>557360.23</v>
      </c>
      <c r="P15" s="13">
        <v>86130.29</v>
      </c>
      <c r="Q15" s="13">
        <v>1.42</v>
      </c>
    </row>
    <row r="16" spans="1:255" ht="12" customHeight="1" x14ac:dyDescent="0.2">
      <c r="A16" s="8" t="s">
        <v>27</v>
      </c>
      <c r="B16" s="13">
        <v>104.5</v>
      </c>
      <c r="C16" s="14">
        <v>12807</v>
      </c>
      <c r="D16" s="14">
        <v>1342031.7</v>
      </c>
      <c r="E16" s="14">
        <v>-83785</v>
      </c>
      <c r="F16" s="15" t="s">
        <v>26</v>
      </c>
      <c r="G16" s="15" t="s">
        <v>26</v>
      </c>
      <c r="H16" s="14">
        <v>1258246.7</v>
      </c>
      <c r="I16" s="13">
        <v>17.52</v>
      </c>
      <c r="J16" s="17">
        <v>44960</v>
      </c>
      <c r="K16" s="14">
        <v>282836</v>
      </c>
      <c r="L16" s="14">
        <v>90771</v>
      </c>
      <c r="M16" s="14">
        <v>74842</v>
      </c>
      <c r="N16" s="13">
        <v>4.5599999999999996</v>
      </c>
      <c r="O16" s="13">
        <v>298853.96999999997</v>
      </c>
      <c r="P16" s="13">
        <v>115679.22</v>
      </c>
      <c r="Q16" s="13">
        <v>5.08</v>
      </c>
    </row>
    <row r="17" spans="1:17" ht="12" customHeight="1" x14ac:dyDescent="0.2">
      <c r="A17" s="8" t="s">
        <v>28</v>
      </c>
      <c r="B17" s="13">
        <v>45.5</v>
      </c>
      <c r="C17" s="14">
        <v>731.2</v>
      </c>
      <c r="D17" s="14">
        <v>33269.800000000003</v>
      </c>
      <c r="E17" s="14">
        <v>21877</v>
      </c>
      <c r="F17" s="15" t="s">
        <v>26</v>
      </c>
      <c r="G17" s="13">
        <v>97</v>
      </c>
      <c r="H17" s="14">
        <v>55243.8</v>
      </c>
      <c r="I17" s="13">
        <v>-41.81</v>
      </c>
      <c r="J17" s="17">
        <v>45015</v>
      </c>
      <c r="K17" s="14">
        <v>102301</v>
      </c>
      <c r="L17" s="14">
        <v>7807</v>
      </c>
      <c r="M17" s="14">
        <v>5771</v>
      </c>
      <c r="N17" s="13">
        <v>3.24</v>
      </c>
      <c r="O17" s="13">
        <v>87067.81</v>
      </c>
      <c r="P17" s="13">
        <v>9408.0499999999993</v>
      </c>
      <c r="Q17" s="13">
        <v>5.3</v>
      </c>
    </row>
    <row r="18" spans="1:17" ht="12" customHeight="1" x14ac:dyDescent="0.2">
      <c r="A18" s="8" t="s">
        <v>29</v>
      </c>
      <c r="B18" s="13">
        <v>31.22</v>
      </c>
      <c r="C18" s="14">
        <v>985.3</v>
      </c>
      <c r="D18" s="14">
        <v>30761.9</v>
      </c>
      <c r="E18" s="14">
        <v>10388</v>
      </c>
      <c r="F18" s="15" t="s">
        <v>26</v>
      </c>
      <c r="G18" s="15" t="s">
        <v>26</v>
      </c>
      <c r="H18" s="14">
        <v>41149.9</v>
      </c>
      <c r="I18" s="13">
        <v>-14.39</v>
      </c>
      <c r="J18" s="17">
        <v>44986</v>
      </c>
      <c r="K18" s="14">
        <v>59783</v>
      </c>
      <c r="L18" s="14">
        <v>5562</v>
      </c>
      <c r="M18" s="14">
        <v>4770</v>
      </c>
      <c r="N18" s="13">
        <v>2.54</v>
      </c>
      <c r="O18" s="13">
        <v>55659.49</v>
      </c>
      <c r="P18" s="13">
        <v>5571.67</v>
      </c>
      <c r="Q18" s="13">
        <v>3.46</v>
      </c>
    </row>
    <row r="19" spans="1:17" ht="12" customHeight="1" x14ac:dyDescent="0.2">
      <c r="A19" s="8" t="s">
        <v>30</v>
      </c>
      <c r="B19" s="13">
        <v>15.78</v>
      </c>
      <c r="C19" s="14">
        <v>1295.9000000000001</v>
      </c>
      <c r="D19" s="14">
        <v>20448.8</v>
      </c>
      <c r="E19" s="14">
        <v>11533</v>
      </c>
      <c r="F19" s="15" t="s">
        <v>26</v>
      </c>
      <c r="G19" s="13">
        <v>52</v>
      </c>
      <c r="H19" s="14">
        <v>32033.8</v>
      </c>
      <c r="I19" s="13">
        <v>1.48</v>
      </c>
      <c r="J19" s="17">
        <v>44992</v>
      </c>
      <c r="K19" s="14">
        <v>29344</v>
      </c>
      <c r="L19" s="14">
        <v>4934</v>
      </c>
      <c r="M19" s="14">
        <v>2419</v>
      </c>
      <c r="N19" s="13">
        <v>0.65</v>
      </c>
      <c r="O19" s="13">
        <v>29574.5</v>
      </c>
      <c r="P19" s="13">
        <v>5446.6</v>
      </c>
      <c r="Q19" s="13">
        <v>1.95</v>
      </c>
    </row>
    <row r="20" spans="1:17" ht="12" customHeight="1" x14ac:dyDescent="0.2">
      <c r="A20" s="8" t="s">
        <v>31</v>
      </c>
      <c r="B20" s="13">
        <v>67.959999999999994</v>
      </c>
      <c r="C20" s="14">
        <v>213.9</v>
      </c>
      <c r="D20" s="14">
        <v>14537</v>
      </c>
      <c r="E20" s="14">
        <v>-457</v>
      </c>
      <c r="F20" s="15" t="s">
        <v>26</v>
      </c>
      <c r="G20" s="15" t="s">
        <v>26</v>
      </c>
      <c r="H20" s="14">
        <v>14080</v>
      </c>
      <c r="I20" s="13">
        <v>-8.7100000000000009</v>
      </c>
      <c r="J20" s="17">
        <v>44986</v>
      </c>
      <c r="K20" s="14">
        <v>6461</v>
      </c>
      <c r="L20" s="14">
        <v>1330</v>
      </c>
      <c r="M20" s="14">
        <v>1138</v>
      </c>
      <c r="N20" s="13">
        <v>5.78</v>
      </c>
      <c r="O20" s="13">
        <v>6143.6</v>
      </c>
      <c r="P20" s="13">
        <v>1593.77</v>
      </c>
      <c r="Q20" s="13">
        <v>5.42</v>
      </c>
    </row>
    <row r="21" spans="1:17" ht="12" customHeight="1" x14ac:dyDescent="0.2">
      <c r="A21" s="8" t="s">
        <v>32</v>
      </c>
      <c r="B21" s="13">
        <v>118.36</v>
      </c>
      <c r="C21" s="14">
        <v>1115</v>
      </c>
      <c r="D21" s="14">
        <v>131971.4</v>
      </c>
      <c r="E21" s="14">
        <v>8639</v>
      </c>
      <c r="F21" s="15" t="s">
        <v>26</v>
      </c>
      <c r="G21" s="15" t="s">
        <v>26</v>
      </c>
      <c r="H21" s="14">
        <v>140610.4</v>
      </c>
      <c r="I21" s="13">
        <v>5.76</v>
      </c>
      <c r="J21" s="17">
        <v>44959</v>
      </c>
      <c r="K21" s="14">
        <v>42958</v>
      </c>
      <c r="L21" s="14">
        <v>16295</v>
      </c>
      <c r="M21" s="14">
        <v>14541</v>
      </c>
      <c r="N21" s="13">
        <v>10.44</v>
      </c>
      <c r="O21" s="13">
        <v>39612.629999999997</v>
      </c>
      <c r="P21" s="13">
        <v>15286.99</v>
      </c>
      <c r="Q21" s="13">
        <v>9.9700000000000006</v>
      </c>
    </row>
    <row r="22" spans="1:17" ht="12" customHeight="1" x14ac:dyDescent="0.2">
      <c r="A22" s="8" t="s">
        <v>33</v>
      </c>
      <c r="B22" s="13">
        <v>35.72</v>
      </c>
      <c r="C22" s="14">
        <v>319.3</v>
      </c>
      <c r="D22" s="14">
        <v>11406.4</v>
      </c>
      <c r="E22" s="14">
        <v>5490</v>
      </c>
      <c r="F22" s="15" t="s">
        <v>26</v>
      </c>
      <c r="G22" s="15" t="s">
        <v>26</v>
      </c>
      <c r="H22" s="14">
        <v>16896.400000000001</v>
      </c>
      <c r="I22" s="13">
        <v>6.08</v>
      </c>
      <c r="J22" s="17">
        <v>44960</v>
      </c>
      <c r="K22" s="14">
        <v>15752</v>
      </c>
      <c r="L22" s="14">
        <v>1739</v>
      </c>
      <c r="M22" s="14">
        <v>872</v>
      </c>
      <c r="N22" s="13">
        <v>-0.3</v>
      </c>
      <c r="O22" s="13">
        <v>12305.29</v>
      </c>
      <c r="P22" s="13">
        <v>746.55</v>
      </c>
      <c r="Q22" s="13">
        <v>-3.19</v>
      </c>
    </row>
    <row r="23" spans="1:17" ht="12" customHeight="1" x14ac:dyDescent="0.2">
      <c r="A23" s="8" t="s">
        <v>34</v>
      </c>
      <c r="B23" s="13">
        <v>31.83</v>
      </c>
      <c r="C23" s="14">
        <v>4137</v>
      </c>
      <c r="D23" s="14">
        <v>131680.70000000001</v>
      </c>
      <c r="E23" s="14">
        <v>12793</v>
      </c>
      <c r="F23" s="15" t="s">
        <v>26</v>
      </c>
      <c r="G23" s="13">
        <v>1863</v>
      </c>
      <c r="H23" s="14">
        <v>146336.70000000001</v>
      </c>
      <c r="I23" s="13">
        <v>16.39</v>
      </c>
      <c r="J23" s="17">
        <v>44953</v>
      </c>
      <c r="K23" s="14">
        <v>63054</v>
      </c>
      <c r="L23" s="14">
        <v>15371</v>
      </c>
      <c r="M23" s="14">
        <v>2336</v>
      </c>
      <c r="N23" s="13">
        <v>1.94</v>
      </c>
      <c r="O23" s="13">
        <v>50843.88</v>
      </c>
      <c r="P23" s="13">
        <v>10020.44</v>
      </c>
      <c r="Q23" s="13">
        <v>0.51</v>
      </c>
    </row>
    <row r="24" spans="1:17" ht="12" customHeight="1" x14ac:dyDescent="0.2">
      <c r="A24" s="8" t="s">
        <v>35</v>
      </c>
      <c r="B24" s="13">
        <v>49.78</v>
      </c>
      <c r="C24" s="14">
        <v>6792.7</v>
      </c>
      <c r="D24" s="14">
        <v>331946.40000000002</v>
      </c>
      <c r="E24" s="14">
        <v>-79595.399999999994</v>
      </c>
      <c r="F24" s="15" t="s">
        <v>26</v>
      </c>
      <c r="G24" s="13">
        <v>7256.92</v>
      </c>
      <c r="H24" s="14">
        <v>259607.9</v>
      </c>
      <c r="I24" s="13">
        <v>36.31</v>
      </c>
      <c r="J24" s="17">
        <v>44973</v>
      </c>
      <c r="K24" s="14">
        <v>229338.3</v>
      </c>
      <c r="L24" s="14">
        <v>62590.5</v>
      </c>
      <c r="M24" s="14">
        <v>32914.9</v>
      </c>
      <c r="N24" s="13">
        <v>6.11</v>
      </c>
      <c r="O24" s="13">
        <v>212145.55</v>
      </c>
      <c r="P24" s="13">
        <v>45792.92</v>
      </c>
      <c r="Q24" s="13">
        <v>1.71</v>
      </c>
    </row>
    <row r="25" spans="1:17" x14ac:dyDescent="0.2">
      <c r="A25" s="9"/>
      <c r="B25" s="9"/>
      <c r="C25" s="9"/>
      <c r="D25" s="9"/>
      <c r="E25" s="9"/>
      <c r="F25" s="9"/>
      <c r="G25" s="9"/>
      <c r="H25" s="9"/>
      <c r="I25" s="9"/>
      <c r="J25" s="9"/>
      <c r="K25" s="9"/>
      <c r="L25" s="9"/>
      <c r="M25" s="9"/>
      <c r="N25" s="9"/>
      <c r="O25" s="9"/>
      <c r="P25" s="9"/>
      <c r="Q25" s="9"/>
    </row>
    <row r="26" spans="1:17" x14ac:dyDescent="0.2">
      <c r="A26" s="10"/>
      <c r="B26" s="10"/>
      <c r="C26" s="10"/>
      <c r="D26" s="10"/>
      <c r="E26" s="10"/>
      <c r="F26" s="10"/>
      <c r="G26" s="10"/>
      <c r="H26" s="10"/>
      <c r="I26" s="10"/>
      <c r="J26" s="10"/>
      <c r="K26" s="10"/>
      <c r="L26" s="10"/>
      <c r="M26" s="10"/>
      <c r="N26" s="10"/>
      <c r="O26" s="10"/>
      <c r="P26" s="10"/>
      <c r="Q26" s="10"/>
    </row>
    <row r="27" spans="1:17" ht="12" customHeight="1" x14ac:dyDescent="0.2">
      <c r="A27" s="8" t="s">
        <v>36</v>
      </c>
      <c r="B27" s="13">
        <v>166.47</v>
      </c>
      <c r="C27" s="14">
        <v>15821.9</v>
      </c>
      <c r="D27" s="14">
        <v>2633879.4</v>
      </c>
      <c r="E27" s="14">
        <v>-54340</v>
      </c>
      <c r="F27" s="15" t="s">
        <v>26</v>
      </c>
      <c r="G27" s="15" t="s">
        <v>26</v>
      </c>
      <c r="H27" s="14">
        <v>2579539.4</v>
      </c>
      <c r="I27" s="13">
        <v>3.58</v>
      </c>
      <c r="J27" s="17">
        <v>44960</v>
      </c>
      <c r="K27" s="14">
        <v>387537</v>
      </c>
      <c r="L27" s="14">
        <v>125288</v>
      </c>
      <c r="M27" s="14">
        <v>113965</v>
      </c>
      <c r="N27" s="13">
        <v>5.87</v>
      </c>
      <c r="O27" s="13">
        <v>398625.39</v>
      </c>
      <c r="P27" s="13">
        <v>125701.43</v>
      </c>
      <c r="Q27" s="13">
        <v>6.2</v>
      </c>
    </row>
    <row r="28" spans="1:17" x14ac:dyDescent="0.2">
      <c r="A28" s="9"/>
      <c r="B28" s="9"/>
      <c r="C28" s="9"/>
      <c r="D28" s="9"/>
      <c r="E28" s="9"/>
      <c r="F28" s="9"/>
      <c r="G28" s="9"/>
      <c r="H28" s="9"/>
      <c r="I28" s="9"/>
      <c r="J28" s="9"/>
      <c r="K28" s="9"/>
      <c r="L28" s="9"/>
      <c r="M28" s="9"/>
      <c r="N28" s="9"/>
      <c r="O28" s="9"/>
      <c r="P28" s="9"/>
      <c r="Q28" s="9"/>
    </row>
    <row r="29" spans="1:17" ht="20.399999999999999" x14ac:dyDescent="0.2">
      <c r="A29" s="8" t="s">
        <v>37</v>
      </c>
      <c r="B29" s="12" t="s">
        <v>9</v>
      </c>
      <c r="C29" s="12" t="s">
        <v>10</v>
      </c>
      <c r="D29" s="12" t="s">
        <v>11</v>
      </c>
      <c r="E29" s="12" t="s">
        <v>12</v>
      </c>
      <c r="F29" s="12" t="s">
        <v>13</v>
      </c>
      <c r="G29" s="12" t="s">
        <v>14</v>
      </c>
      <c r="H29" s="12" t="s">
        <v>15</v>
      </c>
      <c r="I29" s="12" t="s">
        <v>16</v>
      </c>
      <c r="J29" s="16" t="s">
        <v>17</v>
      </c>
      <c r="K29" s="12" t="s">
        <v>18</v>
      </c>
      <c r="L29" s="12" t="s">
        <v>19</v>
      </c>
      <c r="M29" s="12" t="s">
        <v>20</v>
      </c>
      <c r="N29" s="12" t="s">
        <v>21</v>
      </c>
      <c r="O29" s="12" t="s">
        <v>22</v>
      </c>
      <c r="P29" s="12" t="s">
        <v>23</v>
      </c>
      <c r="Q29" s="12" t="s">
        <v>24</v>
      </c>
    </row>
    <row r="30" spans="1:17" x14ac:dyDescent="0.2">
      <c r="A30" s="8" t="s">
        <v>38</v>
      </c>
      <c r="B30" s="13">
        <v>118.36</v>
      </c>
      <c r="C30" s="14">
        <v>12807</v>
      </c>
      <c r="D30" s="14">
        <v>1342031.7</v>
      </c>
      <c r="E30" s="14">
        <v>99912</v>
      </c>
      <c r="F30" s="15" t="s">
        <v>26</v>
      </c>
      <c r="G30" s="13">
        <v>7256.92</v>
      </c>
      <c r="H30" s="14">
        <v>1258246.7</v>
      </c>
      <c r="I30" s="13">
        <v>36.31</v>
      </c>
      <c r="J30" s="18" t="s">
        <v>26</v>
      </c>
      <c r="K30" s="14">
        <v>513983</v>
      </c>
      <c r="L30" s="14">
        <v>90771</v>
      </c>
      <c r="M30" s="14">
        <v>74842</v>
      </c>
      <c r="N30" s="13">
        <v>10.44</v>
      </c>
      <c r="O30" s="13">
        <v>557360.23</v>
      </c>
      <c r="P30" s="13">
        <v>115679.22</v>
      </c>
      <c r="Q30" s="13">
        <v>9.9700000000000006</v>
      </c>
    </row>
    <row r="31" spans="1:17" x14ac:dyDescent="0.2">
      <c r="A31" s="8" t="s">
        <v>39</v>
      </c>
      <c r="B31" s="13">
        <v>15.78</v>
      </c>
      <c r="C31" s="14">
        <v>213.9</v>
      </c>
      <c r="D31" s="14">
        <v>11406.4</v>
      </c>
      <c r="E31" s="14">
        <v>-83785</v>
      </c>
      <c r="F31" s="15" t="s">
        <v>26</v>
      </c>
      <c r="G31" s="13">
        <v>52</v>
      </c>
      <c r="H31" s="14">
        <v>14080</v>
      </c>
      <c r="I31" s="13">
        <v>-41.81</v>
      </c>
      <c r="J31" s="18" t="s">
        <v>26</v>
      </c>
      <c r="K31" s="14">
        <v>6461</v>
      </c>
      <c r="L31" s="14">
        <v>1330</v>
      </c>
      <c r="M31" s="14">
        <v>872</v>
      </c>
      <c r="N31" s="13">
        <v>-0.3</v>
      </c>
      <c r="O31" s="13">
        <v>6143.6</v>
      </c>
      <c r="P31" s="13">
        <v>746.55</v>
      </c>
      <c r="Q31" s="13">
        <v>-3.19</v>
      </c>
    </row>
    <row r="32" spans="1:17" x14ac:dyDescent="0.2">
      <c r="A32" s="8" t="s">
        <v>40</v>
      </c>
      <c r="B32" s="13">
        <v>60.29</v>
      </c>
      <c r="C32" s="14">
        <v>3865.5</v>
      </c>
      <c r="D32" s="14">
        <v>309744.8</v>
      </c>
      <c r="E32" s="14">
        <v>679.5</v>
      </c>
      <c r="F32" s="15" t="s">
        <v>26</v>
      </c>
      <c r="G32" s="13">
        <v>2317.23</v>
      </c>
      <c r="H32" s="14">
        <v>311351.09999999998</v>
      </c>
      <c r="I32" s="13">
        <v>3.03</v>
      </c>
      <c r="J32" s="18" t="s">
        <v>26</v>
      </c>
      <c r="K32" s="14">
        <v>134581</v>
      </c>
      <c r="L32" s="14">
        <v>26056.799999999999</v>
      </c>
      <c r="M32" s="14">
        <v>15185.2</v>
      </c>
      <c r="N32" s="13">
        <v>3.47</v>
      </c>
      <c r="O32" s="13">
        <v>134956.70000000001</v>
      </c>
      <c r="P32" s="13">
        <v>29567.65</v>
      </c>
      <c r="Q32" s="13">
        <v>3.16</v>
      </c>
    </row>
    <row r="33" spans="1:17" x14ac:dyDescent="0.2">
      <c r="A33" s="8" t="s">
        <v>41</v>
      </c>
      <c r="B33" s="13">
        <v>47.64</v>
      </c>
      <c r="C33" s="14">
        <v>1205.4000000000001</v>
      </c>
      <c r="D33" s="14">
        <v>82475.3</v>
      </c>
      <c r="E33" s="14">
        <v>9513.5</v>
      </c>
      <c r="F33" s="15" t="s">
        <v>26</v>
      </c>
      <c r="G33" s="13">
        <v>980</v>
      </c>
      <c r="H33" s="14">
        <v>97927.1</v>
      </c>
      <c r="I33" s="13">
        <v>5.92</v>
      </c>
      <c r="J33" s="18" t="s">
        <v>26</v>
      </c>
      <c r="K33" s="14">
        <v>61418.5</v>
      </c>
      <c r="L33" s="14">
        <v>11589</v>
      </c>
      <c r="M33" s="14">
        <v>5270.5</v>
      </c>
      <c r="N33" s="13">
        <v>2.89</v>
      </c>
      <c r="O33" s="13">
        <v>53251.68</v>
      </c>
      <c r="P33" s="13">
        <v>9714.24</v>
      </c>
      <c r="Q33" s="13">
        <v>2.7</v>
      </c>
    </row>
    <row r="34" spans="1:17" x14ac:dyDescent="0.2">
      <c r="A34" s="11"/>
      <c r="B34" s="11"/>
      <c r="C34" s="11"/>
      <c r="D34" s="11"/>
      <c r="E34" s="11"/>
      <c r="F34" s="11"/>
      <c r="G34" s="11"/>
      <c r="H34" s="11"/>
      <c r="I34" s="11"/>
      <c r="J34" s="11"/>
      <c r="K34" s="11"/>
      <c r="L34" s="11"/>
      <c r="M34" s="11"/>
      <c r="N34" s="11"/>
      <c r="O34" s="11"/>
      <c r="P34" s="11"/>
      <c r="Q34" s="11"/>
    </row>
    <row r="36" spans="1:17" x14ac:dyDescent="0.2">
      <c r="A36" s="7" t="s">
        <v>42</v>
      </c>
    </row>
    <row r="41" spans="1:17" x14ac:dyDescent="0.2">
      <c r="A41" t="s">
        <v>43</v>
      </c>
    </row>
    <row r="42" spans="1:17" x14ac:dyDescent="0.2">
      <c r="A42" t="s">
        <v>44</v>
      </c>
    </row>
    <row r="50" spans="1:3" ht="25.05" customHeight="1" x14ac:dyDescent="0.2">
      <c r="A50" s="46" t="s">
        <v>45</v>
      </c>
      <c r="B50" s="47"/>
      <c r="C50" s="47"/>
    </row>
  </sheetData>
  <mergeCells count="1">
    <mergeCell ref="A50:C50"/>
  </mergeCells>
  <pageMargins left="0.2" right="0.2" top="0.5" bottom="0.5" header="0.5" footer="0.5"/>
  <pageSetup fitToWidth="0" fitToHeight="0" orientation="landscape" horizontalDpi="3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FF76-096F-4F9E-BF7A-26E7A2A47895}">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2" t="s">
        <v>46</v>
      </c>
    </row>
    <row r="7" spans="1:255" x14ac:dyDescent="0.2">
      <c r="A7" s="3" t="s">
        <v>1</v>
      </c>
      <c r="B7" s="3"/>
      <c r="C7" s="3"/>
      <c r="D7" s="3"/>
      <c r="E7" s="3"/>
      <c r="F7" s="3"/>
      <c r="G7" s="3"/>
      <c r="H7" s="3"/>
      <c r="I7" s="3"/>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row>
    <row r="8" spans="1:255" x14ac:dyDescent="0.2">
      <c r="A8" s="4" t="s">
        <v>47</v>
      </c>
      <c r="B8" s="5" t="s">
        <v>3</v>
      </c>
    </row>
    <row r="9" spans="1:255" x14ac:dyDescent="0.2">
      <c r="A9" s="4" t="s">
        <v>48</v>
      </c>
      <c r="B9" s="5" t="s">
        <v>5</v>
      </c>
    </row>
    <row r="10" spans="1:255" x14ac:dyDescent="0.2">
      <c r="A10" s="4" t="s">
        <v>49</v>
      </c>
      <c r="B10" s="6">
        <v>45034</v>
      </c>
    </row>
    <row r="11" spans="1:255" x14ac:dyDescent="0.2">
      <c r="A11" s="7"/>
    </row>
    <row r="13" spans="1:255" x14ac:dyDescent="0.2">
      <c r="A13" s="3" t="s">
        <v>7</v>
      </c>
      <c r="B13" s="3"/>
      <c r="C13" s="3"/>
      <c r="D13" s="3"/>
      <c r="E13" s="3"/>
      <c r="F13" s="3"/>
      <c r="G13" s="3"/>
      <c r="H13" s="3"/>
      <c r="I13" s="3"/>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row>
    <row r="14" spans="1:255" ht="20.399999999999999" x14ac:dyDescent="0.2">
      <c r="A14" s="8" t="s">
        <v>8</v>
      </c>
      <c r="B14" s="12" t="s">
        <v>50</v>
      </c>
      <c r="C14" s="12" t="s">
        <v>51</v>
      </c>
      <c r="D14" s="12" t="s">
        <v>52</v>
      </c>
      <c r="E14" s="12" t="s">
        <v>53</v>
      </c>
      <c r="F14" s="12" t="s">
        <v>54</v>
      </c>
      <c r="G14" s="12" t="s">
        <v>55</v>
      </c>
      <c r="H14" s="12" t="s">
        <v>56</v>
      </c>
      <c r="I14" s="12" t="s">
        <v>57</v>
      </c>
    </row>
    <row r="15" spans="1:255" ht="12" customHeight="1" x14ac:dyDescent="0.2">
      <c r="A15" s="8" t="s">
        <v>25</v>
      </c>
      <c r="B15" s="15" t="s">
        <v>26</v>
      </c>
      <c r="C15" s="15" t="s">
        <v>26</v>
      </c>
      <c r="D15" s="15" t="s">
        <v>26</v>
      </c>
      <c r="E15" s="15" t="s">
        <v>26</v>
      </c>
      <c r="F15" s="15" t="s">
        <v>26</v>
      </c>
      <c r="G15" s="19">
        <v>2.06</v>
      </c>
      <c r="H15" s="19">
        <v>13.34</v>
      </c>
      <c r="I15" s="19">
        <v>71.81</v>
      </c>
    </row>
    <row r="16" spans="1:255" ht="12" customHeight="1" x14ac:dyDescent="0.2">
      <c r="A16" s="8" t="s">
        <v>27</v>
      </c>
      <c r="B16" s="15" t="s">
        <v>26</v>
      </c>
      <c r="C16" s="15" t="s">
        <v>26</v>
      </c>
      <c r="D16" s="15" t="s">
        <v>26</v>
      </c>
      <c r="E16" s="15" t="s">
        <v>26</v>
      </c>
      <c r="F16" s="15" t="s">
        <v>26</v>
      </c>
      <c r="G16" s="19">
        <v>4.21</v>
      </c>
      <c r="H16" s="19">
        <v>10.88</v>
      </c>
      <c r="I16" s="19">
        <v>20.58</v>
      </c>
    </row>
    <row r="17" spans="1:9" ht="12" customHeight="1" x14ac:dyDescent="0.2">
      <c r="A17" s="8" t="s">
        <v>28</v>
      </c>
      <c r="B17" s="15" t="s">
        <v>26</v>
      </c>
      <c r="C17" s="15" t="s">
        <v>26</v>
      </c>
      <c r="D17" s="15" t="s">
        <v>26</v>
      </c>
      <c r="E17" s="15" t="s">
        <v>26</v>
      </c>
      <c r="F17" s="15" t="s">
        <v>26</v>
      </c>
      <c r="G17" s="19">
        <v>0.63</v>
      </c>
      <c r="H17" s="19">
        <v>5.87</v>
      </c>
      <c r="I17" s="19">
        <v>8.58</v>
      </c>
    </row>
    <row r="18" spans="1:9" ht="12" customHeight="1" x14ac:dyDescent="0.2">
      <c r="A18" s="8" t="s">
        <v>29</v>
      </c>
      <c r="B18" s="15" t="s">
        <v>26</v>
      </c>
      <c r="C18" s="15" t="s">
        <v>26</v>
      </c>
      <c r="D18" s="15" t="s">
        <v>26</v>
      </c>
      <c r="E18" s="15" t="s">
        <v>26</v>
      </c>
      <c r="F18" s="15" t="s">
        <v>26</v>
      </c>
      <c r="G18" s="19">
        <v>0.74</v>
      </c>
      <c r="H18" s="19">
        <v>7.39</v>
      </c>
      <c r="I18" s="19">
        <v>9.02</v>
      </c>
    </row>
    <row r="19" spans="1:9" ht="12" customHeight="1" x14ac:dyDescent="0.2">
      <c r="A19" s="8" t="s">
        <v>30</v>
      </c>
      <c r="B19" s="15" t="s">
        <v>26</v>
      </c>
      <c r="C19" s="15" t="s">
        <v>26</v>
      </c>
      <c r="D19" s="15" t="s">
        <v>26</v>
      </c>
      <c r="E19" s="15" t="s">
        <v>26</v>
      </c>
      <c r="F19" s="15" t="s">
        <v>26</v>
      </c>
      <c r="G19" s="19">
        <v>1.08</v>
      </c>
      <c r="H19" s="19">
        <v>5.88</v>
      </c>
      <c r="I19" s="19">
        <v>8.1</v>
      </c>
    </row>
    <row r="20" spans="1:9" ht="12" customHeight="1" x14ac:dyDescent="0.2">
      <c r="A20" s="8" t="s">
        <v>31</v>
      </c>
      <c r="B20" s="15" t="s">
        <v>26</v>
      </c>
      <c r="C20" s="15" t="s">
        <v>26</v>
      </c>
      <c r="D20" s="15" t="s">
        <v>26</v>
      </c>
      <c r="E20" s="15" t="s">
        <v>26</v>
      </c>
      <c r="F20" s="15" t="s">
        <v>26</v>
      </c>
      <c r="G20" s="19">
        <v>2.29</v>
      </c>
      <c r="H20" s="19">
        <v>8.83</v>
      </c>
      <c r="I20" s="19">
        <v>12.54</v>
      </c>
    </row>
    <row r="21" spans="1:9" ht="12" customHeight="1" x14ac:dyDescent="0.2">
      <c r="A21" s="8" t="s">
        <v>32</v>
      </c>
      <c r="B21" s="15" t="s">
        <v>26</v>
      </c>
      <c r="C21" s="15" t="s">
        <v>26</v>
      </c>
      <c r="D21" s="15" t="s">
        <v>26</v>
      </c>
      <c r="E21" s="15" t="s">
        <v>26</v>
      </c>
      <c r="F21" s="15" t="s">
        <v>26</v>
      </c>
      <c r="G21" s="19">
        <v>3.55</v>
      </c>
      <c r="H21" s="19">
        <v>9.1999999999999993</v>
      </c>
      <c r="I21" s="19">
        <v>11.88</v>
      </c>
    </row>
    <row r="22" spans="1:9" ht="12" customHeight="1" x14ac:dyDescent="0.2">
      <c r="A22" s="8" t="s">
        <v>33</v>
      </c>
      <c r="B22" s="15" t="s">
        <v>26</v>
      </c>
      <c r="C22" s="15" t="s">
        <v>26</v>
      </c>
      <c r="D22" s="15" t="s">
        <v>26</v>
      </c>
      <c r="E22" s="15" t="s">
        <v>26</v>
      </c>
      <c r="F22" s="15" t="s">
        <v>26</v>
      </c>
      <c r="G22" s="19">
        <v>1.37</v>
      </c>
      <c r="H22" s="19">
        <v>22.63</v>
      </c>
      <c r="I22" s="15" t="s">
        <v>58</v>
      </c>
    </row>
    <row r="23" spans="1:9" ht="12" customHeight="1" x14ac:dyDescent="0.2">
      <c r="A23" s="8" t="s">
        <v>34</v>
      </c>
      <c r="B23" s="15" t="s">
        <v>26</v>
      </c>
      <c r="C23" s="15" t="s">
        <v>26</v>
      </c>
      <c r="D23" s="15" t="s">
        <v>26</v>
      </c>
      <c r="E23" s="15" t="s">
        <v>26</v>
      </c>
      <c r="F23" s="15" t="s">
        <v>26</v>
      </c>
      <c r="G23" s="19">
        <v>2.88</v>
      </c>
      <c r="H23" s="19">
        <v>14.6</v>
      </c>
      <c r="I23" s="19">
        <v>62.28</v>
      </c>
    </row>
    <row r="24" spans="1:9" ht="12" customHeight="1" x14ac:dyDescent="0.2">
      <c r="A24" s="8" t="s">
        <v>35</v>
      </c>
      <c r="B24" s="15" t="s">
        <v>26</v>
      </c>
      <c r="C24" s="15" t="s">
        <v>26</v>
      </c>
      <c r="D24" s="15" t="s">
        <v>26</v>
      </c>
      <c r="E24" s="15" t="s">
        <v>26</v>
      </c>
      <c r="F24" s="15" t="s">
        <v>26</v>
      </c>
      <c r="G24" s="19">
        <v>1.22</v>
      </c>
      <c r="H24" s="19">
        <v>5.67</v>
      </c>
      <c r="I24" s="19">
        <v>29.19</v>
      </c>
    </row>
    <row r="25" spans="1:9" x14ac:dyDescent="0.2">
      <c r="A25" s="9"/>
      <c r="B25" s="9"/>
      <c r="C25" s="9"/>
      <c r="D25" s="9"/>
      <c r="E25" s="9"/>
      <c r="F25" s="9"/>
      <c r="G25" s="9"/>
      <c r="H25" s="9"/>
      <c r="I25" s="9"/>
    </row>
    <row r="26" spans="1:9" x14ac:dyDescent="0.2">
      <c r="A26" s="10"/>
      <c r="B26" s="10"/>
      <c r="C26" s="10"/>
      <c r="D26" s="10"/>
      <c r="E26" s="10"/>
      <c r="F26" s="10"/>
      <c r="G26" s="10"/>
      <c r="H26" s="10"/>
      <c r="I26" s="10"/>
    </row>
    <row r="27" spans="1:9" ht="12" customHeight="1" x14ac:dyDescent="0.2">
      <c r="A27" s="8" t="s">
        <v>36</v>
      </c>
      <c r="B27" s="15" t="s">
        <v>26</v>
      </c>
      <c r="C27" s="15" t="s">
        <v>26</v>
      </c>
      <c r="D27" s="15" t="s">
        <v>26</v>
      </c>
      <c r="E27" s="15" t="s">
        <v>26</v>
      </c>
      <c r="F27" s="15" t="s">
        <v>26</v>
      </c>
      <c r="G27" s="19">
        <v>6.47</v>
      </c>
      <c r="H27" s="19">
        <v>20.52</v>
      </c>
      <c r="I27" s="19">
        <v>26.83</v>
      </c>
    </row>
    <row r="28" spans="1:9" x14ac:dyDescent="0.2">
      <c r="A28" s="9"/>
      <c r="B28" s="9"/>
      <c r="C28" s="9"/>
      <c r="D28" s="9"/>
      <c r="E28" s="9"/>
      <c r="F28" s="9"/>
      <c r="G28" s="9"/>
      <c r="H28" s="9"/>
      <c r="I28" s="9"/>
    </row>
    <row r="29" spans="1:9" ht="20.399999999999999" x14ac:dyDescent="0.2">
      <c r="A29" s="8" t="s">
        <v>37</v>
      </c>
      <c r="B29" s="12" t="s">
        <v>50</v>
      </c>
      <c r="C29" s="12" t="s">
        <v>51</v>
      </c>
      <c r="D29" s="12" t="s">
        <v>52</v>
      </c>
      <c r="E29" s="12" t="s">
        <v>53</v>
      </c>
      <c r="F29" s="12" t="s">
        <v>54</v>
      </c>
      <c r="G29" s="12" t="s">
        <v>55</v>
      </c>
      <c r="H29" s="12" t="s">
        <v>56</v>
      </c>
      <c r="I29" s="12" t="s">
        <v>57</v>
      </c>
    </row>
    <row r="30" spans="1:9" x14ac:dyDescent="0.2">
      <c r="A30" s="8" t="s">
        <v>38</v>
      </c>
      <c r="B30" s="15" t="s">
        <v>26</v>
      </c>
      <c r="C30" s="15" t="s">
        <v>26</v>
      </c>
      <c r="D30" s="15" t="s">
        <v>26</v>
      </c>
      <c r="E30" s="15" t="s">
        <v>26</v>
      </c>
      <c r="F30" s="15" t="s">
        <v>26</v>
      </c>
      <c r="G30" s="19">
        <v>4.21</v>
      </c>
      <c r="H30" s="19">
        <v>22.63</v>
      </c>
      <c r="I30" s="19">
        <v>71.81</v>
      </c>
    </row>
    <row r="31" spans="1:9" x14ac:dyDescent="0.2">
      <c r="A31" s="8" t="s">
        <v>39</v>
      </c>
      <c r="B31" s="15" t="s">
        <v>26</v>
      </c>
      <c r="C31" s="15" t="s">
        <v>26</v>
      </c>
      <c r="D31" s="15" t="s">
        <v>26</v>
      </c>
      <c r="E31" s="15" t="s">
        <v>26</v>
      </c>
      <c r="F31" s="15" t="s">
        <v>26</v>
      </c>
      <c r="G31" s="19">
        <v>0.63</v>
      </c>
      <c r="H31" s="19">
        <v>5.67</v>
      </c>
      <c r="I31" s="19">
        <v>8.1</v>
      </c>
    </row>
    <row r="32" spans="1:9" x14ac:dyDescent="0.2">
      <c r="A32" s="8" t="s">
        <v>40</v>
      </c>
      <c r="B32" s="15" t="s">
        <v>26</v>
      </c>
      <c r="C32" s="15" t="s">
        <v>26</v>
      </c>
      <c r="D32" s="15" t="s">
        <v>26</v>
      </c>
      <c r="E32" s="15" t="s">
        <v>26</v>
      </c>
      <c r="F32" s="15" t="s">
        <v>26</v>
      </c>
      <c r="G32" s="19">
        <v>2</v>
      </c>
      <c r="H32" s="19">
        <v>10.43</v>
      </c>
      <c r="I32" s="19">
        <v>26</v>
      </c>
    </row>
    <row r="33" spans="1:9" x14ac:dyDescent="0.2">
      <c r="A33" s="8" t="s">
        <v>41</v>
      </c>
      <c r="B33" s="15" t="s">
        <v>26</v>
      </c>
      <c r="C33" s="15" t="s">
        <v>26</v>
      </c>
      <c r="D33" s="15" t="s">
        <v>26</v>
      </c>
      <c r="E33" s="15" t="s">
        <v>26</v>
      </c>
      <c r="F33" s="15" t="s">
        <v>26</v>
      </c>
      <c r="G33" s="19">
        <v>1.72</v>
      </c>
      <c r="H33" s="19">
        <v>9.02</v>
      </c>
      <c r="I33" s="19">
        <v>12.54</v>
      </c>
    </row>
    <row r="34" spans="1:9" x14ac:dyDescent="0.2">
      <c r="A34" s="11"/>
      <c r="B34" s="11"/>
      <c r="C34" s="11"/>
      <c r="D34" s="11"/>
      <c r="E34" s="11"/>
      <c r="F34" s="11"/>
      <c r="G34" s="11"/>
      <c r="H34" s="11"/>
      <c r="I34" s="11"/>
    </row>
    <row r="36" spans="1:9" x14ac:dyDescent="0.2">
      <c r="A36" s="7" t="s">
        <v>42</v>
      </c>
    </row>
    <row r="41" spans="1:9" x14ac:dyDescent="0.2">
      <c r="A41" t="s">
        <v>43</v>
      </c>
    </row>
    <row r="42" spans="1:9" x14ac:dyDescent="0.2">
      <c r="A42" t="s">
        <v>44</v>
      </c>
    </row>
    <row r="50" spans="1:3" ht="25.05" customHeight="1" x14ac:dyDescent="0.2">
      <c r="A50" s="46" t="s">
        <v>45</v>
      </c>
      <c r="B50" s="47"/>
      <c r="C50" s="47"/>
    </row>
  </sheetData>
  <mergeCells count="1">
    <mergeCell ref="A50:C50"/>
  </mergeCells>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F8B35-E4E2-44E9-8F1E-C8BCAFB18BC3}">
  <sheetPr codeName="Sheet4">
    <outlinePr summaryBelow="0" summaryRight="0"/>
  </sheetPr>
  <dimension ref="A4:IU50"/>
  <sheetViews>
    <sheetView defaultGridColor="0" colorId="0" workbookViewId="0">
      <selection activeCell="A27" sqref="A27"/>
    </sheetView>
  </sheetViews>
  <sheetFormatPr defaultRowHeight="10.199999999999999" x14ac:dyDescent="0.2"/>
  <cols>
    <col min="1" max="1" width="47.88671875" customWidth="1"/>
    <col min="2" max="13" width="20.88671875" customWidth="1"/>
  </cols>
  <sheetData>
    <row r="4" spans="1:255" ht="16.2" x14ac:dyDescent="0.25">
      <c r="A4" s="2" t="s">
        <v>59</v>
      </c>
    </row>
    <row r="7" spans="1:255" x14ac:dyDescent="0.2">
      <c r="A7" s="3" t="s">
        <v>1</v>
      </c>
      <c r="B7" s="3"/>
      <c r="C7" s="3"/>
      <c r="D7" s="3"/>
      <c r="E7" s="3"/>
      <c r="F7" s="3"/>
      <c r="G7" s="3"/>
      <c r="H7" s="3"/>
      <c r="I7" s="3"/>
      <c r="J7" s="3"/>
      <c r="K7" s="3"/>
      <c r="L7" s="3"/>
      <c r="M7" s="3"/>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row>
    <row r="8" spans="1:255" x14ac:dyDescent="0.2">
      <c r="A8" s="4" t="s">
        <v>60</v>
      </c>
      <c r="B8" s="5" t="s">
        <v>3</v>
      </c>
    </row>
    <row r="9" spans="1:255" x14ac:dyDescent="0.2">
      <c r="A9" s="4" t="s">
        <v>61</v>
      </c>
      <c r="B9" s="5" t="s">
        <v>5</v>
      </c>
    </row>
    <row r="10" spans="1:255" x14ac:dyDescent="0.2">
      <c r="A10" s="4" t="s">
        <v>62</v>
      </c>
      <c r="B10" s="6">
        <v>45034</v>
      </c>
    </row>
    <row r="11" spans="1:255" x14ac:dyDescent="0.2">
      <c r="A11" s="7"/>
    </row>
    <row r="13" spans="1:255" x14ac:dyDescent="0.2">
      <c r="A13" s="3" t="s">
        <v>7</v>
      </c>
      <c r="B13" s="3"/>
      <c r="C13" s="3"/>
      <c r="D13" s="3"/>
      <c r="E13" s="3"/>
      <c r="F13" s="3"/>
      <c r="G13" s="3"/>
      <c r="H13" s="3"/>
      <c r="I13" s="3"/>
      <c r="J13" s="3"/>
      <c r="K13" s="3"/>
      <c r="L13" s="3"/>
      <c r="M13" s="3"/>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row>
    <row r="14" spans="1:255" ht="20.399999999999999" x14ac:dyDescent="0.2">
      <c r="A14" s="8" t="s">
        <v>8</v>
      </c>
      <c r="B14" s="12" t="s">
        <v>63</v>
      </c>
      <c r="C14" s="12" t="s">
        <v>64</v>
      </c>
      <c r="D14" s="12" t="s">
        <v>65</v>
      </c>
      <c r="E14" s="12" t="s">
        <v>66</v>
      </c>
      <c r="F14" s="12" t="s">
        <v>67</v>
      </c>
      <c r="G14" s="12" t="s">
        <v>68</v>
      </c>
      <c r="H14" s="12" t="s">
        <v>69</v>
      </c>
      <c r="I14" s="12" t="s">
        <v>70</v>
      </c>
      <c r="J14" s="12" t="s">
        <v>71</v>
      </c>
      <c r="K14" s="12" t="s">
        <v>72</v>
      </c>
      <c r="L14" s="12" t="s">
        <v>73</v>
      </c>
      <c r="M14" s="12" t="s">
        <v>74</v>
      </c>
    </row>
    <row r="15" spans="1:255" ht="12" customHeight="1" x14ac:dyDescent="0.2">
      <c r="A15" s="8" t="s">
        <v>25</v>
      </c>
      <c r="B15" s="20">
        <v>0.438</v>
      </c>
      <c r="C15" s="20">
        <v>0.105</v>
      </c>
      <c r="D15" s="20">
        <v>2.4E-2</v>
      </c>
      <c r="E15" s="22">
        <v>-5.3E-3</v>
      </c>
      <c r="F15" s="22">
        <v>9.4E-2</v>
      </c>
      <c r="G15" s="22">
        <v>-8.6699999999999999E-2</v>
      </c>
      <c r="H15" s="22">
        <v>-0.50770000000000004</v>
      </c>
      <c r="I15" s="15" t="s">
        <v>26</v>
      </c>
      <c r="J15" s="22">
        <v>0.53779999999999994</v>
      </c>
      <c r="K15" s="23">
        <v>2.6</v>
      </c>
      <c r="L15" s="22">
        <v>0.32029999999999997</v>
      </c>
      <c r="M15" s="13">
        <v>1.26</v>
      </c>
    </row>
    <row r="16" spans="1:255" ht="12" customHeight="1" x14ac:dyDescent="0.2">
      <c r="A16" s="8" t="s">
        <v>27</v>
      </c>
      <c r="B16" s="20">
        <v>0.55400000000000005</v>
      </c>
      <c r="C16" s="20">
        <v>0.32100000000000001</v>
      </c>
      <c r="D16" s="20">
        <v>0.26500000000000001</v>
      </c>
      <c r="E16" s="22">
        <v>0.21199999999999999</v>
      </c>
      <c r="F16" s="22">
        <v>9.7799999999999998E-2</v>
      </c>
      <c r="G16" s="22">
        <v>-4.1000000000000003E-3</v>
      </c>
      <c r="H16" s="22">
        <v>-4.9200000000000001E-2</v>
      </c>
      <c r="I16" s="22">
        <v>-0.2112</v>
      </c>
      <c r="J16" s="22">
        <v>0.1048</v>
      </c>
      <c r="K16" s="23">
        <v>0.3</v>
      </c>
      <c r="L16" s="22">
        <v>0.16520000000000001</v>
      </c>
      <c r="M16" s="13">
        <v>1.1000000000000001</v>
      </c>
    </row>
    <row r="17" spans="1:13" ht="12" customHeight="1" x14ac:dyDescent="0.2">
      <c r="A17" s="8" t="s">
        <v>28</v>
      </c>
      <c r="B17" s="20">
        <v>0.222</v>
      </c>
      <c r="C17" s="21">
        <v>44960</v>
      </c>
      <c r="D17" s="20">
        <v>5.6000000000000001E-2</v>
      </c>
      <c r="E17" s="22">
        <v>2.3900000000000001E-2</v>
      </c>
      <c r="F17" s="22">
        <v>1.09E-2</v>
      </c>
      <c r="G17" s="22">
        <v>-7.1800000000000003E-2</v>
      </c>
      <c r="H17" s="22">
        <v>0.2387</v>
      </c>
      <c r="I17" s="22">
        <v>-0.56100000000000005</v>
      </c>
      <c r="J17" s="22">
        <v>1.1102000000000001</v>
      </c>
      <c r="K17" s="23">
        <v>3.7</v>
      </c>
      <c r="L17" s="22">
        <v>5.8299999999999998E-2</v>
      </c>
      <c r="M17" s="13">
        <v>0.97</v>
      </c>
    </row>
    <row r="18" spans="1:13" ht="12" customHeight="1" x14ac:dyDescent="0.2">
      <c r="A18" s="8" t="s">
        <v>29</v>
      </c>
      <c r="B18" s="20">
        <v>0.19700000000000001</v>
      </c>
      <c r="C18" s="20">
        <v>9.2999999999999999E-2</v>
      </c>
      <c r="D18" s="20">
        <v>0.08</v>
      </c>
      <c r="E18" s="22">
        <v>4.36E-2</v>
      </c>
      <c r="F18" s="22">
        <v>-7.8399999999999997E-2</v>
      </c>
      <c r="G18" s="22">
        <v>-0.1242</v>
      </c>
      <c r="H18" s="22">
        <v>-0.1439</v>
      </c>
      <c r="I18" s="22">
        <v>-0.60070000000000001</v>
      </c>
      <c r="J18" s="22">
        <v>1.4426000000000001</v>
      </c>
      <c r="K18" s="23">
        <v>2.1</v>
      </c>
      <c r="L18" s="22">
        <v>-0.03</v>
      </c>
      <c r="M18" s="13">
        <v>1.02</v>
      </c>
    </row>
    <row r="19" spans="1:13" ht="12" customHeight="1" x14ac:dyDescent="0.2">
      <c r="A19" s="8" t="s">
        <v>30</v>
      </c>
      <c r="B19" s="20">
        <v>0.33500000000000002</v>
      </c>
      <c r="C19" s="20">
        <v>0.16800000000000001</v>
      </c>
      <c r="D19" s="20">
        <v>8.2000000000000003E-2</v>
      </c>
      <c r="E19" s="22">
        <v>2.92E-2</v>
      </c>
      <c r="F19" s="22">
        <v>5.1299999999999998E-2</v>
      </c>
      <c r="G19" s="22">
        <v>2.1299999999999999E-2</v>
      </c>
      <c r="H19" s="22">
        <v>5.7700000000000001E-2</v>
      </c>
      <c r="I19" s="22">
        <v>-0.76970000000000005</v>
      </c>
      <c r="J19" s="22">
        <v>0.39429999999999998</v>
      </c>
      <c r="K19" s="23">
        <v>2.6</v>
      </c>
      <c r="L19" s="22">
        <v>4.7199999999999999E-2</v>
      </c>
      <c r="M19" s="15" t="s">
        <v>26</v>
      </c>
    </row>
    <row r="20" spans="1:13" ht="12" customHeight="1" x14ac:dyDescent="0.2">
      <c r="A20" s="8" t="s">
        <v>31</v>
      </c>
      <c r="B20" s="20">
        <v>0.65400000000000003</v>
      </c>
      <c r="C20" s="20">
        <v>0.20599999999999999</v>
      </c>
      <c r="D20" s="20">
        <v>0.17599999999999999</v>
      </c>
      <c r="E20" s="22">
        <v>0.1993</v>
      </c>
      <c r="F20" s="22">
        <v>4.3299999999999998E-2</v>
      </c>
      <c r="G20" s="22">
        <v>-2.4199999999999999E-2</v>
      </c>
      <c r="H20" s="22">
        <v>-5.3199999999999997E-2</v>
      </c>
      <c r="I20" s="22">
        <v>0.2727</v>
      </c>
      <c r="J20" s="22">
        <v>0.70940000000000003</v>
      </c>
      <c r="K20" s="23">
        <v>1.9</v>
      </c>
      <c r="L20" s="22">
        <v>6.4699999999999994E-2</v>
      </c>
      <c r="M20" s="13">
        <v>1.18</v>
      </c>
    </row>
    <row r="21" spans="1:13" ht="12" customHeight="1" x14ac:dyDescent="0.2">
      <c r="A21" s="8" t="s">
        <v>32</v>
      </c>
      <c r="B21" s="20">
        <v>0.57199999999999995</v>
      </c>
      <c r="C21" s="20">
        <v>0.379</v>
      </c>
      <c r="D21" s="20">
        <v>0.33800000000000002</v>
      </c>
      <c r="E21" s="22">
        <v>0.27400000000000002</v>
      </c>
      <c r="F21" s="22">
        <v>0.19209999999999999</v>
      </c>
      <c r="G21" s="22">
        <v>0.27789999999999998</v>
      </c>
      <c r="H21" s="22">
        <v>0.30680000000000002</v>
      </c>
      <c r="I21" s="22">
        <v>0.1787</v>
      </c>
      <c r="J21" s="22">
        <v>0.47289999999999999</v>
      </c>
      <c r="K21" s="23">
        <v>1</v>
      </c>
      <c r="L21" s="22">
        <v>5.8299999999999998E-2</v>
      </c>
      <c r="M21" s="13">
        <v>1.27</v>
      </c>
    </row>
    <row r="22" spans="1:13" ht="12" customHeight="1" x14ac:dyDescent="0.2">
      <c r="A22" s="8" t="s">
        <v>33</v>
      </c>
      <c r="B22" s="20">
        <v>0.26300000000000001</v>
      </c>
      <c r="C22" s="20">
        <v>0.11</v>
      </c>
      <c r="D22" s="20">
        <v>5.5E-2</v>
      </c>
      <c r="E22" s="22">
        <v>-5.8999999999999999E-3</v>
      </c>
      <c r="F22" s="22">
        <v>-0.16839999999999999</v>
      </c>
      <c r="G22" s="22">
        <v>-0.4869</v>
      </c>
      <c r="H22" s="22">
        <v>-0.63590000000000002</v>
      </c>
      <c r="I22" s="15" t="s">
        <v>26</v>
      </c>
      <c r="J22" s="22">
        <v>0.378</v>
      </c>
      <c r="K22" s="23">
        <v>4.0999999999999996</v>
      </c>
      <c r="L22" s="22">
        <v>-5.8599999999999999E-2</v>
      </c>
      <c r="M22" s="13">
        <v>1.69</v>
      </c>
    </row>
    <row r="23" spans="1:13" ht="12" customHeight="1" x14ac:dyDescent="0.2">
      <c r="A23" s="8" t="s">
        <v>34</v>
      </c>
      <c r="B23" s="20">
        <v>0.42599999999999999</v>
      </c>
      <c r="C23" s="20">
        <v>0.24399999999999999</v>
      </c>
      <c r="D23" s="20">
        <v>3.6999999999999998E-2</v>
      </c>
      <c r="E23" s="22">
        <v>0.12709999999999999</v>
      </c>
      <c r="F23" s="22">
        <v>-0.2021</v>
      </c>
      <c r="G23" s="22">
        <v>-0.54620000000000002</v>
      </c>
      <c r="H23" s="22">
        <v>-0.89419999999999999</v>
      </c>
      <c r="I23" s="22">
        <v>-0.59660000000000002</v>
      </c>
      <c r="J23" s="22">
        <v>0.29139999999999999</v>
      </c>
      <c r="K23" s="23">
        <v>2.6</v>
      </c>
      <c r="L23" s="22">
        <v>5.6599999999999998E-2</v>
      </c>
      <c r="M23" s="13">
        <v>0.88</v>
      </c>
    </row>
    <row r="24" spans="1:13" ht="12" customHeight="1" x14ac:dyDescent="0.2">
      <c r="A24" s="8" t="s">
        <v>35</v>
      </c>
      <c r="B24" s="20">
        <v>0.371</v>
      </c>
      <c r="C24" s="20">
        <v>0.27300000000000002</v>
      </c>
      <c r="D24" s="20">
        <v>0.14399999999999999</v>
      </c>
      <c r="E24" s="22">
        <v>0.18110000000000001</v>
      </c>
      <c r="F24" s="22">
        <v>8.09E-2</v>
      </c>
      <c r="G24" s="22">
        <v>-2.76E-2</v>
      </c>
      <c r="H24" s="22">
        <v>-0.15989999999999999</v>
      </c>
      <c r="I24" s="22">
        <v>0.39460000000000001</v>
      </c>
      <c r="J24" s="22">
        <v>2.8299999999999999E-2</v>
      </c>
      <c r="K24" s="23">
        <v>0.1</v>
      </c>
      <c r="L24" s="22">
        <v>-0.17949999999999999</v>
      </c>
      <c r="M24" s="13">
        <v>0.94</v>
      </c>
    </row>
    <row r="25" spans="1:13" x14ac:dyDescent="0.2">
      <c r="A25" s="9"/>
      <c r="B25" s="9"/>
      <c r="C25" s="9"/>
      <c r="D25" s="9"/>
      <c r="E25" s="9"/>
      <c r="F25" s="9"/>
      <c r="G25" s="9"/>
      <c r="H25" s="9"/>
      <c r="I25" s="9"/>
      <c r="J25" s="9"/>
      <c r="K25" s="9"/>
      <c r="L25" s="9"/>
      <c r="M25" s="9"/>
    </row>
    <row r="26" spans="1:13" x14ac:dyDescent="0.2">
      <c r="A26" s="10"/>
      <c r="B26" s="10"/>
      <c r="C26" s="10"/>
      <c r="D26" s="10"/>
      <c r="E26" s="10"/>
      <c r="F26" s="10"/>
      <c r="G26" s="10"/>
      <c r="H26" s="10"/>
      <c r="I26" s="10"/>
      <c r="J26" s="10"/>
      <c r="K26" s="10"/>
      <c r="L26" s="10"/>
      <c r="M26" s="10"/>
    </row>
    <row r="27" spans="1:13" ht="12" customHeight="1" x14ac:dyDescent="0.2">
      <c r="A27" s="8" t="s">
        <v>36</v>
      </c>
      <c r="B27" s="20">
        <v>0.43099999999999999</v>
      </c>
      <c r="C27" s="20">
        <v>0.32300000000000001</v>
      </c>
      <c r="D27" s="20">
        <v>0.29399999999999998</v>
      </c>
      <c r="E27" s="22">
        <v>0.24560000000000001</v>
      </c>
      <c r="F27" s="22">
        <v>2.4400000000000002E-2</v>
      </c>
      <c r="G27" s="22">
        <v>-2.29E-2</v>
      </c>
      <c r="H27" s="22">
        <v>-2.5100000000000001E-2</v>
      </c>
      <c r="I27" s="22">
        <v>-5.3499999999999999E-2</v>
      </c>
      <c r="J27" s="22">
        <v>0.66200000000000003</v>
      </c>
      <c r="K27" s="23">
        <v>0.8</v>
      </c>
      <c r="L27" s="22">
        <v>0.1031</v>
      </c>
      <c r="M27" s="13">
        <v>1.3</v>
      </c>
    </row>
    <row r="28" spans="1:13" x14ac:dyDescent="0.2">
      <c r="A28" s="9"/>
      <c r="B28" s="9"/>
      <c r="C28" s="9"/>
      <c r="D28" s="9"/>
      <c r="E28" s="9"/>
      <c r="F28" s="9"/>
      <c r="G28" s="9"/>
      <c r="H28" s="9"/>
      <c r="I28" s="9"/>
      <c r="J28" s="9"/>
      <c r="K28" s="9"/>
      <c r="L28" s="9"/>
      <c r="M28" s="9"/>
    </row>
    <row r="29" spans="1:13" ht="20.399999999999999" x14ac:dyDescent="0.2">
      <c r="A29" s="8" t="s">
        <v>37</v>
      </c>
      <c r="B29" s="12" t="s">
        <v>63</v>
      </c>
      <c r="C29" s="12" t="s">
        <v>64</v>
      </c>
      <c r="D29" s="12" t="s">
        <v>65</v>
      </c>
      <c r="E29" s="12" t="s">
        <v>66</v>
      </c>
      <c r="F29" s="12" t="s">
        <v>67</v>
      </c>
      <c r="G29" s="12" t="s">
        <v>68</v>
      </c>
      <c r="H29" s="12" t="s">
        <v>69</v>
      </c>
      <c r="I29" s="12" t="s">
        <v>70</v>
      </c>
      <c r="J29" s="12" t="s">
        <v>71</v>
      </c>
      <c r="K29" s="12" t="s">
        <v>72</v>
      </c>
      <c r="L29" s="12" t="s">
        <v>73</v>
      </c>
      <c r="M29" s="12" t="s">
        <v>74</v>
      </c>
    </row>
    <row r="30" spans="1:13" x14ac:dyDescent="0.2">
      <c r="A30" s="8" t="s">
        <v>38</v>
      </c>
      <c r="B30" s="20">
        <v>0.65400000000000003</v>
      </c>
      <c r="C30" s="20">
        <v>0.379</v>
      </c>
      <c r="D30" s="20">
        <v>0.33800000000000002</v>
      </c>
      <c r="E30" s="22">
        <v>0.27400000000000002</v>
      </c>
      <c r="F30" s="22">
        <v>0.19209999999999999</v>
      </c>
      <c r="G30" s="22">
        <v>0.27789999999999998</v>
      </c>
      <c r="H30" s="22">
        <v>0.30680000000000002</v>
      </c>
      <c r="I30" s="22">
        <v>0.39460000000000001</v>
      </c>
      <c r="J30" s="22">
        <v>1.4426000000000001</v>
      </c>
      <c r="K30" s="23">
        <v>4.0999999999999996</v>
      </c>
      <c r="L30" s="22">
        <v>0.32029999999999997</v>
      </c>
      <c r="M30" s="13">
        <v>1.69</v>
      </c>
    </row>
    <row r="31" spans="1:13" x14ac:dyDescent="0.2">
      <c r="A31" s="8" t="s">
        <v>39</v>
      </c>
      <c r="B31" s="20">
        <v>0.19700000000000001</v>
      </c>
      <c r="C31" s="20">
        <v>9.2999999999999999E-2</v>
      </c>
      <c r="D31" s="20">
        <v>2.4E-2</v>
      </c>
      <c r="E31" s="22">
        <v>-5.8999999999999999E-3</v>
      </c>
      <c r="F31" s="22">
        <v>-0.2021</v>
      </c>
      <c r="G31" s="22">
        <v>-0.54620000000000002</v>
      </c>
      <c r="H31" s="22">
        <v>-0.89419999999999999</v>
      </c>
      <c r="I31" s="22">
        <v>-0.76970000000000005</v>
      </c>
      <c r="J31" s="22">
        <v>2.8299999999999999E-2</v>
      </c>
      <c r="K31" s="23">
        <v>0.1</v>
      </c>
      <c r="L31" s="22">
        <v>-0.17949999999999999</v>
      </c>
      <c r="M31" s="13">
        <v>0.88</v>
      </c>
    </row>
    <row r="32" spans="1:13" x14ac:dyDescent="0.2">
      <c r="A32" s="8" t="s">
        <v>40</v>
      </c>
      <c r="B32" s="20">
        <v>0.40300000000000002</v>
      </c>
      <c r="C32" s="20">
        <v>0.21099999999999999</v>
      </c>
      <c r="D32" s="20">
        <v>0.126</v>
      </c>
      <c r="E32" s="22">
        <v>0.1079</v>
      </c>
      <c r="F32" s="22">
        <v>1.21E-2</v>
      </c>
      <c r="G32" s="22">
        <v>-0.10730000000000001</v>
      </c>
      <c r="H32" s="22">
        <v>-0.18410000000000001</v>
      </c>
      <c r="I32" s="22">
        <v>-0.23669999999999999</v>
      </c>
      <c r="J32" s="22">
        <v>0.54700000000000004</v>
      </c>
      <c r="K32" s="23">
        <v>2.1</v>
      </c>
      <c r="L32" s="22">
        <v>5.0299999999999997E-2</v>
      </c>
      <c r="M32" s="13">
        <v>1.1399999999999999</v>
      </c>
    </row>
    <row r="33" spans="1:13" x14ac:dyDescent="0.2">
      <c r="A33" s="8" t="s">
        <v>41</v>
      </c>
      <c r="B33" s="20">
        <v>0.39900000000000002</v>
      </c>
      <c r="C33" s="20">
        <v>0.20599999999999999</v>
      </c>
      <c r="D33" s="20">
        <v>8.1000000000000003E-2</v>
      </c>
      <c r="E33" s="22">
        <v>8.5300000000000001E-2</v>
      </c>
      <c r="F33" s="22">
        <v>4.7300000000000002E-2</v>
      </c>
      <c r="G33" s="22">
        <v>-4.9700000000000001E-2</v>
      </c>
      <c r="H33" s="22">
        <v>-9.8599999999999993E-2</v>
      </c>
      <c r="I33" s="22">
        <v>-0.3861</v>
      </c>
      <c r="J33" s="22">
        <v>0.43359999999999999</v>
      </c>
      <c r="K33" s="23">
        <v>2.2999999999999998</v>
      </c>
      <c r="L33" s="22">
        <v>5.7500000000000002E-2</v>
      </c>
      <c r="M33" s="13">
        <v>1.1000000000000001</v>
      </c>
    </row>
    <row r="34" spans="1:13" x14ac:dyDescent="0.2">
      <c r="A34" s="11"/>
      <c r="B34" s="11"/>
      <c r="C34" s="11"/>
      <c r="D34" s="11"/>
      <c r="E34" s="11"/>
      <c r="F34" s="11"/>
      <c r="G34" s="11"/>
      <c r="H34" s="11"/>
      <c r="I34" s="11"/>
      <c r="J34" s="11"/>
      <c r="K34" s="11"/>
      <c r="L34" s="11"/>
      <c r="M34" s="11"/>
    </row>
    <row r="36" spans="1:13" x14ac:dyDescent="0.2">
      <c r="A36" s="7" t="s">
        <v>42</v>
      </c>
    </row>
    <row r="41" spans="1:13" x14ac:dyDescent="0.2">
      <c r="A41" t="s">
        <v>43</v>
      </c>
    </row>
    <row r="42" spans="1:13" x14ac:dyDescent="0.2">
      <c r="A42" t="s">
        <v>44</v>
      </c>
    </row>
    <row r="50" spans="1:3" ht="25.05" customHeight="1" x14ac:dyDescent="0.2">
      <c r="A50" s="46" t="s">
        <v>45</v>
      </c>
      <c r="B50" s="47"/>
      <c r="C50" s="47"/>
    </row>
  </sheetData>
  <mergeCells count="1">
    <mergeCell ref="A50:C50"/>
  </mergeCells>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8EE38-DF6B-4A0F-B780-79CDA9D77745}">
  <sheetPr codeName="Sheet5">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2" t="s">
        <v>75</v>
      </c>
    </row>
    <row r="7" spans="1:255" x14ac:dyDescent="0.2">
      <c r="A7" s="3" t="s">
        <v>1</v>
      </c>
      <c r="B7" s="3"/>
      <c r="C7" s="3"/>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row>
    <row r="8" spans="1:255" x14ac:dyDescent="0.2">
      <c r="A8" s="4" t="s">
        <v>76</v>
      </c>
      <c r="B8" s="5" t="s">
        <v>3</v>
      </c>
    </row>
    <row r="9" spans="1:255" x14ac:dyDescent="0.2">
      <c r="A9" s="4" t="s">
        <v>77</v>
      </c>
      <c r="B9" s="5" t="s">
        <v>5</v>
      </c>
    </row>
    <row r="10" spans="1:255" x14ac:dyDescent="0.2">
      <c r="A10" s="4" t="s">
        <v>78</v>
      </c>
      <c r="B10" s="6">
        <v>45034</v>
      </c>
    </row>
    <row r="11" spans="1:255" x14ac:dyDescent="0.2">
      <c r="A11" s="7"/>
    </row>
    <row r="13" spans="1:255" x14ac:dyDescent="0.2">
      <c r="A13" s="3" t="s">
        <v>7</v>
      </c>
      <c r="B13" s="3"/>
      <c r="C13" s="3"/>
      <c r="D13" s="44"/>
      <c r="E13" s="44"/>
      <c r="F13" s="44"/>
      <c r="G13" s="44"/>
      <c r="H13" s="44"/>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row>
    <row r="14" spans="1:255" x14ac:dyDescent="0.2">
      <c r="A14" s="8" t="s">
        <v>8</v>
      </c>
      <c r="B14" s="8" t="s">
        <v>79</v>
      </c>
      <c r="C14" s="8" t="s">
        <v>80</v>
      </c>
    </row>
    <row r="15" spans="1:255" ht="12" customHeight="1" x14ac:dyDescent="0.2">
      <c r="A15" s="8" t="s">
        <v>25</v>
      </c>
      <c r="B15" s="24" t="s">
        <v>81</v>
      </c>
      <c r="C15" s="24" t="s">
        <v>82</v>
      </c>
    </row>
    <row r="16" spans="1:255" ht="12" customHeight="1" x14ac:dyDescent="0.2">
      <c r="A16" s="8" t="s">
        <v>27</v>
      </c>
      <c r="B16" s="24" t="s">
        <v>83</v>
      </c>
      <c r="C16" s="24" t="s">
        <v>84</v>
      </c>
    </row>
    <row r="17" spans="1:3" ht="12" customHeight="1" x14ac:dyDescent="0.2">
      <c r="A17" s="8" t="s">
        <v>28</v>
      </c>
      <c r="B17" s="24" t="s">
        <v>85</v>
      </c>
      <c r="C17" s="24" t="s">
        <v>86</v>
      </c>
    </row>
    <row r="18" spans="1:3" ht="12" customHeight="1" x14ac:dyDescent="0.2">
      <c r="A18" s="8" t="s">
        <v>29</v>
      </c>
      <c r="B18" s="24" t="s">
        <v>87</v>
      </c>
      <c r="C18" s="24" t="s">
        <v>88</v>
      </c>
    </row>
    <row r="19" spans="1:3" ht="12" customHeight="1" x14ac:dyDescent="0.2">
      <c r="A19" s="8" t="s">
        <v>30</v>
      </c>
      <c r="B19" s="24" t="s">
        <v>89</v>
      </c>
      <c r="C19" s="24" t="s">
        <v>90</v>
      </c>
    </row>
    <row r="20" spans="1:3" ht="12" customHeight="1" x14ac:dyDescent="0.2">
      <c r="A20" s="8" t="s">
        <v>31</v>
      </c>
      <c r="B20" s="24" t="s">
        <v>91</v>
      </c>
      <c r="C20" s="24" t="s">
        <v>92</v>
      </c>
    </row>
    <row r="21" spans="1:3" ht="12" customHeight="1" x14ac:dyDescent="0.2">
      <c r="A21" s="8" t="s">
        <v>32</v>
      </c>
      <c r="B21" s="24" t="s">
        <v>93</v>
      </c>
      <c r="C21" s="24" t="s">
        <v>94</v>
      </c>
    </row>
    <row r="22" spans="1:3" ht="12" customHeight="1" x14ac:dyDescent="0.2">
      <c r="A22" s="8" t="s">
        <v>33</v>
      </c>
      <c r="B22" s="24" t="s">
        <v>95</v>
      </c>
      <c r="C22" s="24" t="s">
        <v>96</v>
      </c>
    </row>
    <row r="23" spans="1:3" ht="12" customHeight="1" x14ac:dyDescent="0.2">
      <c r="A23" s="8" t="s">
        <v>34</v>
      </c>
      <c r="B23" s="24" t="s">
        <v>97</v>
      </c>
      <c r="C23" s="24" t="s">
        <v>98</v>
      </c>
    </row>
    <row r="24" spans="1:3" ht="12" customHeight="1" x14ac:dyDescent="0.2">
      <c r="A24" s="8" t="s">
        <v>35</v>
      </c>
      <c r="B24" s="24" t="s">
        <v>99</v>
      </c>
      <c r="C24" s="24" t="s">
        <v>100</v>
      </c>
    </row>
    <row r="25" spans="1:3" x14ac:dyDescent="0.2">
      <c r="A25" s="9"/>
      <c r="B25" s="9"/>
      <c r="C25" s="9"/>
    </row>
    <row r="26" spans="1:3" x14ac:dyDescent="0.2">
      <c r="A26" s="10"/>
      <c r="B26" s="10"/>
      <c r="C26" s="10"/>
    </row>
    <row r="27" spans="1:3" ht="12" customHeight="1" x14ac:dyDescent="0.2">
      <c r="A27" s="8" t="s">
        <v>36</v>
      </c>
      <c r="B27" s="24" t="s">
        <v>101</v>
      </c>
      <c r="C27" s="24" t="s">
        <v>102</v>
      </c>
    </row>
    <row r="28" spans="1:3" x14ac:dyDescent="0.2">
      <c r="A28" s="11"/>
      <c r="B28" s="11"/>
      <c r="C28" s="11"/>
    </row>
    <row r="30" spans="1:3" x14ac:dyDescent="0.2">
      <c r="A30" s="7" t="s">
        <v>42</v>
      </c>
    </row>
    <row r="35" spans="1:3" x14ac:dyDescent="0.2">
      <c r="A35" t="s">
        <v>43</v>
      </c>
    </row>
    <row r="36" spans="1:3" x14ac:dyDescent="0.2">
      <c r="A36" t="s">
        <v>44</v>
      </c>
    </row>
    <row r="44" spans="1:3" ht="25.05" customHeight="1" x14ac:dyDescent="0.2">
      <c r="A44" s="46" t="s">
        <v>45</v>
      </c>
      <c r="B44" s="47"/>
      <c r="C44" s="47"/>
    </row>
  </sheetData>
  <mergeCells count="1">
    <mergeCell ref="A44:C44"/>
  </mergeCells>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F7250-E49A-4E1A-810F-BF499B90F278}">
  <sheetPr codeName="Sheet6">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2" t="s">
        <v>103</v>
      </c>
    </row>
    <row r="7" spans="1:255" x14ac:dyDescent="0.2">
      <c r="A7" s="3" t="s">
        <v>1</v>
      </c>
      <c r="B7" s="3"/>
      <c r="C7" s="3"/>
      <c r="D7" s="3"/>
      <c r="E7" s="3"/>
      <c r="F7" s="3"/>
      <c r="G7" s="3"/>
      <c r="H7" s="3"/>
      <c r="I7" s="3"/>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row>
    <row r="8" spans="1:255" x14ac:dyDescent="0.2">
      <c r="A8" s="4" t="s">
        <v>104</v>
      </c>
      <c r="B8" s="5" t="s">
        <v>3</v>
      </c>
    </row>
    <row r="9" spans="1:255" x14ac:dyDescent="0.2">
      <c r="A9" s="4" t="s">
        <v>105</v>
      </c>
      <c r="B9" s="5" t="s">
        <v>5</v>
      </c>
    </row>
    <row r="10" spans="1:255" x14ac:dyDescent="0.2">
      <c r="A10" s="4" t="s">
        <v>106</v>
      </c>
      <c r="B10" s="6">
        <v>45034</v>
      </c>
    </row>
    <row r="11" spans="1:255" x14ac:dyDescent="0.2">
      <c r="A11" s="7"/>
    </row>
    <row r="13" spans="1:255" x14ac:dyDescent="0.2">
      <c r="A13" s="3" t="s">
        <v>7</v>
      </c>
      <c r="B13" s="3"/>
      <c r="C13" s="3"/>
      <c r="D13" s="3"/>
      <c r="E13" s="3"/>
      <c r="F13" s="3"/>
      <c r="G13" s="3"/>
      <c r="H13" s="3"/>
      <c r="I13" s="3"/>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row>
    <row r="14" spans="1:255" x14ac:dyDescent="0.2">
      <c r="A14" s="10" t="s">
        <v>8</v>
      </c>
      <c r="B14" s="12" t="s">
        <v>18</v>
      </c>
      <c r="C14" s="12" t="s">
        <v>19</v>
      </c>
      <c r="D14" s="12" t="s">
        <v>20</v>
      </c>
      <c r="E14" s="12" t="s">
        <v>22</v>
      </c>
      <c r="F14" s="12" t="s">
        <v>23</v>
      </c>
      <c r="G14" s="12" t="s">
        <v>107</v>
      </c>
      <c r="H14" s="12" t="s">
        <v>24</v>
      </c>
      <c r="I14" s="12" t="s">
        <v>16</v>
      </c>
    </row>
    <row r="15" spans="1:255" ht="12" customHeight="1" x14ac:dyDescent="0.2">
      <c r="A15" s="8" t="s">
        <v>36</v>
      </c>
      <c r="B15" s="14">
        <v>387537</v>
      </c>
      <c r="C15" s="14">
        <v>125288</v>
      </c>
      <c r="D15" s="14">
        <v>113965</v>
      </c>
      <c r="E15" s="13">
        <v>398625.39</v>
      </c>
      <c r="F15" s="13">
        <v>125701.43</v>
      </c>
      <c r="G15" s="13">
        <v>5.91</v>
      </c>
      <c r="H15" s="13">
        <v>6.2</v>
      </c>
      <c r="I15" s="13">
        <v>3.58</v>
      </c>
    </row>
    <row r="16" spans="1:255" x14ac:dyDescent="0.2">
      <c r="A16" s="9"/>
      <c r="B16" s="9"/>
      <c r="C16" s="9"/>
      <c r="D16" s="9"/>
      <c r="E16" s="9"/>
      <c r="F16" s="9"/>
      <c r="G16" s="9"/>
      <c r="H16" s="9"/>
      <c r="I16" s="9"/>
    </row>
    <row r="17" spans="1:9" x14ac:dyDescent="0.2">
      <c r="A17" s="10"/>
      <c r="B17" s="10" t="s">
        <v>108</v>
      </c>
      <c r="C17" s="10" t="s">
        <v>108</v>
      </c>
      <c r="D17" s="10" t="s">
        <v>108</v>
      </c>
      <c r="E17" s="10" t="s">
        <v>109</v>
      </c>
      <c r="F17" s="10" t="s">
        <v>108</v>
      </c>
      <c r="G17" s="10" t="s">
        <v>108</v>
      </c>
      <c r="H17" s="10" t="s">
        <v>110</v>
      </c>
      <c r="I17" s="10" t="s">
        <v>108</v>
      </c>
    </row>
    <row r="18" spans="1:9" ht="20.399999999999999" x14ac:dyDescent="0.2">
      <c r="A18" s="10"/>
      <c r="B18" s="12" t="s">
        <v>50</v>
      </c>
      <c r="C18" s="12" t="s">
        <v>51</v>
      </c>
      <c r="D18" s="12" t="s">
        <v>52</v>
      </c>
      <c r="E18" s="12" t="s">
        <v>111</v>
      </c>
      <c r="F18" s="12" t="s">
        <v>112</v>
      </c>
      <c r="G18" s="12" t="s">
        <v>53</v>
      </c>
      <c r="H18" s="12" t="s">
        <v>113</v>
      </c>
      <c r="I18" s="12" t="s">
        <v>54</v>
      </c>
    </row>
    <row r="19" spans="1:9" x14ac:dyDescent="0.2">
      <c r="A19" s="10" t="s">
        <v>38</v>
      </c>
      <c r="B19" s="15" t="s">
        <v>58</v>
      </c>
      <c r="C19" s="15" t="s">
        <v>58</v>
      </c>
      <c r="D19" s="15" t="s">
        <v>58</v>
      </c>
      <c r="E19" s="19">
        <v>4.21</v>
      </c>
      <c r="F19" s="19">
        <v>22.63</v>
      </c>
      <c r="G19" s="15" t="s">
        <v>58</v>
      </c>
      <c r="H19" s="19">
        <v>71.81</v>
      </c>
      <c r="I19" s="15" t="s">
        <v>58</v>
      </c>
    </row>
    <row r="20" spans="1:9" x14ac:dyDescent="0.2">
      <c r="A20" s="10" t="s">
        <v>39</v>
      </c>
      <c r="B20" s="15" t="s">
        <v>58</v>
      </c>
      <c r="C20" s="15" t="s">
        <v>58</v>
      </c>
      <c r="D20" s="15" t="s">
        <v>58</v>
      </c>
      <c r="E20" s="19">
        <v>0.63</v>
      </c>
      <c r="F20" s="19">
        <v>5.67</v>
      </c>
      <c r="G20" s="15" t="s">
        <v>58</v>
      </c>
      <c r="H20" s="19">
        <v>8.1</v>
      </c>
      <c r="I20" s="15" t="s">
        <v>58</v>
      </c>
    </row>
    <row r="21" spans="1:9" x14ac:dyDescent="0.2">
      <c r="A21" s="10" t="s">
        <v>40</v>
      </c>
      <c r="B21" s="15" t="s">
        <v>58</v>
      </c>
      <c r="C21" s="15" t="s">
        <v>58</v>
      </c>
      <c r="D21" s="15" t="s">
        <v>58</v>
      </c>
      <c r="E21" s="19">
        <v>2</v>
      </c>
      <c r="F21" s="19">
        <v>10.43</v>
      </c>
      <c r="G21" s="15" t="s">
        <v>58</v>
      </c>
      <c r="H21" s="19">
        <v>26</v>
      </c>
      <c r="I21" s="15" t="s">
        <v>58</v>
      </c>
    </row>
    <row r="22" spans="1:9" x14ac:dyDescent="0.2">
      <c r="A22" s="10" t="s">
        <v>41</v>
      </c>
      <c r="B22" s="15" t="s">
        <v>58</v>
      </c>
      <c r="C22" s="15" t="s">
        <v>58</v>
      </c>
      <c r="D22" s="15" t="s">
        <v>58</v>
      </c>
      <c r="E22" s="19">
        <v>1.72</v>
      </c>
      <c r="F22" s="19">
        <v>9.02</v>
      </c>
      <c r="G22" s="15" t="s">
        <v>58</v>
      </c>
      <c r="H22" s="19">
        <v>12.54</v>
      </c>
      <c r="I22" s="15" t="s">
        <v>58</v>
      </c>
    </row>
    <row r="23" spans="1:9" x14ac:dyDescent="0.2">
      <c r="A23" s="9"/>
      <c r="B23" s="9"/>
      <c r="C23" s="9"/>
      <c r="D23" s="9"/>
      <c r="E23" s="9"/>
      <c r="F23" s="9"/>
      <c r="G23" s="9"/>
      <c r="H23" s="9"/>
      <c r="I23" s="9"/>
    </row>
    <row r="24" spans="1:9" x14ac:dyDescent="0.2">
      <c r="A24" s="10" t="s">
        <v>114</v>
      </c>
      <c r="B24" s="10"/>
      <c r="C24" s="10"/>
      <c r="D24" s="10"/>
      <c r="E24" s="10"/>
      <c r="F24" s="10"/>
      <c r="G24" s="10"/>
      <c r="H24" s="10"/>
      <c r="I24" s="10"/>
    </row>
    <row r="25" spans="1:9" x14ac:dyDescent="0.2">
      <c r="A25" s="8" t="s">
        <v>38</v>
      </c>
      <c r="B25" s="15" t="s">
        <v>115</v>
      </c>
      <c r="C25" s="15" t="s">
        <v>115</v>
      </c>
      <c r="D25" s="15" t="s">
        <v>115</v>
      </c>
      <c r="E25" s="13">
        <v>1678308.17</v>
      </c>
      <c r="F25" s="13">
        <v>2844960.61</v>
      </c>
      <c r="G25" s="9"/>
      <c r="H25" s="9"/>
      <c r="I25" s="9"/>
    </row>
    <row r="26" spans="1:9" x14ac:dyDescent="0.2">
      <c r="A26" s="8" t="s">
        <v>39</v>
      </c>
      <c r="B26" s="15" t="s">
        <v>115</v>
      </c>
      <c r="C26" s="15" t="s">
        <v>115</v>
      </c>
      <c r="D26" s="15" t="s">
        <v>115</v>
      </c>
      <c r="E26" s="13">
        <v>252924.57</v>
      </c>
      <c r="F26" s="13">
        <v>712623.12</v>
      </c>
      <c r="G26" s="9"/>
      <c r="H26" s="9"/>
      <c r="I26" s="9"/>
    </row>
    <row r="27" spans="1:9" x14ac:dyDescent="0.2">
      <c r="A27" s="8" t="s">
        <v>40</v>
      </c>
      <c r="B27" s="15" t="s">
        <v>115</v>
      </c>
      <c r="C27" s="15" t="s">
        <v>115</v>
      </c>
      <c r="D27" s="15" t="s">
        <v>115</v>
      </c>
      <c r="E27" s="13">
        <v>799071.82</v>
      </c>
      <c r="F27" s="13">
        <v>1311039.74</v>
      </c>
      <c r="G27" s="9"/>
      <c r="H27" s="9"/>
      <c r="I27" s="9"/>
    </row>
    <row r="28" spans="1:9" x14ac:dyDescent="0.2">
      <c r="A28" s="8" t="s">
        <v>41</v>
      </c>
      <c r="B28" s="15" t="s">
        <v>115</v>
      </c>
      <c r="C28" s="15" t="s">
        <v>115</v>
      </c>
      <c r="D28" s="15" t="s">
        <v>115</v>
      </c>
      <c r="E28" s="13">
        <v>684669.22</v>
      </c>
      <c r="F28" s="13">
        <v>1133350.6100000001</v>
      </c>
      <c r="G28" s="9"/>
      <c r="H28" s="9"/>
      <c r="I28" s="9"/>
    </row>
    <row r="29" spans="1:9" x14ac:dyDescent="0.2">
      <c r="A29" s="9"/>
      <c r="B29" s="9"/>
      <c r="C29" s="9"/>
      <c r="D29" s="9"/>
      <c r="E29" s="9"/>
      <c r="F29" s="9"/>
      <c r="G29" s="9"/>
      <c r="H29" s="9"/>
      <c r="I29" s="9"/>
    </row>
    <row r="30" spans="1:9" ht="12" customHeight="1" x14ac:dyDescent="0.2">
      <c r="A30" s="10" t="s">
        <v>116</v>
      </c>
      <c r="B30" s="14">
        <v>51355</v>
      </c>
      <c r="C30" s="14">
        <v>51355</v>
      </c>
      <c r="D30" s="14">
        <v>51355</v>
      </c>
      <c r="E30" s="14">
        <v>51355</v>
      </c>
      <c r="F30" s="14">
        <v>51355</v>
      </c>
      <c r="G30" s="9"/>
      <c r="H30" s="9"/>
      <c r="I30" s="9"/>
    </row>
    <row r="31" spans="1:9" ht="12" customHeight="1" x14ac:dyDescent="0.2">
      <c r="A31" s="10" t="s">
        <v>117</v>
      </c>
      <c r="B31" s="14">
        <v>111110</v>
      </c>
      <c r="C31" s="14">
        <v>111110</v>
      </c>
      <c r="D31" s="14">
        <v>111110</v>
      </c>
      <c r="E31" s="14">
        <v>111110</v>
      </c>
      <c r="F31" s="14">
        <v>111110</v>
      </c>
      <c r="G31" s="9"/>
      <c r="H31" s="9"/>
      <c r="I31" s="9"/>
    </row>
    <row r="32" spans="1:9" ht="12" customHeight="1" x14ac:dyDescent="0.2">
      <c r="A32" s="10" t="s">
        <v>118</v>
      </c>
      <c r="B32" s="15" t="s">
        <v>26</v>
      </c>
      <c r="C32" s="15" t="s">
        <v>26</v>
      </c>
      <c r="D32" s="15" t="s">
        <v>26</v>
      </c>
      <c r="E32" s="15" t="s">
        <v>26</v>
      </c>
      <c r="F32" s="15" t="s">
        <v>26</v>
      </c>
      <c r="G32" s="9"/>
      <c r="H32" s="9"/>
      <c r="I32" s="9"/>
    </row>
    <row r="33" spans="1:9" ht="12" customHeight="1" x14ac:dyDescent="0.2">
      <c r="A33" s="10" t="s">
        <v>119</v>
      </c>
      <c r="B33" s="15" t="s">
        <v>26</v>
      </c>
      <c r="C33" s="15" t="s">
        <v>26</v>
      </c>
      <c r="D33" s="15" t="s">
        <v>26</v>
      </c>
      <c r="E33" s="15" t="s">
        <v>26</v>
      </c>
      <c r="F33" s="15" t="s">
        <v>26</v>
      </c>
      <c r="G33" s="9"/>
      <c r="H33" s="9"/>
      <c r="I33" s="9"/>
    </row>
    <row r="34" spans="1:9" x14ac:dyDescent="0.2">
      <c r="A34" s="9"/>
      <c r="B34" s="9"/>
      <c r="C34" s="9"/>
      <c r="D34" s="9"/>
      <c r="E34" s="9"/>
      <c r="F34" s="9"/>
      <c r="G34" s="9"/>
      <c r="H34" s="9"/>
      <c r="I34" s="9"/>
    </row>
    <row r="35" spans="1:9" x14ac:dyDescent="0.2">
      <c r="A35" s="10" t="s">
        <v>120</v>
      </c>
      <c r="B35" s="10"/>
      <c r="C35" s="10"/>
      <c r="D35" s="10"/>
      <c r="E35" s="10"/>
      <c r="F35" s="10"/>
      <c r="G35" s="10"/>
      <c r="H35" s="10"/>
      <c r="I35" s="10"/>
    </row>
    <row r="36" spans="1:9" x14ac:dyDescent="0.2">
      <c r="A36" s="8" t="s">
        <v>38</v>
      </c>
      <c r="B36" s="15" t="s">
        <v>115</v>
      </c>
      <c r="C36" s="15" t="s">
        <v>115</v>
      </c>
      <c r="D36" s="15" t="s">
        <v>115</v>
      </c>
      <c r="E36" s="13">
        <v>1618553.17</v>
      </c>
      <c r="F36" s="13">
        <v>2785205.61</v>
      </c>
      <c r="G36" s="15" t="s">
        <v>115</v>
      </c>
      <c r="H36" s="13">
        <v>7050077.0899999999</v>
      </c>
      <c r="I36" s="15" t="s">
        <v>115</v>
      </c>
    </row>
    <row r="37" spans="1:9" x14ac:dyDescent="0.2">
      <c r="A37" s="8" t="s">
        <v>39</v>
      </c>
      <c r="B37" s="15" t="s">
        <v>115</v>
      </c>
      <c r="C37" s="15" t="s">
        <v>115</v>
      </c>
      <c r="D37" s="15" t="s">
        <v>115</v>
      </c>
      <c r="E37" s="13">
        <v>193169.57</v>
      </c>
      <c r="F37" s="13">
        <v>652868.12</v>
      </c>
      <c r="G37" s="15" t="s">
        <v>115</v>
      </c>
      <c r="H37" s="13">
        <v>795200.12</v>
      </c>
      <c r="I37" s="15" t="s">
        <v>115</v>
      </c>
    </row>
    <row r="38" spans="1:9" x14ac:dyDescent="0.2">
      <c r="A38" s="8" t="s">
        <v>40</v>
      </c>
      <c r="B38" s="15" t="s">
        <v>115</v>
      </c>
      <c r="C38" s="15" t="s">
        <v>115</v>
      </c>
      <c r="D38" s="15" t="s">
        <v>115</v>
      </c>
      <c r="E38" s="13">
        <v>739316.82</v>
      </c>
      <c r="F38" s="13">
        <v>1251284.74</v>
      </c>
      <c r="G38" s="15" t="s">
        <v>115</v>
      </c>
      <c r="H38" s="13">
        <v>2552238.96</v>
      </c>
      <c r="I38" s="15" t="s">
        <v>115</v>
      </c>
    </row>
    <row r="39" spans="1:9" x14ac:dyDescent="0.2">
      <c r="A39" s="8" t="s">
        <v>41</v>
      </c>
      <c r="B39" s="15" t="s">
        <v>115</v>
      </c>
      <c r="C39" s="15" t="s">
        <v>115</v>
      </c>
      <c r="D39" s="15" t="s">
        <v>115</v>
      </c>
      <c r="E39" s="13">
        <v>624914.22</v>
      </c>
      <c r="F39" s="13">
        <v>1073595.6100000001</v>
      </c>
      <c r="G39" s="15" t="s">
        <v>115</v>
      </c>
      <c r="H39" s="13">
        <v>1231229.32</v>
      </c>
      <c r="I39" s="15" t="s">
        <v>115</v>
      </c>
    </row>
    <row r="40" spans="1:9" x14ac:dyDescent="0.2">
      <c r="A40" s="9"/>
      <c r="B40" s="9"/>
      <c r="C40" s="9"/>
      <c r="D40" s="9"/>
      <c r="E40" s="9"/>
      <c r="F40" s="9"/>
      <c r="G40" s="9"/>
      <c r="H40" s="9"/>
      <c r="I40" s="9"/>
    </row>
    <row r="41" spans="1:9" ht="12" customHeight="1" x14ac:dyDescent="0.2">
      <c r="A41" s="10" t="s">
        <v>121</v>
      </c>
      <c r="B41" s="13">
        <v>15821.95</v>
      </c>
      <c r="C41" s="13">
        <v>15821.95</v>
      </c>
      <c r="D41" s="13">
        <v>15821.95</v>
      </c>
      <c r="E41" s="13">
        <v>15821.95</v>
      </c>
      <c r="F41" s="13">
        <v>15821.95</v>
      </c>
      <c r="G41" s="13">
        <v>15821.95</v>
      </c>
      <c r="H41" s="13">
        <v>15821.95</v>
      </c>
      <c r="I41" s="13">
        <v>15821.95</v>
      </c>
    </row>
    <row r="42" spans="1:9" x14ac:dyDescent="0.2">
      <c r="A42" s="9"/>
      <c r="B42" s="9"/>
      <c r="C42" s="9"/>
      <c r="D42" s="9"/>
      <c r="E42" s="9"/>
      <c r="F42" s="9"/>
      <c r="G42" s="9"/>
      <c r="H42" s="9"/>
      <c r="I42" s="9"/>
    </row>
    <row r="43" spans="1:9" x14ac:dyDescent="0.2">
      <c r="A43" s="10" t="s">
        <v>122</v>
      </c>
      <c r="B43" s="10"/>
      <c r="C43" s="10"/>
      <c r="D43" s="10"/>
      <c r="E43" s="10"/>
      <c r="F43" s="10"/>
      <c r="G43" s="10"/>
      <c r="H43" s="10"/>
      <c r="I43" s="10"/>
    </row>
    <row r="44" spans="1:9" x14ac:dyDescent="0.2">
      <c r="A44" s="8" t="s">
        <v>38</v>
      </c>
      <c r="B44" s="15" t="s">
        <v>115</v>
      </c>
      <c r="C44" s="15" t="s">
        <v>115</v>
      </c>
      <c r="D44" s="15" t="s">
        <v>115</v>
      </c>
      <c r="E44" s="13">
        <v>102.3</v>
      </c>
      <c r="F44" s="13">
        <v>176.03</v>
      </c>
      <c r="G44" s="15" t="s">
        <v>115</v>
      </c>
      <c r="H44" s="13">
        <v>445.59</v>
      </c>
      <c r="I44" s="15" t="s">
        <v>115</v>
      </c>
    </row>
    <row r="45" spans="1:9" x14ac:dyDescent="0.2">
      <c r="A45" s="8" t="s">
        <v>39</v>
      </c>
      <c r="B45" s="15" t="s">
        <v>115</v>
      </c>
      <c r="C45" s="15" t="s">
        <v>115</v>
      </c>
      <c r="D45" s="15" t="s">
        <v>115</v>
      </c>
      <c r="E45" s="13">
        <v>12.21</v>
      </c>
      <c r="F45" s="13">
        <v>41.26</v>
      </c>
      <c r="G45" s="15" t="s">
        <v>115</v>
      </c>
      <c r="H45" s="13">
        <v>50.26</v>
      </c>
      <c r="I45" s="15" t="s">
        <v>115</v>
      </c>
    </row>
    <row r="46" spans="1:9" x14ac:dyDescent="0.2">
      <c r="A46" s="8" t="s">
        <v>40</v>
      </c>
      <c r="B46" s="15" t="s">
        <v>115</v>
      </c>
      <c r="C46" s="15" t="s">
        <v>115</v>
      </c>
      <c r="D46" s="15" t="s">
        <v>115</v>
      </c>
      <c r="E46" s="13">
        <v>46.73</v>
      </c>
      <c r="F46" s="13">
        <v>79.09</v>
      </c>
      <c r="G46" s="15" t="s">
        <v>115</v>
      </c>
      <c r="H46" s="13">
        <v>161.31</v>
      </c>
      <c r="I46" s="15" t="s">
        <v>115</v>
      </c>
    </row>
    <row r="47" spans="1:9" x14ac:dyDescent="0.2">
      <c r="A47" s="8" t="s">
        <v>41</v>
      </c>
      <c r="B47" s="15" t="s">
        <v>115</v>
      </c>
      <c r="C47" s="15" t="s">
        <v>115</v>
      </c>
      <c r="D47" s="15" t="s">
        <v>115</v>
      </c>
      <c r="E47" s="13">
        <v>39.5</v>
      </c>
      <c r="F47" s="13">
        <v>67.849999999999994</v>
      </c>
      <c r="G47" s="15" t="s">
        <v>115</v>
      </c>
      <c r="H47" s="13">
        <v>77.819999999999993</v>
      </c>
      <c r="I47" s="15" t="s">
        <v>115</v>
      </c>
    </row>
    <row r="48" spans="1:9" x14ac:dyDescent="0.2">
      <c r="A48" s="9"/>
      <c r="B48" s="9"/>
      <c r="C48" s="9"/>
      <c r="D48" s="9"/>
      <c r="E48" s="9"/>
      <c r="F48" s="9"/>
      <c r="G48" s="9"/>
      <c r="H48" s="9"/>
      <c r="I48" s="9"/>
    </row>
    <row r="49" spans="1:9" ht="20.399999999999999" x14ac:dyDescent="0.2">
      <c r="A49" s="10" t="s">
        <v>123</v>
      </c>
      <c r="B49" s="12" t="s">
        <v>124</v>
      </c>
      <c r="C49" s="12" t="s">
        <v>125</v>
      </c>
      <c r="D49" s="10"/>
      <c r="E49" s="10"/>
      <c r="F49" s="10"/>
      <c r="G49" s="10"/>
      <c r="H49" s="10"/>
      <c r="I49" s="10"/>
    </row>
    <row r="50" spans="1:9" x14ac:dyDescent="0.2">
      <c r="A50" s="10" t="s">
        <v>38</v>
      </c>
      <c r="B50" s="25">
        <v>3817945.29</v>
      </c>
      <c r="C50" s="25">
        <v>241.31</v>
      </c>
      <c r="D50" s="9"/>
      <c r="E50" s="9"/>
      <c r="F50" s="9"/>
      <c r="G50" s="9"/>
      <c r="H50" s="9"/>
      <c r="I50" s="9"/>
    </row>
    <row r="51" spans="1:9" x14ac:dyDescent="0.2">
      <c r="A51" s="10" t="s">
        <v>39</v>
      </c>
      <c r="B51" s="25">
        <v>547079.27</v>
      </c>
      <c r="C51" s="25">
        <v>34.58</v>
      </c>
      <c r="D51" s="9"/>
      <c r="E51" s="9"/>
      <c r="F51" s="9"/>
      <c r="G51" s="9"/>
      <c r="H51" s="9"/>
      <c r="I51" s="9"/>
    </row>
    <row r="52" spans="1:9" x14ac:dyDescent="0.2">
      <c r="A52" s="10" t="s">
        <v>40</v>
      </c>
      <c r="B52" s="25">
        <v>1514280.17</v>
      </c>
      <c r="C52" s="25">
        <v>95.71</v>
      </c>
      <c r="D52" s="9"/>
      <c r="E52" s="9"/>
      <c r="F52" s="9"/>
      <c r="G52" s="9"/>
      <c r="H52" s="9"/>
      <c r="I52" s="9"/>
    </row>
    <row r="53" spans="1:9" x14ac:dyDescent="0.2">
      <c r="A53" s="10" t="s">
        <v>41</v>
      </c>
      <c r="B53" s="25">
        <v>976579.72</v>
      </c>
      <c r="C53" s="25">
        <v>61.72</v>
      </c>
      <c r="D53" s="9"/>
      <c r="E53" s="9"/>
      <c r="F53" s="9"/>
      <c r="G53" s="9"/>
      <c r="H53" s="9"/>
      <c r="I53" s="9"/>
    </row>
    <row r="54" spans="1:9" x14ac:dyDescent="0.2">
      <c r="A54" s="11"/>
      <c r="B54" s="11"/>
      <c r="C54" s="11"/>
      <c r="D54" s="11"/>
      <c r="E54" s="11"/>
      <c r="F54" s="11"/>
      <c r="G54" s="11"/>
      <c r="H54" s="11"/>
      <c r="I54" s="11"/>
    </row>
    <row r="55" spans="1:9" x14ac:dyDescent="0.2">
      <c r="A55" s="7"/>
    </row>
    <row r="60" spans="1:9" x14ac:dyDescent="0.2">
      <c r="A60" t="s">
        <v>43</v>
      </c>
    </row>
    <row r="69" spans="1:3" ht="25.05" customHeight="1" x14ac:dyDescent="0.2">
      <c r="A69" s="46" t="s">
        <v>45</v>
      </c>
      <c r="B69" s="47"/>
      <c r="C69" s="47"/>
    </row>
  </sheetData>
  <mergeCells count="1">
    <mergeCell ref="A69:C69"/>
  </mergeCells>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6CC29-1328-401E-8B4C-6AEFCAA03AFB}">
  <sheetPr codeName="Sheet7">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2" t="s">
        <v>126</v>
      </c>
    </row>
    <row r="7" spans="1:255" x14ac:dyDescent="0.2">
      <c r="A7" s="3" t="s">
        <v>1</v>
      </c>
      <c r="B7" s="3"/>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row>
    <row r="8" spans="1:255" x14ac:dyDescent="0.2">
      <c r="A8" s="4" t="s">
        <v>127</v>
      </c>
      <c r="B8" s="5" t="s">
        <v>3</v>
      </c>
    </row>
    <row r="9" spans="1:255" x14ac:dyDescent="0.2">
      <c r="A9" s="4" t="s">
        <v>128</v>
      </c>
      <c r="B9" s="5" t="s">
        <v>5</v>
      </c>
    </row>
    <row r="10" spans="1:255" x14ac:dyDescent="0.2">
      <c r="A10" s="4" t="s">
        <v>129</v>
      </c>
      <c r="B10" s="6">
        <v>45034</v>
      </c>
    </row>
    <row r="11" spans="1:255" x14ac:dyDescent="0.2">
      <c r="A11" s="7"/>
    </row>
    <row r="13" spans="1:255" x14ac:dyDescent="0.2">
      <c r="A13" s="3" t="s">
        <v>7</v>
      </c>
      <c r="B13" s="3"/>
      <c r="C13" s="44"/>
      <c r="D13" s="44"/>
      <c r="E13" s="44"/>
      <c r="F13" s="44"/>
      <c r="G13" s="44"/>
      <c r="H13" s="44"/>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row>
    <row r="14" spans="1:255" x14ac:dyDescent="0.2">
      <c r="A14" s="26"/>
      <c r="B14" s="28"/>
    </row>
    <row r="15" spans="1:255" ht="400.05" customHeight="1" x14ac:dyDescent="0.2">
      <c r="A15" s="27"/>
      <c r="B15" s="11"/>
    </row>
    <row r="18" spans="1:3" x14ac:dyDescent="0.2">
      <c r="A18" s="7"/>
    </row>
    <row r="23" spans="1:3" x14ac:dyDescent="0.2">
      <c r="A23" t="s">
        <v>43</v>
      </c>
    </row>
    <row r="32" spans="1:3" ht="25.05" customHeight="1" x14ac:dyDescent="0.2">
      <c r="A32" s="46" t="s">
        <v>45</v>
      </c>
      <c r="B32" s="47"/>
      <c r="C32" s="47"/>
    </row>
  </sheetData>
  <mergeCells count="1">
    <mergeCell ref="A32:C32"/>
  </mergeCells>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1B98C-4B2C-4A9B-8611-EC4474A18A04}">
  <sheetPr codeName="Sheet8">
    <outlinePr summaryBelow="0" summaryRight="0"/>
  </sheetPr>
  <dimension ref="A4:IU48"/>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2" t="s">
        <v>130</v>
      </c>
    </row>
    <row r="7" spans="1:255" x14ac:dyDescent="0.2">
      <c r="A7" s="3" t="s">
        <v>1</v>
      </c>
      <c r="B7" s="3"/>
      <c r="C7" s="3"/>
      <c r="D7" s="3"/>
      <c r="E7" s="3"/>
      <c r="F7" s="3"/>
      <c r="G7" s="3"/>
      <c r="H7" s="3"/>
      <c r="I7" s="3"/>
      <c r="J7" s="3"/>
      <c r="K7" s="3"/>
      <c r="L7" s="3"/>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row>
    <row r="8" spans="1:255" x14ac:dyDescent="0.2">
      <c r="A8" s="4" t="s">
        <v>131</v>
      </c>
      <c r="B8" s="5" t="s">
        <v>3</v>
      </c>
    </row>
    <row r="9" spans="1:255" x14ac:dyDescent="0.2">
      <c r="A9" s="4" t="s">
        <v>132</v>
      </c>
      <c r="B9" s="5" t="s">
        <v>5</v>
      </c>
    </row>
    <row r="10" spans="1:255" x14ac:dyDescent="0.2">
      <c r="A10" s="4" t="s">
        <v>133</v>
      </c>
      <c r="B10" s="6">
        <v>45034</v>
      </c>
    </row>
    <row r="11" spans="1:255" x14ac:dyDescent="0.2">
      <c r="A11" s="7"/>
    </row>
    <row r="13" spans="1:255" x14ac:dyDescent="0.2">
      <c r="A13" s="3" t="s">
        <v>7</v>
      </c>
      <c r="B13" s="3"/>
      <c r="C13" s="3"/>
      <c r="D13" s="3"/>
      <c r="E13" s="3"/>
      <c r="F13" s="3"/>
      <c r="G13" s="3"/>
      <c r="H13" s="3"/>
      <c r="I13" s="3"/>
      <c r="J13" s="3"/>
      <c r="K13" s="3"/>
      <c r="L13" s="3"/>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row>
    <row r="14" spans="1:255" ht="20.399999999999999" x14ac:dyDescent="0.2">
      <c r="A14" s="29" t="s">
        <v>8</v>
      </c>
      <c r="B14" s="30" t="s">
        <v>134</v>
      </c>
      <c r="C14" s="30" t="s">
        <v>135</v>
      </c>
      <c r="D14" s="30" t="s">
        <v>136</v>
      </c>
      <c r="E14" s="30" t="s">
        <v>137</v>
      </c>
      <c r="F14" s="36" t="s">
        <v>138</v>
      </c>
      <c r="G14" s="36" t="s">
        <v>139</v>
      </c>
      <c r="H14" s="30" t="s">
        <v>140</v>
      </c>
      <c r="I14" s="30" t="s">
        <v>141</v>
      </c>
      <c r="J14" s="30" t="s">
        <v>142</v>
      </c>
      <c r="K14" s="29" t="s">
        <v>143</v>
      </c>
      <c r="L14" s="29" t="s">
        <v>144</v>
      </c>
    </row>
    <row r="15" spans="1:255" ht="12" customHeight="1" x14ac:dyDescent="0.2">
      <c r="A15" s="29" t="s">
        <v>27</v>
      </c>
      <c r="B15" s="31">
        <v>1</v>
      </c>
      <c r="C15" s="31">
        <v>1</v>
      </c>
      <c r="D15" s="31">
        <v>1</v>
      </c>
      <c r="E15" s="31">
        <v>1</v>
      </c>
      <c r="F15" s="37">
        <v>44926</v>
      </c>
      <c r="G15" s="37">
        <v>44961</v>
      </c>
      <c r="H15" s="39" t="s">
        <v>145</v>
      </c>
      <c r="I15" s="39" t="s">
        <v>146</v>
      </c>
      <c r="J15" s="39" t="s">
        <v>147</v>
      </c>
      <c r="K15" s="41" t="s">
        <v>148</v>
      </c>
      <c r="L15" s="41" t="s">
        <v>149</v>
      </c>
    </row>
    <row r="16" spans="1:255" ht="12" customHeight="1" x14ac:dyDescent="0.2">
      <c r="A16" s="29" t="s">
        <v>35</v>
      </c>
      <c r="B16" s="31">
        <v>1</v>
      </c>
      <c r="C16" s="32">
        <v>2</v>
      </c>
      <c r="D16" s="31">
        <v>1</v>
      </c>
      <c r="E16" s="31">
        <v>1</v>
      </c>
      <c r="F16" s="37">
        <v>44926</v>
      </c>
      <c r="G16" s="37">
        <v>44975</v>
      </c>
      <c r="H16" s="39" t="s">
        <v>150</v>
      </c>
      <c r="I16" s="39" t="s">
        <v>151</v>
      </c>
      <c r="J16" s="39" t="s">
        <v>152</v>
      </c>
      <c r="K16" s="41" t="s">
        <v>153</v>
      </c>
      <c r="L16" s="41" t="s">
        <v>154</v>
      </c>
    </row>
    <row r="17" spans="1:12" ht="12" customHeight="1" x14ac:dyDescent="0.2">
      <c r="A17" s="29" t="s">
        <v>32</v>
      </c>
      <c r="B17" s="32">
        <v>2</v>
      </c>
      <c r="C17" s="32">
        <v>2</v>
      </c>
      <c r="D17" s="32">
        <v>2</v>
      </c>
      <c r="E17" s="32">
        <v>2</v>
      </c>
      <c r="F17" s="37">
        <v>44920</v>
      </c>
      <c r="G17" s="37">
        <v>44961</v>
      </c>
      <c r="H17" s="39" t="s">
        <v>155</v>
      </c>
      <c r="I17" s="39" t="s">
        <v>156</v>
      </c>
      <c r="J17" s="39" t="s">
        <v>157</v>
      </c>
      <c r="K17" s="41" t="s">
        <v>148</v>
      </c>
      <c r="L17" s="41" t="s">
        <v>158</v>
      </c>
    </row>
    <row r="18" spans="1:12" ht="12" customHeight="1" x14ac:dyDescent="0.2">
      <c r="A18" s="29" t="s">
        <v>34</v>
      </c>
      <c r="B18" s="32">
        <v>2</v>
      </c>
      <c r="C18" s="33">
        <v>3</v>
      </c>
      <c r="D18" s="32">
        <v>2</v>
      </c>
      <c r="E18" s="32">
        <v>2</v>
      </c>
      <c r="F18" s="37">
        <v>44926</v>
      </c>
      <c r="G18" s="37">
        <v>44954</v>
      </c>
      <c r="H18" s="39" t="s">
        <v>155</v>
      </c>
      <c r="I18" s="39" t="s">
        <v>159</v>
      </c>
      <c r="J18" s="39" t="s">
        <v>160</v>
      </c>
      <c r="K18" s="41" t="s">
        <v>148</v>
      </c>
      <c r="L18" s="41" t="s">
        <v>158</v>
      </c>
    </row>
    <row r="19" spans="1:12" ht="12" customHeight="1" x14ac:dyDescent="0.2">
      <c r="A19" s="29" t="s">
        <v>25</v>
      </c>
      <c r="B19" s="33">
        <v>3</v>
      </c>
      <c r="C19" s="32">
        <v>2</v>
      </c>
      <c r="D19" s="32">
        <v>2</v>
      </c>
      <c r="E19" s="35" t="s">
        <v>26</v>
      </c>
      <c r="F19" s="37">
        <v>44926</v>
      </c>
      <c r="G19" s="37">
        <v>45028</v>
      </c>
      <c r="H19" s="39" t="s">
        <v>161</v>
      </c>
      <c r="I19" s="39" t="s">
        <v>151</v>
      </c>
      <c r="J19" s="39" t="s">
        <v>162</v>
      </c>
      <c r="K19" s="41" t="s">
        <v>148</v>
      </c>
      <c r="L19" s="41" t="s">
        <v>163</v>
      </c>
    </row>
    <row r="20" spans="1:12" ht="12" customHeight="1" x14ac:dyDescent="0.2">
      <c r="A20" s="29" t="s">
        <v>31</v>
      </c>
      <c r="B20" s="33">
        <v>3</v>
      </c>
      <c r="C20" s="34">
        <v>4</v>
      </c>
      <c r="D20" s="34">
        <v>4</v>
      </c>
      <c r="E20" s="32">
        <v>2</v>
      </c>
      <c r="F20" s="37">
        <v>44953</v>
      </c>
      <c r="G20" s="37">
        <v>44987</v>
      </c>
      <c r="H20" s="39" t="s">
        <v>164</v>
      </c>
      <c r="I20" s="39" t="s">
        <v>159</v>
      </c>
      <c r="J20" s="39" t="s">
        <v>165</v>
      </c>
      <c r="K20" s="41" t="s">
        <v>148</v>
      </c>
      <c r="L20" s="41" t="s">
        <v>154</v>
      </c>
    </row>
    <row r="21" spans="1:12" ht="12" customHeight="1" x14ac:dyDescent="0.2">
      <c r="A21" s="29" t="s">
        <v>33</v>
      </c>
      <c r="B21" s="33">
        <v>3</v>
      </c>
      <c r="C21" s="34">
        <v>4</v>
      </c>
      <c r="D21" s="34">
        <v>4</v>
      </c>
      <c r="E21" s="33">
        <v>3</v>
      </c>
      <c r="F21" s="37">
        <v>44925</v>
      </c>
      <c r="G21" s="37">
        <v>44961</v>
      </c>
      <c r="H21" s="39" t="s">
        <v>166</v>
      </c>
      <c r="I21" s="39" t="s">
        <v>167</v>
      </c>
      <c r="J21" s="40">
        <v>872</v>
      </c>
      <c r="K21" s="41" t="s">
        <v>148</v>
      </c>
      <c r="L21" s="41" t="s">
        <v>154</v>
      </c>
    </row>
    <row r="22" spans="1:12" ht="12" customHeight="1" x14ac:dyDescent="0.2">
      <c r="A22" s="29" t="s">
        <v>30</v>
      </c>
      <c r="B22" s="34">
        <v>4</v>
      </c>
      <c r="C22" s="33">
        <v>3</v>
      </c>
      <c r="D22" s="33">
        <v>3</v>
      </c>
      <c r="E22" s="33">
        <v>3</v>
      </c>
      <c r="F22" s="37">
        <v>44957</v>
      </c>
      <c r="G22" s="37">
        <v>45002</v>
      </c>
      <c r="H22" s="39" t="s">
        <v>168</v>
      </c>
      <c r="I22" s="39" t="s">
        <v>169</v>
      </c>
      <c r="J22" s="39" t="s">
        <v>170</v>
      </c>
      <c r="K22" s="41" t="s">
        <v>148</v>
      </c>
      <c r="L22" s="41" t="s">
        <v>154</v>
      </c>
    </row>
    <row r="23" spans="1:12" ht="12" customHeight="1" x14ac:dyDescent="0.2">
      <c r="A23" s="29" t="s">
        <v>29</v>
      </c>
      <c r="B23" s="34">
        <v>4</v>
      </c>
      <c r="C23" s="33">
        <v>3</v>
      </c>
      <c r="D23" s="33">
        <v>3</v>
      </c>
      <c r="E23" s="34">
        <v>4</v>
      </c>
      <c r="F23" s="38">
        <v>9.3000000000000007</v>
      </c>
      <c r="G23" s="37">
        <v>44987</v>
      </c>
      <c r="H23" s="39" t="s">
        <v>168</v>
      </c>
      <c r="I23" s="39" t="s">
        <v>171</v>
      </c>
      <c r="J23" s="39" t="s">
        <v>172</v>
      </c>
      <c r="K23" s="41" t="s">
        <v>148</v>
      </c>
      <c r="L23" s="41" t="s">
        <v>154</v>
      </c>
    </row>
    <row r="24" spans="1:12" ht="12" customHeight="1" x14ac:dyDescent="0.2">
      <c r="A24" s="29" t="s">
        <v>28</v>
      </c>
      <c r="B24" s="34">
        <v>4</v>
      </c>
      <c r="C24" s="34">
        <v>4</v>
      </c>
      <c r="D24" s="34">
        <v>4</v>
      </c>
      <c r="E24" s="34">
        <v>4</v>
      </c>
      <c r="F24" s="37">
        <v>44960</v>
      </c>
      <c r="G24" s="37">
        <v>45016</v>
      </c>
      <c r="H24" s="39" t="s">
        <v>168</v>
      </c>
      <c r="I24" s="39" t="s">
        <v>159</v>
      </c>
      <c r="J24" s="39" t="s">
        <v>173</v>
      </c>
      <c r="K24" s="41" t="s">
        <v>148</v>
      </c>
      <c r="L24" s="41" t="s">
        <v>154</v>
      </c>
    </row>
    <row r="25" spans="1:12" x14ac:dyDescent="0.2">
      <c r="A25" s="9"/>
      <c r="B25" s="9"/>
      <c r="C25" s="9"/>
      <c r="D25" s="9"/>
      <c r="E25" s="9"/>
      <c r="F25" s="9"/>
      <c r="G25" s="9"/>
      <c r="H25" s="9"/>
      <c r="I25" s="9"/>
      <c r="J25" s="9"/>
      <c r="K25" s="9"/>
      <c r="L25" s="9"/>
    </row>
    <row r="26" spans="1:12" x14ac:dyDescent="0.2">
      <c r="A26" s="10"/>
      <c r="B26" s="10"/>
      <c r="C26" s="10"/>
      <c r="D26" s="10"/>
      <c r="E26" s="10"/>
      <c r="F26" s="10"/>
      <c r="G26" s="10"/>
      <c r="H26" s="10"/>
      <c r="I26" s="10"/>
      <c r="J26" s="10"/>
      <c r="K26" s="10"/>
      <c r="L26" s="10"/>
    </row>
    <row r="27" spans="1:12" ht="12" customHeight="1" x14ac:dyDescent="0.2">
      <c r="A27" s="29" t="s">
        <v>36</v>
      </c>
      <c r="B27" s="32">
        <v>2</v>
      </c>
      <c r="C27" s="31">
        <v>1</v>
      </c>
      <c r="D27" s="33">
        <v>3</v>
      </c>
      <c r="E27" s="33">
        <v>3</v>
      </c>
      <c r="F27" s="37">
        <v>44926</v>
      </c>
      <c r="G27" s="37">
        <v>44961</v>
      </c>
      <c r="H27" s="39" t="s">
        <v>145</v>
      </c>
      <c r="I27" s="39" t="s">
        <v>146</v>
      </c>
      <c r="J27" s="39" t="s">
        <v>174</v>
      </c>
      <c r="K27" s="41" t="s">
        <v>148</v>
      </c>
      <c r="L27" s="41" t="s">
        <v>154</v>
      </c>
    </row>
    <row r="28" spans="1:12" x14ac:dyDescent="0.2">
      <c r="A28" s="11"/>
      <c r="B28" s="11"/>
      <c r="C28" s="11"/>
      <c r="D28" s="11"/>
      <c r="E28" s="11"/>
      <c r="F28" s="11"/>
      <c r="G28" s="11"/>
      <c r="H28" s="11"/>
      <c r="I28" s="11"/>
      <c r="J28" s="11"/>
      <c r="K28" s="11"/>
      <c r="L28" s="11"/>
    </row>
    <row r="30" spans="1:12" x14ac:dyDescent="0.2">
      <c r="A30" s="7" t="s">
        <v>42</v>
      </c>
    </row>
    <row r="35" spans="1:7" x14ac:dyDescent="0.2">
      <c r="A35" t="s">
        <v>43</v>
      </c>
    </row>
    <row r="38" spans="1:7" x14ac:dyDescent="0.2">
      <c r="A38" t="s">
        <v>175</v>
      </c>
    </row>
    <row r="45" spans="1:7" ht="25.05" customHeight="1" x14ac:dyDescent="0.2">
      <c r="A45" s="46" t="s">
        <v>176</v>
      </c>
      <c r="B45" s="47"/>
      <c r="C45" s="47"/>
    </row>
    <row r="48" spans="1:7" ht="120" customHeight="1" x14ac:dyDescent="0.2">
      <c r="A48" s="48" t="s">
        <v>177</v>
      </c>
      <c r="B48" s="47"/>
      <c r="C48" s="47"/>
      <c r="D48" s="47"/>
      <c r="E48" s="47"/>
      <c r="F48" s="47"/>
      <c r="G48" s="47"/>
    </row>
  </sheetData>
  <mergeCells count="2">
    <mergeCell ref="A45:C45"/>
    <mergeCell ref="A48:G48"/>
  </mergeCells>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855E6-83C2-430B-86A6-6660341DC405}">
  <sheetPr codeName="Sheet9">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2" t="s">
        <v>178</v>
      </c>
    </row>
    <row r="8" spans="1:1" x14ac:dyDescent="0.2">
      <c r="A8" t="s">
        <v>179</v>
      </c>
    </row>
    <row r="10" spans="1:1" ht="120" customHeight="1" x14ac:dyDescent="0.2">
      <c r="A10" s="42" t="s">
        <v>180</v>
      </c>
    </row>
    <row r="12" spans="1:1" ht="72" customHeight="1" x14ac:dyDescent="0.2">
      <c r="A12" s="42" t="s">
        <v>181</v>
      </c>
    </row>
    <row r="14" spans="1:1" ht="36" customHeight="1" x14ac:dyDescent="0.2">
      <c r="A14" s="42" t="s">
        <v>182</v>
      </c>
    </row>
    <row r="16" spans="1:1" ht="36" customHeight="1" x14ac:dyDescent="0.2">
      <c r="A16" s="43" t="s">
        <v>183</v>
      </c>
    </row>
    <row r="18" spans="1:1" ht="36" customHeight="1" x14ac:dyDescent="0.2">
      <c r="A18" s="43" t="s">
        <v>184</v>
      </c>
    </row>
    <row r="20" spans="1:1" ht="36" customHeight="1" x14ac:dyDescent="0.2">
      <c r="A20" s="43" t="s">
        <v>185</v>
      </c>
    </row>
    <row r="22" spans="1:1" ht="24" customHeight="1" x14ac:dyDescent="0.2">
      <c r="A22" s="43" t="s">
        <v>186</v>
      </c>
    </row>
    <row r="24" spans="1:1" ht="24" customHeight="1" x14ac:dyDescent="0.2">
      <c r="A24" s="43" t="s">
        <v>187</v>
      </c>
    </row>
    <row r="26" spans="1:1" ht="24" customHeight="1" x14ac:dyDescent="0.2">
      <c r="A26" s="43" t="s">
        <v>188</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A6857-DA77-40B1-9B14-B8F08ED02310}">
  <sheetPr codeName="Sheet10"/>
  <dimension ref="A5"/>
  <sheetViews>
    <sheetView workbookViewId="0"/>
  </sheetViews>
  <sheetFormatPr defaultRowHeight="10.199999999999999" x14ac:dyDescent="0.2"/>
  <sheetData>
    <row r="5" spans="1:1" ht="23.25" customHeight="1" x14ac:dyDescent="0.4">
      <c r="A5" s="45" t="s">
        <v>189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COMPCO AND 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2023-04-20T02:30:50Z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