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4044479F-5177-448B-BEE2-8474BC7D1D8F}" xr6:coauthVersionLast="47" xr6:coauthVersionMax="47" xr10:uidLastSave="{00000000-0000-0000-0000-000000000000}"/>
  <bookViews>
    <workbookView xWindow="8300" yWindow="120" windowWidth="10900" windowHeight="11420" xr2:uid="{00000000-000D-0000-FFFF-FFFF00000000}"/>
  </bookViews>
  <sheets>
    <sheet name="COMPCO" sheetId="9" r:id="rId1"/>
    <sheet name="BENCHMARKING" sheetId="8"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Evaluation Warning" sheetId="7" r:id="rId9"/>
  </sheets>
  <definedNames>
    <definedName name="_xlnm.Print_Titles" localSheetId="5">'Business Description'!$1:$3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9" l="1"/>
  <c r="N44" i="9"/>
  <c r="N43" i="9"/>
  <c r="N42" i="9"/>
  <c r="N41" i="9"/>
  <c r="N40" i="9"/>
  <c r="N39" i="9"/>
  <c r="N38" i="9"/>
  <c r="N37" i="9"/>
  <c r="N36" i="9"/>
  <c r="N35" i="9"/>
  <c r="N34" i="9"/>
  <c r="N33" i="9"/>
  <c r="N32" i="9"/>
  <c r="N31" i="9"/>
  <c r="N30" i="9"/>
  <c r="N29" i="9"/>
  <c r="N28" i="9"/>
  <c r="N27" i="9"/>
  <c r="N26" i="9"/>
  <c r="N25" i="9"/>
  <c r="N24" i="9"/>
  <c r="M44" i="9"/>
  <c r="M43" i="9"/>
  <c r="M42" i="9"/>
  <c r="M41" i="9"/>
  <c r="M40" i="9"/>
  <c r="M39" i="9"/>
  <c r="M38" i="9"/>
  <c r="M37" i="9"/>
  <c r="M36" i="9"/>
  <c r="M35" i="9"/>
  <c r="M34" i="9"/>
  <c r="M33" i="9"/>
  <c r="M32" i="9"/>
  <c r="M31" i="9"/>
  <c r="M30" i="9"/>
  <c r="M29" i="9"/>
  <c r="M28" i="9"/>
  <c r="M27" i="9"/>
  <c r="M26" i="9"/>
  <c r="M25" i="9"/>
  <c r="M24" i="9"/>
  <c r="L44" i="9"/>
  <c r="L43" i="9"/>
  <c r="L42" i="9"/>
  <c r="L41" i="9"/>
  <c r="L40" i="9"/>
  <c r="L39" i="9"/>
  <c r="L38" i="9"/>
  <c r="L37" i="9"/>
  <c r="L36" i="9"/>
  <c r="L35" i="9"/>
  <c r="L34" i="9"/>
  <c r="L33" i="9"/>
  <c r="L32" i="9"/>
  <c r="L31" i="9"/>
  <c r="L30" i="9"/>
  <c r="L29" i="9"/>
  <c r="L28" i="9"/>
  <c r="L27" i="9"/>
  <c r="L26" i="9"/>
  <c r="L25" i="9"/>
  <c r="L24" i="9"/>
  <c r="L22" i="9"/>
  <c r="S8" i="9" s="1"/>
  <c r="S14" i="9" s="1"/>
  <c r="S12" i="9" s="1"/>
  <c r="S10" i="9" s="1"/>
  <c r="D28" i="8"/>
  <c r="O29" i="8"/>
  <c r="N29" i="8"/>
  <c r="M29" i="8"/>
  <c r="L29" i="8"/>
  <c r="K29" i="8"/>
  <c r="J29" i="8"/>
  <c r="I29" i="8"/>
  <c r="H29" i="8"/>
  <c r="G29" i="8"/>
  <c r="F29" i="8"/>
  <c r="E29" i="8"/>
  <c r="D29" i="8"/>
  <c r="O51" i="8"/>
  <c r="O50" i="8"/>
  <c r="O49" i="8"/>
  <c r="O48" i="8"/>
  <c r="O47" i="8"/>
  <c r="O46" i="8"/>
  <c r="O45" i="8"/>
  <c r="O44" i="8"/>
  <c r="O43" i="8"/>
  <c r="O42" i="8"/>
  <c r="O41" i="8"/>
  <c r="O40" i="8"/>
  <c r="O39" i="8"/>
  <c r="O38" i="8"/>
  <c r="O37" i="8"/>
  <c r="O36" i="8"/>
  <c r="O35" i="8"/>
  <c r="O34" i="8"/>
  <c r="O33" i="8"/>
  <c r="O32" i="8"/>
  <c r="O31" i="8"/>
  <c r="N51" i="8"/>
  <c r="N50" i="8"/>
  <c r="N49" i="8"/>
  <c r="N48" i="8"/>
  <c r="N47" i="8"/>
  <c r="N46" i="8"/>
  <c r="N45" i="8"/>
  <c r="N44" i="8"/>
  <c r="N43" i="8"/>
  <c r="N42" i="8"/>
  <c r="N41" i="8"/>
  <c r="N40" i="8"/>
  <c r="N39" i="8"/>
  <c r="N38" i="8"/>
  <c r="N37" i="8"/>
  <c r="N36" i="8"/>
  <c r="N35" i="8"/>
  <c r="N34" i="8"/>
  <c r="N33" i="8"/>
  <c r="N32" i="8"/>
  <c r="N31" i="8"/>
  <c r="M51" i="8"/>
  <c r="M50" i="8"/>
  <c r="M49" i="8"/>
  <c r="M48" i="8"/>
  <c r="M47" i="8"/>
  <c r="M46" i="8"/>
  <c r="M45" i="8"/>
  <c r="M44" i="8"/>
  <c r="M43" i="8"/>
  <c r="M42" i="8"/>
  <c r="M41" i="8"/>
  <c r="M40" i="8"/>
  <c r="M39" i="8"/>
  <c r="M38" i="8"/>
  <c r="M37" i="8"/>
  <c r="M36" i="8"/>
  <c r="M35" i="8"/>
  <c r="M34" i="8"/>
  <c r="M33" i="8"/>
  <c r="M32" i="8"/>
  <c r="M31" i="8"/>
  <c r="L51" i="8"/>
  <c r="L50" i="8"/>
  <c r="L49" i="8"/>
  <c r="L48" i="8"/>
  <c r="L47" i="8"/>
  <c r="L46" i="8"/>
  <c r="L45" i="8"/>
  <c r="L44" i="8"/>
  <c r="L43" i="8"/>
  <c r="L42" i="8"/>
  <c r="L41" i="8"/>
  <c r="L40" i="8"/>
  <c r="L39" i="8"/>
  <c r="L38" i="8"/>
  <c r="L37" i="8"/>
  <c r="L36" i="8"/>
  <c r="L35" i="8"/>
  <c r="L34" i="8"/>
  <c r="L33" i="8"/>
  <c r="L32" i="8"/>
  <c r="L31" i="8"/>
  <c r="K51" i="8"/>
  <c r="K50" i="8"/>
  <c r="K49" i="8"/>
  <c r="K48" i="8"/>
  <c r="K47" i="8"/>
  <c r="K46" i="8"/>
  <c r="K45" i="8"/>
  <c r="K44" i="8"/>
  <c r="K43" i="8"/>
  <c r="K42" i="8"/>
  <c r="K41" i="8"/>
  <c r="K40" i="8"/>
  <c r="K39" i="8"/>
  <c r="K38" i="8"/>
  <c r="K37" i="8"/>
  <c r="K36" i="8"/>
  <c r="K35" i="8"/>
  <c r="K34" i="8"/>
  <c r="K33" i="8"/>
  <c r="K32" i="8"/>
  <c r="K31" i="8"/>
  <c r="J51" i="8"/>
  <c r="J50" i="8"/>
  <c r="J49" i="8"/>
  <c r="J48" i="8"/>
  <c r="J47" i="8"/>
  <c r="J46" i="8"/>
  <c r="J45" i="8"/>
  <c r="J44" i="8"/>
  <c r="J43" i="8"/>
  <c r="J42" i="8"/>
  <c r="J41" i="8"/>
  <c r="J40" i="8"/>
  <c r="J39" i="8"/>
  <c r="J38" i="8"/>
  <c r="J37" i="8"/>
  <c r="J36" i="8"/>
  <c r="J35" i="8"/>
  <c r="J34" i="8"/>
  <c r="J33" i="8"/>
  <c r="J32" i="8"/>
  <c r="J31" i="8"/>
  <c r="I51" i="8"/>
  <c r="I50" i="8"/>
  <c r="I49" i="8"/>
  <c r="I48" i="8"/>
  <c r="I47" i="8"/>
  <c r="I46" i="8"/>
  <c r="I45" i="8"/>
  <c r="I44" i="8"/>
  <c r="I43" i="8"/>
  <c r="I42" i="8"/>
  <c r="I41" i="8"/>
  <c r="I40" i="8"/>
  <c r="I39" i="8"/>
  <c r="I38" i="8"/>
  <c r="I37" i="8"/>
  <c r="I36" i="8"/>
  <c r="I35" i="8"/>
  <c r="I34" i="8"/>
  <c r="I33" i="8"/>
  <c r="I32" i="8"/>
  <c r="I31" i="8"/>
  <c r="H51" i="8"/>
  <c r="H50" i="8"/>
  <c r="H49" i="8"/>
  <c r="H48" i="8"/>
  <c r="H47" i="8"/>
  <c r="H46" i="8"/>
  <c r="H45" i="8"/>
  <c r="H44" i="8"/>
  <c r="H43" i="8"/>
  <c r="H42" i="8"/>
  <c r="H41" i="8"/>
  <c r="H40" i="8"/>
  <c r="H39" i="8"/>
  <c r="H38" i="8"/>
  <c r="H37" i="8"/>
  <c r="H36" i="8"/>
  <c r="H35" i="8"/>
  <c r="H34" i="8"/>
  <c r="H33" i="8"/>
  <c r="H32" i="8"/>
  <c r="H31" i="8"/>
  <c r="G51" i="8"/>
  <c r="G50" i="8"/>
  <c r="G49" i="8"/>
  <c r="G48" i="8"/>
  <c r="G47" i="8"/>
  <c r="G46" i="8"/>
  <c r="G45" i="8"/>
  <c r="G44" i="8"/>
  <c r="G43" i="8"/>
  <c r="G42" i="8"/>
  <c r="G41" i="8"/>
  <c r="G40" i="8"/>
  <c r="G39" i="8"/>
  <c r="G38" i="8"/>
  <c r="G37" i="8"/>
  <c r="G36" i="8"/>
  <c r="G35" i="8"/>
  <c r="G34" i="8"/>
  <c r="G33" i="8"/>
  <c r="G32" i="8"/>
  <c r="G31" i="8"/>
  <c r="F51" i="8"/>
  <c r="F50" i="8"/>
  <c r="F49" i="8"/>
  <c r="F48" i="8"/>
  <c r="F47" i="8"/>
  <c r="F46" i="8"/>
  <c r="F45" i="8"/>
  <c r="F44" i="8"/>
  <c r="F43" i="8"/>
  <c r="F42" i="8"/>
  <c r="F41" i="8"/>
  <c r="F40" i="8"/>
  <c r="F39" i="8"/>
  <c r="F38" i="8"/>
  <c r="F37" i="8"/>
  <c r="F36" i="8"/>
  <c r="F35" i="8"/>
  <c r="F34" i="8"/>
  <c r="F33" i="8"/>
  <c r="F32" i="8"/>
  <c r="F31" i="8"/>
  <c r="E51" i="8"/>
  <c r="E50" i="8"/>
  <c r="E49" i="8"/>
  <c r="E48" i="8"/>
  <c r="E47" i="8"/>
  <c r="E46" i="8"/>
  <c r="E45" i="8"/>
  <c r="E44" i="8"/>
  <c r="E43" i="8"/>
  <c r="E42" i="8"/>
  <c r="E41" i="8"/>
  <c r="E40" i="8"/>
  <c r="E39" i="8"/>
  <c r="E38" i="8"/>
  <c r="E37" i="8"/>
  <c r="E36" i="8"/>
  <c r="E35" i="8"/>
  <c r="E34" i="8"/>
  <c r="E33" i="8"/>
  <c r="E32" i="8"/>
  <c r="E31" i="8"/>
  <c r="D51" i="8"/>
  <c r="D50" i="8"/>
  <c r="D49" i="8"/>
  <c r="D48" i="8"/>
  <c r="D47" i="8"/>
  <c r="D46" i="8"/>
  <c r="D45" i="8"/>
  <c r="D44" i="8"/>
  <c r="D43" i="8"/>
  <c r="D42" i="8"/>
  <c r="D41" i="8"/>
  <c r="D40" i="8"/>
  <c r="D39" i="8"/>
  <c r="D38" i="8"/>
  <c r="D37" i="8"/>
  <c r="D36" i="8"/>
  <c r="D35" i="8"/>
  <c r="D34" i="8"/>
  <c r="D33" i="8"/>
  <c r="D32" i="8"/>
  <c r="D31" i="8"/>
  <c r="Q8" i="9" l="1"/>
  <c r="Q10" i="9" s="1"/>
  <c r="Q12" i="9" s="1"/>
  <c r="Q14" i="9" s="1"/>
  <c r="R8" i="9"/>
  <c r="R10" i="9" s="1"/>
  <c r="R12" i="9" s="1"/>
  <c r="R14" i="9" s="1"/>
  <c r="Q15" i="9" l="1"/>
  <c r="Q17" i="9" s="1"/>
</calcChain>
</file>

<file path=xl/sharedStrings.xml><?xml version="1.0" encoding="utf-8"?>
<sst xmlns="http://schemas.openxmlformats.org/spreadsheetml/2006/main" count="599" uniqueCount="148">
  <si>
    <t>The Travelers Companies, Inc. (NYSE:TRV)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</si>
  <si>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</si>
  <si>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</si>
  <si>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</si>
  <si>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</si>
  <si>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</si>
  <si>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</si>
  <si>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</si>
  <si>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</si>
  <si>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</si>
  <si>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</si>
  <si>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</si>
  <si>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</si>
  <si>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</si>
  <si>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</si>
  <si>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</si>
  <si>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</si>
  <si>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</si>
  <si>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</si>
  <si>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</si>
  <si>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</si>
  <si>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</si>
  <si>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</si>
  <si>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</si>
  <si>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</si>
  <si>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The Allstate Corporation (NYSE:ALL)</t>
  </si>
  <si>
    <t>-</t>
  </si>
  <si>
    <t>The Progressive Corporation (NYSE:PGR)</t>
  </si>
  <si>
    <t>Chubb Limited (NYSE:CB)</t>
  </si>
  <si>
    <t>American International Group, Inc. (NYSE:AIG)</t>
  </si>
  <si>
    <t>The Hartford Financial Services Group, Inc. (NYSE:HIG)</t>
  </si>
  <si>
    <t>W. R. Berkley Corporation (NYSE:WRB)</t>
  </si>
  <si>
    <t>Sompo Holdings, Inc. (TSE:8630)</t>
  </si>
  <si>
    <t>MS&amp;AD Insurance Group Holdings, Inc. (TSE:8725)</t>
  </si>
  <si>
    <t>Marsh &amp; McLennan Companies, Inc. (NYSE:MMC)</t>
  </si>
  <si>
    <t>Prudential Financial, Inc. (NYSE:PRU)</t>
  </si>
  <si>
    <t>The Travelers Companies, Inc. (NYSE:TRV)</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</si>
  <si>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</si>
  <si>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</si>
  <si>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</si>
  <si>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</si>
  <si>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</si>
  <si>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</si>
  <si>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</si>
  <si>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</si>
  <si>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</si>
  <si>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The Travelers Companies, Inc. (NYSE:TRV)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</si>
  <si>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</si>
  <si>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</si>
  <si>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</si>
  <si>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</si>
  <si>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</si>
  <si>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</si>
  <si>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</si>
  <si>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</si>
  <si>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</si>
  <si>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</si>
  <si>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</si>
  <si>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The Travelers Companies, Inc. (NYSE:TRV)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</si>
  <si>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</si>
  <si>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</si>
  <si>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</si>
  <si>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</si>
  <si>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</si>
  <si>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</si>
  <si>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</si>
  <si>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</si>
  <si>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</si>
  <si>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</si>
  <si>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</si>
  <si>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</si>
  <si>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</si>
  <si>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</si>
  <si>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</si>
  <si>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</si>
  <si>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The Travelers Companies, Inc. (NYSE:TRV) &gt;  Quick Comparable Analysis &gt; Business Description</t>
  </si>
  <si>
    <t>Template:</t>
  </si>
  <si>
    <t>Currency:</t>
  </si>
  <si>
    <t>As-Of Date:</t>
  </si>
  <si>
    <t>Business Description</t>
  </si>
  <si>
    <t>Headquarters</t>
  </si>
  <si>
    <t>The Allstate Corporation, together with its subsidiaries, provides property and casualty, and other insurance products in the United States and Canada. The company operates through Allstate Protection; Protection Services; Allstate Health and Benefits; and Run-off Property-Liability segments. The Allstate Protection segment offers private passenger auto and homeowners insurance; other personal lines products; and commercial lines products under the Allstate and Encompass brand names. The Protection Services segment provides consumer product protection plans and related technical support for mobile phones, consumer electronics, furniture, and appliances; finance and insurance products, including vehicle service contracts, guaranteed asset protection waivers, road hazard tire and wheel, and paint and fabric protection; towing, jump-start, lockout, fuel delivery, and tire change services; device and mobile data collection services; data and analytic solutions using automotive telematics information; and identity protection services. This segment offers its products under various brands, including Allstate Protection Plans, Allstate Dealer Services, Allstate Roadside, Arity, Avail, and Allstate Identity Protection. The Allstate Health and Benefits segment provides life, accident, critical illness, short-term disability, and other health insurance products; stop-loss and fully insured group health products to employers; and short-term medical and medicare supplement insurance to individuals. The Run-off Property-Liability segment offers property and casualty insurance. It sells its products through agents, independent agents, call centers, retailers, voluntary benefits brokers, strategic partners, financial specialists, wholesale partners, and affinity groups, as well as through online and mobile applications. The company was founded in 1931 and is headquartered in Northbrook, Illinois.</t>
  </si>
  <si>
    <t>3100 Sanders Road, Northbrook, Illinois, 60062, United States</t>
  </si>
  <si>
    <t>The Progressive Corporation, an insurance holding company, provides personal and commercial auto, personal residential and commercial property, general liability, and other specialty property-casualty insurance products and related services in the United States. It operates in three segments: Personal Lines, Commercial Lines, and Property. The Personal Lines segment writes insurance for personal autos and recreational vehicles (RV). This segment’s products include personal auto insurance; and special lines products, including insurance for motorcycles, ATVs, RVs, watercrafts, snowmobiles, and related products. The Commercial Lines segment provides auto-related liability and physical damage insurance, and business-related general liability and property insurance for autos, vans, pick-up trucks, and dump trucks used by small businesses; tractors, trailers, and straight trucks primarily used by regional general freight and expeditor-type businesses, and long-haul operators; dump trucks, log trucks, and garbage trucks used by dirt, sand and gravel, logging, garbage/debris removal, and coal-type businesses; and tow trucks and wreckers used in towing services and gas/service station businesses; as well as non-fleet and airport taxis, and black-car services. The Property segment writes residential property insurance for homeowners, other property owners, and renters, as well as offers manufactured homes, personal umbrella insurance, and primary and excess flood insurance. The company offers policy issuance and claims adjusting services; and acts as an agent to homeowners, general liability, workers’ compensation insurance, and other products. It also provides reinsurance services. The company sells its products through independent insurance agencies, as well as through mobile applications and over the phone. The Progressive Corporation was founded in 1937 and is headquartered in Mayfield Village, Ohio.</t>
  </si>
  <si>
    <t>6300 Wilson Mills Road, Mayfield, Ohio, 44143, United States</t>
  </si>
  <si>
    <t>Chubb Limited provides insurance and reinsurance products worldwide. The company’s North America Commercial P&amp;C Insurance segment offers commercial property, casualty, workers’ compensation, package policies, risk management, financial lines, marine, construction, environmental, medical, cyber risk, surety, and excess casualty; and group accident and health insurance to large, middle market, and small commercial businesses. Its North America Personal P&amp;C Insurance segment provides affluent and high net worth individuals and families with homeowners, automobile and collector cars, valuable articles, personal and excess liability, travel insurance, and recreational marine insurance and services. The company’s North America Agricultural Insurance segment offers multiple peril crop and crop-hail insurance; and coverage for farm and ranch property, and commercial agriculture products. Its Overseas General Insurance segment provides coverage for traditional commercial property and casualty; specialty categories, such as financial lines, marine, energy, aviation, political risk, and construction risk; and group accident and health, and traditional and specialty personal lines for corporations, middle markets, and small customers through retail brokers, agents, and other channels. The company’s Global Reinsurance segment offers traditional and specialty reinsurance under the Chubb Tempest Re brand to property and casualty companies. Its Life Insurance segment provides protection and savings products comprising whole life, endowment plans, individual term life, group term life, medical and health, personal accident, credit life, universal life, and unit linked contracts. It markets its products primarily through insurance and reinsurance brokers. The company was formerly known as ACE Limited and changed its name to Chubb Limited in January 2016. Chubb Limited was incorporated in 1985 and is headquartered in Zurich, Switzerland.</t>
  </si>
  <si>
    <t>Baerengasse 32, Zurich, Zurich, 8001, Switzerland</t>
  </si>
  <si>
    <t>American International Group, Inc. offers insurance products for commercial, institutional, and individual customers in North America and internationally. It operates through General Insurance, and Life and Retirement segments. The General Insurance segment provides commercial and industrial property insurance, including business interruption and package insurance that cover exposure to made and natural disasters; general liability, environmental, commercial automobile liability, workers’ compensation, excess casualty, and crisis management insurance products; and professional liability insurance. This segment also offers marine, energy-related property insurance, aviation, political risk, trade credit, trade finance, and portfolio solutions, as well as operates reinsurance business; voluntary and sponsor-paid personal accident, and supplemental health products; and personal auto and personal property insurance. The Life and Retirement segment offers individual retirement products, including variable, fixed index, and fixed annuities, as well as retail mutual funds; group retirement products comprising record-keeping, plan administrative and compliance services, financial planning, and advisory solutions; life insurance, including term and universal life insurance; and institutional markets products, which includes wrap products, structured settlement, pension risk transfer annuities, corporate and bank-owned life insurance, high net worth, and guaranteed investment contract products. The company distributes its products through a network of brokers, agents, advisors, banks, and other distributors. American International Group, Inc. was founded in 1919 and is headquartered in New York, New York.</t>
  </si>
  <si>
    <t>1271 Avenue of the Americas, New York, New York, 10020, United States</t>
  </si>
  <si>
    <t>The Hartford Financial Services Group, Inc. provides insurance and financial services to individual and business customers in the United States, the United Kingdom, and internationally. Its Commercial Lines segment offers insurance coverages, including workers’ compensation, property, automobile, general and professional liability, package business, umbrella, fidelity and surety, marine, livestock, and reinsurance through regional offices, branches, sales and policyholder service centers, independent retail agents and brokers, wholesale agents, and reinsurance brokers. The company's Personal Lines segment provides automobile, homeowners, and personal umbrella coverages through direct-to-consumer channel and independent agents. Its Property &amp; Casualty Other Operations segment offers coverage for asbestos and environmental exposures. The company's Group Benefits segment provides group life, disability, and other group coverages to members of employer groups, associations, and affinity groups through direct insurance policies; reinsurance to other insurance companies; employer paid and voluntary product coverages; disability underwriting, administration, and claims processing to self-funded employer plans; and a single-company leave management solution. This segment distributes its group insurance products and services through brokers, consultants, third-party administrators, trade associations, and private exchanges. Its Hartford Funds segment offers managed mutual funds across various asset classes; and exchange-traded products through broker-dealer organizations, independent financial advisers, defined contribution plans, financial consultants, bank trust groups, and registered investment advisers, as well as investment management, distribution, and administrative services, such as product design, implementation, and oversight. The company was founded in 1810 and is headquartered in Hartford, Connecticut.</t>
  </si>
  <si>
    <t>One Hartford Plaza, Hartford, Connecticut, 06155, United States</t>
  </si>
  <si>
    <t>W. R. Berkley Corporation, an insurance holding company, operates as a commercial lines writer in the United States and internationally. It operates in two segments, Insurance and Reinsurance &amp; Monoline Excess. The Insurance segment underwrites commercial insurance business, including premises operations, commercial automobile, property, products liability, and general and professional liability lines. It also provides workers’ compensation insurance products; accident and health insurance and reinsurance products; insurance for commercial risks; casualty and specialty environmental products for contractors, consultants, and property owners and facilities operators; specialized insurance coverages for fine arts and jewelry exposures; umbrella and excess liability coverage products; and liquor liability and inland marine coverage for small to medium-sized insureds. In addition, this segment offers directors and officers, commercial general liability, umbrella, professional liability, directors and officers, commercial property, and surety products, as well as products for technology, and life sciences and travel industries; cyber risk solutions; casualty, group life, and crime and fidelity related insurance products; personal lines insurance solutions, including home, condo/co-op, auto, and collectibles; automobile, law enforcement, public officials and educator's legal, and employment practices liability, as well as incidental medical insurance products; and at-risk and alternative risk insurance program management services. The Reinsurance &amp; Monoline Excess segment provides other insurance companies and self-insureds with assistance in managing their net risk through reinsurance on a portfolio basis through treaty reinsurance or on an individual basis through facultative reinsurance. W. R. Berkley Corporation was founded in 1967 and is based in Greenwich, Connecticut.</t>
  </si>
  <si>
    <t>475 Steamboat Road, Greenwich, Connecticut, 06830, United States</t>
  </si>
  <si>
    <t>Sompo Holdings, Inc. provides property and casualty (P&amp;C) insurance services in Japan and internationally. The company operates through Domestic P&amp;C Insurance Business, Overseas Insurance Business, Domestic Life Insurance Business, and Nursing Care &amp; Seniors Business segments. It offers various P&amp;C insurance products, including automobile, fire, personal accident, and marine, as well as security, risk management, assistance, and warranty services; and life insurance products. The company also provides nursing care and seniors services; and customer security, health, and wellbeing support services. In addition, it offers asset management services; home remodeling services; and health support services comprising health guidance and employee assistance programs. The company was formerly known as Sompo Japan Nipponkoa Holdings, Inc. and changed its name to Sompo Holdings, Inc. in October 2016. Sompo Holdings, Inc. was incorporated in 2010 and is headquartered in Tokyo, Japan.</t>
  </si>
  <si>
    <t>26-1, Nishi-Shinjuku 1-chome, Shinjuku-ku, Tokyo  160-8338, Japan</t>
  </si>
  <si>
    <t>MS&amp;AD Insurance Group Holdings, Inc., an insurance holding company, provides insurance and financial services worldwide. The company offers fire and allied, marine, personal accident, voluntary automobile, compulsory automobile liability, and others non-life insurance products; life insurance products; and reinsurance services. It also provides risk-related services. The company was formerly known as Mitsui Sumitomo Insurance Group Holdings, Inc. and changed its name to MS&amp;AD Insurance Group Holdings, Inc. in April 2010. MS&amp;AD Insurance Group Holdings, Inc. was founded in 1918 and is headquartered in Tokyo, Japan.</t>
  </si>
  <si>
    <t>West Tower, Tokyo Sumitomo Twin Building, 27-2, Shinkawa 2-chome, Chuo-ku, Tokyo  104-0033, Japan</t>
  </si>
  <si>
    <t>Marsh &amp; McLennan Companies, Inc., a professional services company, provides advice and solutions to clients in the areas of risk, strategy, and people worldwide. It operates in two segments, Risk and Insurance Services, and Consulting. The Risk and Insurance Services segment offers risk management services, such as risk advice, risk transfer, and risk control and mitigation solutions, as well as insurance and reinsurance broking, strategic advisory services, and analytics solutions; and insurance program management services. This segment serves businesses, public entities, insurance companies, associations, professional services organizations, and private clients. The Consulting segment provides health, wealth, and career consulting services and products; and specialized management, strategic, economic, and brand consulting services. Marsh &amp; McLennan Companies, Inc. was founded in 1871 and is headquartered in New York, New York.</t>
  </si>
  <si>
    <t>1166 Avenue of the Americas, New York, New York, 10036-2774, United States</t>
  </si>
  <si>
    <t>Prudential Financial, Inc., together with its subsidiaries, provides insurance, investment management, and other financial products and services in the United States and internationally. It operates through PGIM, Retirement Strategies, Group Insurance, Individual Annuities, Individual Life, Assurance IQ, and International Businesses segments. The company offers investment management services and solutions related to public fixed income, public equity, real estate debt and equity, private credit and other alternatives, and multi-asset class strategies to institutional and retail clients, as well as its general account. It also provides a range of retirement investment, and income products and services to retirement plan sponsors in the public, private, and not-for-profit sectors; and group life, long-term and short-term group disability, and group corporate-, bank-, and trust-owned life insurance in the United States, primarily to institutional clients for use in connection with employee and membership benefits plans, as well as sells accidental death and dismemberment, and other supplemental health solutions; and provides plan administration services in connection with its insurance coverages. In addition, the company develops and distributes individual variable and fixed annuity products, principally to the mass affluent and affluent markets; and individual variable, term, and universal life insurance products to the mass middle, mass affluent, and affluent markets in the United States. Further, it provides third-party life, health, Medicare, property and casualty, and term life products to retail shoppers through its digital and agent channels. The company offers its products and services to individual and institutional customers through its proprietary and third-party distribution networks. Prudential Financial, Inc. was founded in 1875 and is headquartered in Newark, New Jersey.</t>
  </si>
  <si>
    <t>751 Broad Street, Newark, New Jersey, 07102, United States</t>
  </si>
  <si>
    <t>The Travelers Companies, Inc., through its subsidiaries, provides a range of commercial and personal property, and casualty insurance products and services to businesses, government units, associations, and individuals in the United States and internationally. It operates through three segments: Business Insurance, Bond &amp; Specialty Insurance, and Personal Insurance. The Business Insurance segment offers workers' compensation, commercial automobile and property, general liability, commercial multi-peril, employers' liability, public and product liability, professional indemnity, marine, aviation, onshore and offshore energy, construction, terrorism, personal accident, and kidnap and ransom insurance products. This segment operates through select accounts, which serve small businesses; commercial accounts that serve mid-sized businesses; national accounts, which serve large companies; and national property and other that serve large and mid-sized customers, commercial trucking industry, and agricultural businesses, as well as markets and distributes its products through brokers, wholesale agents, and program managers. The Bond &amp; Specialty Insurance segment provides surety, fidelity, management and professional liability, and other property and casualty coverages and related risk management services through independent agencies and brokers. The Personal Insurance segment offers property and casualty insurance covering personal risks, primarily automobile and homeowners’ insurance to individuals through independent agencies and brokers. The Travelers Companies, Inc. was founded in 1853 and is based in New York, New York.</t>
  </si>
  <si>
    <t>485 Lexington Avenue, New York, New York, 10017, United States</t>
  </si>
  <si>
    <t>The Travelers Companies, Inc. (NYSE:TRV)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</si>
  <si>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</si>
  <si>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</si>
  <si>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</si>
  <si>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</si>
  <si>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</si>
  <si>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</si>
  <si>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</si>
  <si>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</si>
  <si>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</si>
  <si>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</si>
  <si>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</si>
  <si>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</si>
  <si>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</si>
  <si>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</si>
  <si>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</si>
  <si>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</si>
  <si>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</si>
  <si>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</si>
  <si>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</si>
  <si>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</si>
  <si>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</si>
  <si>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The Travelers Companies, Inc. (NYSE:TRV) &gt;  Quick Comparable Analysis &gt; Valuation Chart</t>
  </si>
  <si>
    <t>Template:</t>
  </si>
  <si>
    <t>Currency:</t>
  </si>
  <si>
    <t>As-Of Date:</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</si>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</sst>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s>
  <fonts count="21"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i/>
      <sz val="18"/>
      <color rgb="FF0000FF"/>
      <name val="Arial"/>
    </font>
    <font>
      <sz val="10"/>
      <name val="Arial"/>
    </font>
    <font>
      <sz val="8"/>
      <color rgb="FFFF0000"/>
      <name val="Arial"/>
    </font>
    <font>
      <sz val="10"/>
      <color rgb="FFFF0000"/>
      <name val="Arial"/>
    </font>
  </fonts>
  <fills count="6">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8" fillId="0" borderId="0" applyFont="0" applyFill="0" applyBorder="0" applyAlignment="0" applyProtection="0"/>
    <xf numFmtId="44" fontId="18" fillId="0" borderId="0" applyFont="0" applyFill="0" applyBorder="0" applyAlignment="0" applyProtection="0"/>
    <xf numFmtId="9" fontId="18"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17">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3" fillId="0" borderId="0" xfId="16" applyFont="1" applyAlignment="1"/>
    <xf numFmtId="0" fontId="17" fillId="0" borderId="0" xfId="0" applyNumberFormat="1" applyFont="1" applyFill="1" applyBorder="1" applyAlignment="1" applyProtection="1"/>
    <xf numFmtId="0" fontId="1" fillId="0" borderId="0" xfId="0" applyFont="1" applyFill="1" applyBorder="1" applyAlignment="1"/>
    <xf numFmtId="9" fontId="1" fillId="0" borderId="3" xfId="0" applyNumberFormat="1" applyFont="1" applyFill="1" applyBorder="1" applyAlignment="1"/>
    <xf numFmtId="9" fontId="1" fillId="0" borderId="4" xfId="0" applyNumberFormat="1" applyFont="1" applyFill="1" applyBorder="1" applyAlignment="1"/>
    <xf numFmtId="9" fontId="1" fillId="0" borderId="7" xfId="0" applyNumberFormat="1" applyFont="1" applyFill="1" applyBorder="1" applyAlignment="1"/>
    <xf numFmtId="9" fontId="1" fillId="0" borderId="13" xfId="0" applyNumberFormat="1" applyFont="1" applyFill="1" applyBorder="1" applyAlignment="1"/>
    <xf numFmtId="9" fontId="1" fillId="0" borderId="14" xfId="0" applyNumberFormat="1" applyFont="1" applyFill="1" applyBorder="1" applyAlignment="1"/>
    <xf numFmtId="9" fontId="19" fillId="0" borderId="14" xfId="0" applyNumberFormat="1" applyFont="1" applyFill="1" applyBorder="1" applyAlignment="1"/>
    <xf numFmtId="9" fontId="1" fillId="0" borderId="16" xfId="0" applyNumberFormat="1" applyFont="1" applyFill="1" applyBorder="1" applyAlignment="1"/>
    <xf numFmtId="0" fontId="1" fillId="0" borderId="17" xfId="0" applyFont="1" applyFill="1" applyBorder="1" applyAlignment="1"/>
    <xf numFmtId="0" fontId="1" fillId="0" borderId="9" xfId="0" applyFont="1" applyFill="1" applyBorder="1" applyAlignment="1"/>
    <xf numFmtId="169" fontId="1" fillId="0" borderId="1" xfId="0" applyNumberFormat="1" applyFont="1" applyFill="1" applyBorder="1" applyAlignment="1">
      <alignment horizontal="right" vertical="top" wrapText="1"/>
    </xf>
    <xf numFmtId="170" fontId="1" fillId="0" borderId="1" xfId="0" applyNumberFormat="1" applyFont="1" applyFill="1" applyBorder="1" applyAlignment="1">
      <alignment horizontal="right" vertical="top" wrapText="1"/>
    </xf>
    <xf numFmtId="0" fontId="1" fillId="0" borderId="1" xfId="0" applyNumberFormat="1" applyFont="1" applyFill="1" applyBorder="1" applyAlignment="1">
      <alignment horizontal="right" vertical="top" wrapText="1"/>
    </xf>
    <xf numFmtId="167" fontId="1" fillId="0" borderId="1" xfId="0" applyNumberFormat="1" applyFont="1" applyFill="1" applyBorder="1" applyAlignment="1">
      <alignment horizontal="right" vertical="top" wrapText="1"/>
    </xf>
    <xf numFmtId="0" fontId="16" fillId="0" borderId="4" xfId="0" applyFont="1" applyFill="1" applyBorder="1" applyAlignment="1">
      <alignment horizontal="left" vertical="top" wrapText="1"/>
    </xf>
    <xf numFmtId="169" fontId="1" fillId="0" borderId="8" xfId="0" applyNumberFormat="1" applyFont="1" applyFill="1" applyBorder="1" applyAlignment="1">
      <alignment horizontal="right" vertical="top" wrapText="1"/>
    </xf>
    <xf numFmtId="170" fontId="1" fillId="0" borderId="8" xfId="0" applyNumberFormat="1" applyFont="1" applyFill="1" applyBorder="1" applyAlignment="1">
      <alignment horizontal="right" vertical="top" wrapText="1"/>
    </xf>
    <xf numFmtId="167" fontId="1" fillId="0" borderId="8"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0" fontId="16" fillId="0" borderId="18" xfId="0" applyFont="1" applyFill="1" applyBorder="1" applyAlignment="1">
      <alignment horizontal="lef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right" vertical="top" wrapText="1"/>
    </xf>
    <xf numFmtId="0" fontId="16" fillId="0" borderId="15" xfId="0" applyFont="1" applyFill="1" applyBorder="1" applyAlignment="1">
      <alignment horizontal="right" vertical="top" wrapText="1"/>
    </xf>
    <xf numFmtId="169" fontId="1" fillId="0" borderId="3" xfId="0" applyNumberFormat="1" applyFont="1" applyFill="1" applyBorder="1" applyAlignment="1">
      <alignment horizontal="right" vertical="top" wrapText="1"/>
    </xf>
    <xf numFmtId="169" fontId="1" fillId="0" borderId="7" xfId="0" applyNumberFormat="1"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70" fontId="1" fillId="0" borderId="5" xfId="0" applyNumberFormat="1" applyFont="1" applyFill="1" applyBorder="1" applyAlignment="1">
      <alignment horizontal="right" vertical="top" wrapText="1"/>
    </xf>
    <xf numFmtId="0" fontId="1" fillId="0" borderId="5" xfId="0" applyNumberFormat="1" applyFont="1" applyFill="1" applyBorder="1" applyAlignment="1">
      <alignment horizontal="right" vertical="top" wrapText="1"/>
    </xf>
    <xf numFmtId="165" fontId="1" fillId="0" borderId="10" xfId="0" applyNumberFormat="1" applyFont="1" applyFill="1" applyBorder="1" applyAlignment="1">
      <alignment horizontal="right" vertical="top" wrapText="1"/>
    </xf>
    <xf numFmtId="9" fontId="1" fillId="0" borderId="5" xfId="3" applyFont="1" applyFill="1" applyBorder="1" applyAlignment="1"/>
    <xf numFmtId="9" fontId="1" fillId="0" borderId="1" xfId="3" applyFont="1" applyFill="1" applyBorder="1" applyAlignment="1"/>
    <xf numFmtId="9" fontId="1" fillId="0" borderId="8" xfId="3" applyFont="1" applyFill="1" applyBorder="1" applyAlignment="1"/>
    <xf numFmtId="168" fontId="1" fillId="0" borderId="5" xfId="3" applyNumberFormat="1" applyFont="1" applyFill="1" applyBorder="1" applyAlignment="1"/>
    <xf numFmtId="168" fontId="1" fillId="0" borderId="1" xfId="3" applyNumberFormat="1" applyFont="1" applyFill="1" applyBorder="1" applyAlignment="1"/>
    <xf numFmtId="168" fontId="1" fillId="0" borderId="8" xfId="3" applyNumberFormat="1" applyFont="1" applyFill="1" applyBorder="1" applyAlignment="1"/>
    <xf numFmtId="43" fontId="1" fillId="0" borderId="10" xfId="1" applyFont="1" applyFill="1" applyBorder="1" applyAlignment="1"/>
    <xf numFmtId="43" fontId="1" fillId="0" borderId="11" xfId="1" applyFont="1" applyFill="1" applyBorder="1" applyAlignment="1"/>
    <xf numFmtId="43" fontId="1" fillId="0" borderId="12" xfId="1" applyFont="1" applyFill="1" applyBorder="1" applyAlignment="1"/>
    <xf numFmtId="0" fontId="0" fillId="0" borderId="0" xfId="0"/>
    <xf numFmtId="0" fontId="0" fillId="0" borderId="3" xfId="0" applyBorder="1"/>
    <xf numFmtId="0" fontId="0" fillId="0" borderId="4" xfId="0" applyBorder="1"/>
    <xf numFmtId="0" fontId="0" fillId="0" borderId="5" xfId="0" applyBorder="1"/>
    <xf numFmtId="0" fontId="0" fillId="0" borderId="7" xfId="0" applyBorder="1"/>
    <xf numFmtId="0" fontId="0" fillId="0" borderId="10" xfId="0" applyBorder="1"/>
    <xf numFmtId="0" fontId="0" fillId="0" borderId="4" xfId="0" applyBorder="1" applyAlignment="1">
      <alignment wrapText="1"/>
    </xf>
    <xf numFmtId="0" fontId="0" fillId="0" borderId="5" xfId="0" applyBorder="1" applyAlignment="1">
      <alignment wrapText="1"/>
    </xf>
    <xf numFmtId="0" fontId="0" fillId="0" borderId="10" xfId="0" applyBorder="1" applyAlignment="1">
      <alignment wrapText="1"/>
    </xf>
    <xf numFmtId="0" fontId="0" fillId="0" borderId="3" xfId="0" applyBorder="1" applyAlignment="1">
      <alignment wrapText="1"/>
    </xf>
    <xf numFmtId="0" fontId="0" fillId="0" borderId="7" xfId="0" applyBorder="1" applyAlignment="1">
      <alignment wrapText="1"/>
    </xf>
    <xf numFmtId="168" fontId="0" fillId="0" borderId="5" xfId="0" applyNumberFormat="1" applyBorder="1"/>
    <xf numFmtId="168" fontId="0" fillId="0" borderId="10"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168" fontId="0" fillId="0" borderId="12" xfId="0" applyNumberFormat="1" applyBorder="1"/>
    <xf numFmtId="0" fontId="0" fillId="0" borderId="6" xfId="0" applyBorder="1"/>
    <xf numFmtId="0" fontId="0" fillId="0" borderId="21" xfId="0" applyBorder="1"/>
    <xf numFmtId="0" fontId="0" fillId="0" borderId="0" xfId="0" applyBorder="1" applyAlignment="1">
      <alignment wrapText="1"/>
    </xf>
    <xf numFmtId="9" fontId="20" fillId="0" borderId="0" xfId="3" applyFont="1"/>
    <xf numFmtId="44" fontId="0" fillId="0" borderId="1" xfId="2" applyFont="1" applyBorder="1" applyAlignment="1">
      <alignment wrapText="1"/>
    </xf>
    <xf numFmtId="44" fontId="0" fillId="0" borderId="8" xfId="2" applyFont="1" applyBorder="1" applyAlignment="1">
      <alignment wrapText="1"/>
    </xf>
    <xf numFmtId="43" fontId="0" fillId="0" borderId="1" xfId="1" applyFont="1" applyBorder="1" applyAlignment="1">
      <alignment wrapText="1"/>
    </xf>
    <xf numFmtId="43" fontId="0" fillId="0" borderId="8" xfId="1" applyFont="1" applyBorder="1" applyAlignment="1">
      <alignment wrapText="1"/>
    </xf>
    <xf numFmtId="168" fontId="0" fillId="0" borderId="1" xfId="2" applyNumberFormat="1" applyFont="1" applyBorder="1" applyAlignment="1">
      <alignment wrapText="1"/>
    </xf>
    <xf numFmtId="168" fontId="0" fillId="0" borderId="11" xfId="2" applyNumberFormat="1" applyFont="1" applyBorder="1" applyAlignment="1">
      <alignment wrapText="1"/>
    </xf>
    <xf numFmtId="168" fontId="0" fillId="0" borderId="8" xfId="2" applyNumberFormat="1" applyFont="1" applyBorder="1" applyAlignment="1">
      <alignment wrapText="1"/>
    </xf>
    <xf numFmtId="168" fontId="0" fillId="0" borderId="12" xfId="2" applyNumberFormat="1" applyFont="1" applyBorder="1" applyAlignment="1">
      <alignment wrapText="1"/>
    </xf>
    <xf numFmtId="9" fontId="0" fillId="0" borderId="4" xfId="3" applyFont="1" applyBorder="1"/>
    <xf numFmtId="9" fontId="0" fillId="0" borderId="3" xfId="3" applyFont="1" applyBorder="1"/>
    <xf numFmtId="9" fontId="0" fillId="0" borderId="7" xfId="3" applyFont="1" applyBorder="1"/>
    <xf numFmtId="44" fontId="0" fillId="0" borderId="1" xfId="2" applyFont="1" applyBorder="1"/>
    <xf numFmtId="44" fontId="0" fillId="0" borderId="11" xfId="2" applyFont="1" applyBorder="1"/>
    <xf numFmtId="44" fontId="0" fillId="0" borderId="2" xfId="2" applyFont="1" applyBorder="1"/>
    <xf numFmtId="44" fontId="0" fillId="0" borderId="8" xfId="2" applyFont="1" applyBorder="1"/>
    <xf numFmtId="44" fontId="0" fillId="0" borderId="12" xfId="2" applyFont="1" applyBorder="1"/>
    <xf numFmtId="44" fontId="0" fillId="0" borderId="10" xfId="2" applyFont="1" applyBorder="1"/>
    <xf numFmtId="44" fontId="0" fillId="0" borderId="0" xfId="2" applyFont="1"/>
    <xf numFmtId="9" fontId="0" fillId="0" borderId="1" xfId="3" applyFont="1" applyBorder="1"/>
    <xf numFmtId="9" fontId="0" fillId="0" borderId="11" xfId="3" applyFont="1" applyBorder="1"/>
    <xf numFmtId="168" fontId="0" fillId="0" borderId="1" xfId="2" applyNumberFormat="1" applyFont="1" applyBorder="1"/>
    <xf numFmtId="168" fontId="0" fillId="0" borderId="11" xfId="2" applyNumberFormat="1" applyFont="1" applyBorder="1"/>
    <xf numFmtId="43" fontId="0" fillId="0" borderId="1" xfId="1" applyFont="1" applyBorder="1"/>
    <xf numFmtId="43" fontId="0" fillId="0" borderId="11" xfId="1" applyFont="1" applyBorder="1"/>
    <xf numFmtId="9" fontId="0" fillId="0" borderId="12" xfId="3" applyFont="1" applyBorder="1"/>
    <xf numFmtId="9" fontId="20" fillId="0" borderId="14"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74F0DD57-7C1D-4EB4-B774-75F7BB53677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FB781048-D2D8-4EC3-995F-AE08521C09FB}"/>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F756D41-055A-472C-9562-BEC84F1512A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9AB28200-99DA-4E43-914D-B94F1697821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3412F67-F59D-43B4-AA5E-A2609C51E44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61B42A00-E862-432B-82AA-974E713A68AB}"/>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AAAFAB2-B375-4C48-BEE3-D5470A44776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1EB59DAC-061A-4A3F-8EDF-007D3629C86A}"/>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7403A54F-6D0C-4293-A096-485176B3F66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00DEDA4F-D893-4359-BE9D-D6C3ACF9F435}"/>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BCE2E43B-52E7-47FD-8955-B393028CA0C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100D748F-E069-4F9A-ABAF-586B9760E010}"/>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3EACEF53-0304-45BA-AE17-71B1827BA76E}"/>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899B0-7E46-4D5C-9EA8-D7EC598A1B9B}">
  <sheetPr codeName="Sheet1"/>
  <dimension ref="C5:S44"/>
  <sheetViews>
    <sheetView showGridLines="0" tabSelected="1" workbookViewId="0"/>
  </sheetViews>
  <sheetFormatPr defaultRowHeight="12.5" x14ac:dyDescent="0.25"/>
  <cols>
    <col min="1" max="2" width="8.7265625" style="70"/>
    <col min="3" max="3" width="46.453125" style="70" bestFit="1" customWidth="1"/>
    <col min="4" max="4" width="19.453125" style="70" bestFit="1" customWidth="1"/>
    <col min="5" max="5" width="22.36328125" style="70" bestFit="1" customWidth="1"/>
    <col min="6" max="6" width="23.36328125" style="70" bestFit="1" customWidth="1"/>
    <col min="7" max="7" width="12.6328125" style="70" bestFit="1" customWidth="1"/>
    <col min="8" max="8" width="24.36328125" style="70" bestFit="1" customWidth="1"/>
    <col min="9" max="9" width="22.81640625" style="70" bestFit="1" customWidth="1"/>
    <col min="10" max="10" width="22.36328125" style="70" bestFit="1" customWidth="1"/>
    <col min="11" max="11" width="19.36328125" style="70" bestFit="1" customWidth="1"/>
    <col min="12" max="12" width="39" style="70" bestFit="1" customWidth="1"/>
    <col min="13" max="13" width="33.90625" style="70" bestFit="1" customWidth="1"/>
    <col min="14" max="14" width="26.1796875" style="70" bestFit="1" customWidth="1"/>
    <col min="15" max="15" width="8.7265625" style="70"/>
    <col min="16" max="16" width="28.1796875" style="70" bestFit="1" customWidth="1"/>
    <col min="17" max="17" width="11.1796875" style="70" bestFit="1" customWidth="1"/>
    <col min="18" max="18" width="10.1796875" style="70" bestFit="1" customWidth="1"/>
    <col min="19" max="19" width="11.1796875" style="70" bestFit="1" customWidth="1"/>
    <col min="20" max="16384" width="8.7265625" style="70"/>
  </cols>
  <sheetData>
    <row r="5" spans="3:19" ht="13" thickBot="1" x14ac:dyDescent="0.3"/>
    <row r="6" spans="3:19" x14ac:dyDescent="0.25">
      <c r="C6" s="76" t="s">
        <v>8</v>
      </c>
      <c r="D6" s="77" t="s">
        <v>9</v>
      </c>
      <c r="E6" s="77" t="s">
        <v>10</v>
      </c>
      <c r="F6" s="77" t="s">
        <v>11</v>
      </c>
      <c r="G6" s="77" t="s">
        <v>12</v>
      </c>
      <c r="H6" s="77" t="s">
        <v>15</v>
      </c>
      <c r="I6" s="77" t="s">
        <v>22</v>
      </c>
      <c r="J6" s="77" t="s">
        <v>23</v>
      </c>
      <c r="K6" s="77" t="s">
        <v>24</v>
      </c>
      <c r="L6" s="77" t="s">
        <v>55</v>
      </c>
      <c r="M6" s="77" t="s">
        <v>56</v>
      </c>
      <c r="N6" s="78" t="s">
        <v>57</v>
      </c>
      <c r="P6" s="72"/>
      <c r="Q6" s="73" t="s">
        <v>134</v>
      </c>
      <c r="R6" s="73" t="s">
        <v>135</v>
      </c>
      <c r="S6" s="75" t="s">
        <v>136</v>
      </c>
    </row>
    <row r="7" spans="3:19" x14ac:dyDescent="0.25">
      <c r="C7" s="79" t="s">
        <v>25</v>
      </c>
      <c r="D7" s="91">
        <v>115.76</v>
      </c>
      <c r="E7" s="93">
        <v>263.2</v>
      </c>
      <c r="F7" s="91">
        <v>30464.2</v>
      </c>
      <c r="G7" s="91">
        <v>7571</v>
      </c>
      <c r="H7" s="91">
        <v>39880.199999999997</v>
      </c>
      <c r="I7" s="91">
        <v>56496.75</v>
      </c>
      <c r="J7" s="91" t="s">
        <v>26</v>
      </c>
      <c r="K7" s="91">
        <v>4.3</v>
      </c>
      <c r="L7" s="95">
        <v>0.71</v>
      </c>
      <c r="M7" s="95" t="s">
        <v>26</v>
      </c>
      <c r="N7" s="96">
        <v>26.91</v>
      </c>
      <c r="P7" s="71" t="s">
        <v>137</v>
      </c>
      <c r="Q7" s="109">
        <v>0.33333333333333331</v>
      </c>
      <c r="R7" s="109">
        <v>0.33333333333333331</v>
      </c>
      <c r="S7" s="110">
        <v>0.33333333333333331</v>
      </c>
    </row>
    <row r="8" spans="3:19" x14ac:dyDescent="0.25">
      <c r="C8" s="79" t="s">
        <v>27</v>
      </c>
      <c r="D8" s="91">
        <v>136.4</v>
      </c>
      <c r="E8" s="93">
        <v>585.4</v>
      </c>
      <c r="F8" s="91">
        <v>79844</v>
      </c>
      <c r="G8" s="91">
        <v>6322</v>
      </c>
      <c r="H8" s="91">
        <v>86659.9</v>
      </c>
      <c r="I8" s="91">
        <v>62667.23</v>
      </c>
      <c r="J8" s="91" t="s">
        <v>26</v>
      </c>
      <c r="K8" s="91">
        <v>6.7</v>
      </c>
      <c r="L8" s="95">
        <v>1.38</v>
      </c>
      <c r="M8" s="95" t="s">
        <v>26</v>
      </c>
      <c r="N8" s="96">
        <v>20.350000000000001</v>
      </c>
      <c r="P8" s="71" t="s">
        <v>138</v>
      </c>
      <c r="Q8" s="111">
        <f>INDEX(L24:L44,MATCH($L$22,$K$24:$K$44))</f>
        <v>1.056</v>
      </c>
      <c r="R8" s="111">
        <f>INDEX(M24:M44,MATCH($L$22,$K$24:$K$44))</f>
        <v>16.34</v>
      </c>
      <c r="S8" s="112">
        <f>INDEX(N24:N44,MATCH($L$22,$K$24:$K$44))</f>
        <v>10.167999999999999</v>
      </c>
    </row>
    <row r="9" spans="3:19" x14ac:dyDescent="0.25">
      <c r="C9" s="79" t="s">
        <v>28</v>
      </c>
      <c r="D9" s="91">
        <v>201.56</v>
      </c>
      <c r="E9" s="93">
        <v>414.2</v>
      </c>
      <c r="F9" s="91">
        <v>83477.8</v>
      </c>
      <c r="G9" s="91">
        <v>-2288</v>
      </c>
      <c r="H9" s="91">
        <v>81189.8</v>
      </c>
      <c r="I9" s="91">
        <v>41992.43</v>
      </c>
      <c r="J9" s="91" t="s">
        <v>26</v>
      </c>
      <c r="K9" s="91">
        <v>18.72</v>
      </c>
      <c r="L9" s="95">
        <v>1.93</v>
      </c>
      <c r="M9" s="95" t="s">
        <v>26</v>
      </c>
      <c r="N9" s="96">
        <v>10.76</v>
      </c>
      <c r="P9" s="71" t="s">
        <v>139</v>
      </c>
      <c r="Q9" s="102">
        <v>38346.879999999997</v>
      </c>
      <c r="R9" s="102" t="s">
        <v>26</v>
      </c>
      <c r="S9" s="103">
        <v>15.26</v>
      </c>
    </row>
    <row r="10" spans="3:19" x14ac:dyDescent="0.25">
      <c r="C10" s="79" t="s">
        <v>29</v>
      </c>
      <c r="D10" s="91">
        <v>53.04</v>
      </c>
      <c r="E10" s="93">
        <v>733.7</v>
      </c>
      <c r="F10" s="91">
        <v>38913.699999999997</v>
      </c>
      <c r="G10" s="91">
        <v>26187</v>
      </c>
      <c r="H10" s="91">
        <v>67818.7</v>
      </c>
      <c r="I10" s="91">
        <v>49399.9</v>
      </c>
      <c r="J10" s="91" t="s">
        <v>26</v>
      </c>
      <c r="K10" s="91">
        <v>6.17</v>
      </c>
      <c r="L10" s="95">
        <v>1.37</v>
      </c>
      <c r="M10" s="95" t="s">
        <v>26</v>
      </c>
      <c r="N10" s="96">
        <v>8.6</v>
      </c>
      <c r="P10" s="71" t="s">
        <v>140</v>
      </c>
      <c r="Q10" s="102">
        <f>Q9*Q8</f>
        <v>40494.30528</v>
      </c>
      <c r="R10" s="102" t="e">
        <f>R9*R8</f>
        <v>#VALUE!</v>
      </c>
      <c r="S10" s="103">
        <f>S12+S11</f>
        <v>42367.810080000003</v>
      </c>
    </row>
    <row r="11" spans="3:19" x14ac:dyDescent="0.25">
      <c r="C11" s="79" t="s">
        <v>30</v>
      </c>
      <c r="D11" s="91">
        <v>70.989999999999995</v>
      </c>
      <c r="E11" s="93">
        <v>310.2</v>
      </c>
      <c r="F11" s="91">
        <v>22023.599999999999</v>
      </c>
      <c r="G11" s="91">
        <v>4206</v>
      </c>
      <c r="H11" s="91">
        <v>26563.599999999999</v>
      </c>
      <c r="I11" s="91">
        <v>23715.48</v>
      </c>
      <c r="J11" s="91" t="s">
        <v>26</v>
      </c>
      <c r="K11" s="91">
        <v>8.6999999999999993</v>
      </c>
      <c r="L11" s="95">
        <v>1.1200000000000001</v>
      </c>
      <c r="M11" s="95" t="s">
        <v>26</v>
      </c>
      <c r="N11" s="96">
        <v>8.16</v>
      </c>
      <c r="P11" s="71" t="s">
        <v>141</v>
      </c>
      <c r="Q11" s="102">
        <v>6525</v>
      </c>
      <c r="R11" s="102">
        <v>6525</v>
      </c>
      <c r="S11" s="103">
        <v>6525</v>
      </c>
    </row>
    <row r="12" spans="3:19" x14ac:dyDescent="0.25">
      <c r="C12" s="79" t="s">
        <v>31</v>
      </c>
      <c r="D12" s="91">
        <v>58.92</v>
      </c>
      <c r="E12" s="93">
        <v>274</v>
      </c>
      <c r="F12" s="91">
        <v>16141.3</v>
      </c>
      <c r="G12" s="91">
        <v>1591.9</v>
      </c>
      <c r="H12" s="91">
        <v>17753.099999999999</v>
      </c>
      <c r="I12" s="91">
        <v>10537.62</v>
      </c>
      <c r="J12" s="91" t="s">
        <v>26</v>
      </c>
      <c r="K12" s="91">
        <v>5.05</v>
      </c>
      <c r="L12" s="95">
        <v>1.68</v>
      </c>
      <c r="M12" s="95" t="s">
        <v>26</v>
      </c>
      <c r="N12" s="96">
        <v>11.67</v>
      </c>
      <c r="P12" s="71" t="s">
        <v>123</v>
      </c>
      <c r="Q12" s="102">
        <f>Q10-Q11</f>
        <v>33969.30528</v>
      </c>
      <c r="R12" s="102" t="e">
        <f>R10-R11</f>
        <v>#VALUE!</v>
      </c>
      <c r="S12" s="103">
        <f>S13*S14</f>
        <v>35842.810080000003</v>
      </c>
    </row>
    <row r="13" spans="3:19" x14ac:dyDescent="0.25">
      <c r="C13" s="79" t="s">
        <v>32</v>
      </c>
      <c r="D13" s="91">
        <v>41.53</v>
      </c>
      <c r="E13" s="93">
        <v>333.1</v>
      </c>
      <c r="F13" s="91">
        <v>13832.6</v>
      </c>
      <c r="G13" s="91">
        <v>-6196.2</v>
      </c>
      <c r="H13" s="91">
        <v>7738.1</v>
      </c>
      <c r="I13" s="91">
        <v>31437.62</v>
      </c>
      <c r="J13" s="91" t="s">
        <v>26</v>
      </c>
      <c r="K13" s="91">
        <v>3.88</v>
      </c>
      <c r="L13" s="95">
        <v>0.25</v>
      </c>
      <c r="M13" s="95" t="s">
        <v>26</v>
      </c>
      <c r="N13" s="96">
        <v>10.7</v>
      </c>
      <c r="P13" s="71" t="s">
        <v>142</v>
      </c>
      <c r="Q13" s="113">
        <v>231</v>
      </c>
      <c r="R13" s="113">
        <v>231</v>
      </c>
      <c r="S13" s="114">
        <v>231</v>
      </c>
    </row>
    <row r="14" spans="3:19" ht="13" thickBot="1" x14ac:dyDescent="0.3">
      <c r="C14" s="79" t="s">
        <v>33</v>
      </c>
      <c r="D14" s="91">
        <v>32.65</v>
      </c>
      <c r="E14" s="93">
        <v>534.29999999999995</v>
      </c>
      <c r="F14" s="91">
        <v>17446.400000000001</v>
      </c>
      <c r="G14" s="91">
        <v>-14800.3</v>
      </c>
      <c r="H14" s="91">
        <v>2988.5</v>
      </c>
      <c r="I14" s="91">
        <v>38923.35</v>
      </c>
      <c r="J14" s="91" t="s">
        <v>26</v>
      </c>
      <c r="K14" s="91">
        <v>3.49</v>
      </c>
      <c r="L14" s="95">
        <v>0.08</v>
      </c>
      <c r="M14" s="95" t="s">
        <v>26</v>
      </c>
      <c r="N14" s="96">
        <v>9.3699999999999992</v>
      </c>
      <c r="P14" s="88" t="s">
        <v>143</v>
      </c>
      <c r="Q14" s="104">
        <f>Q12/Q13</f>
        <v>147.05326961038961</v>
      </c>
      <c r="R14" s="105" t="e">
        <f>R12/R13</f>
        <v>#VALUE!</v>
      </c>
      <c r="S14" s="106">
        <f>S8*S9</f>
        <v>155.16368</v>
      </c>
    </row>
    <row r="15" spans="3:19" x14ac:dyDescent="0.25">
      <c r="C15" s="79" t="s">
        <v>34</v>
      </c>
      <c r="D15" s="91">
        <v>180.19</v>
      </c>
      <c r="E15" s="93">
        <v>494.7</v>
      </c>
      <c r="F15" s="91">
        <v>89143.8</v>
      </c>
      <c r="G15" s="91">
        <v>13975</v>
      </c>
      <c r="H15" s="91">
        <v>103361.8</v>
      </c>
      <c r="I15" s="91">
        <v>22635.23</v>
      </c>
      <c r="J15" s="91">
        <v>6327.37</v>
      </c>
      <c r="K15" s="91">
        <v>7.87</v>
      </c>
      <c r="L15" s="95">
        <v>4.57</v>
      </c>
      <c r="M15" s="95">
        <v>16.34</v>
      </c>
      <c r="N15" s="96">
        <v>22.9</v>
      </c>
      <c r="P15" s="72" t="s">
        <v>144</v>
      </c>
      <c r="Q15" s="107" t="e">
        <f>SUMPRODUCT(Q14:S14,Q7:S7)</f>
        <v>#VALUE!</v>
      </c>
      <c r="R15" s="108"/>
      <c r="S15" s="108"/>
    </row>
    <row r="16" spans="3:19" x14ac:dyDescent="0.25">
      <c r="C16" s="79" t="s">
        <v>35</v>
      </c>
      <c r="D16" s="91">
        <v>87</v>
      </c>
      <c r="E16" s="93">
        <v>367</v>
      </c>
      <c r="F16" s="91">
        <v>31926.799999999999</v>
      </c>
      <c r="G16" s="91">
        <v>16865</v>
      </c>
      <c r="H16" s="91">
        <v>49749.8</v>
      </c>
      <c r="I16" s="91">
        <v>51936.01</v>
      </c>
      <c r="J16" s="91" t="s">
        <v>26</v>
      </c>
      <c r="K16" s="91">
        <v>12.09</v>
      </c>
      <c r="L16" s="95">
        <v>0.96</v>
      </c>
      <c r="M16" s="95" t="s">
        <v>26</v>
      </c>
      <c r="N16" s="96">
        <v>7.19</v>
      </c>
      <c r="P16" s="71" t="s">
        <v>145</v>
      </c>
      <c r="Q16" s="103">
        <v>181.14</v>
      </c>
      <c r="R16" s="108"/>
      <c r="S16" s="108"/>
    </row>
    <row r="17" spans="3:19" ht="13" thickBot="1" x14ac:dyDescent="0.3">
      <c r="C17" s="80" t="s">
        <v>36</v>
      </c>
      <c r="D17" s="92">
        <v>181.14</v>
      </c>
      <c r="E17" s="94">
        <v>231</v>
      </c>
      <c r="F17" s="92">
        <v>41839.1</v>
      </c>
      <c r="G17" s="92">
        <v>6525</v>
      </c>
      <c r="H17" s="92">
        <v>48364.1</v>
      </c>
      <c r="I17" s="92">
        <v>38346.879999999997</v>
      </c>
      <c r="J17" s="92" t="s">
        <v>26</v>
      </c>
      <c r="K17" s="92">
        <v>15.26</v>
      </c>
      <c r="L17" s="97">
        <v>1.26</v>
      </c>
      <c r="M17" s="97" t="s">
        <v>26</v>
      </c>
      <c r="N17" s="98">
        <v>11.87</v>
      </c>
      <c r="P17" s="74" t="s">
        <v>146</v>
      </c>
      <c r="Q17" s="115" t="e">
        <f>Q15/Q16-1</f>
        <v>#VALUE!</v>
      </c>
      <c r="R17" s="108"/>
      <c r="S17" s="108"/>
    </row>
    <row r="20" spans="3:19" ht="25" x14ac:dyDescent="0.25">
      <c r="C20" s="89" t="s">
        <v>147</v>
      </c>
      <c r="D20" s="90" t="e">
        <f>Q17</f>
        <v>#VALUE!</v>
      </c>
    </row>
    <row r="21" spans="3:19" ht="13" thickBot="1" x14ac:dyDescent="0.3"/>
    <row r="22" spans="3:19" ht="13" thickBot="1" x14ac:dyDescent="0.3">
      <c r="K22" s="87" t="s">
        <v>133</v>
      </c>
      <c r="L22" s="116">
        <f>BENCHMARKING!D28</f>
        <v>0.4375</v>
      </c>
    </row>
    <row r="23" spans="3:19" ht="13" thickBot="1" x14ac:dyDescent="0.3">
      <c r="K23" s="70" t="s">
        <v>132</v>
      </c>
    </row>
    <row r="24" spans="3:19" x14ac:dyDescent="0.25">
      <c r="K24" s="99">
        <v>0</v>
      </c>
      <c r="L24" s="81">
        <f>PERCENTILE(L7:L16,K24)</f>
        <v>0.08</v>
      </c>
      <c r="M24" s="81">
        <f>PERCENTILE(M7:M16,K24)</f>
        <v>16.34</v>
      </c>
      <c r="N24" s="82">
        <f>PERCENTILE(N7:N16,K24)</f>
        <v>7.19</v>
      </c>
    </row>
    <row r="25" spans="3:19" x14ac:dyDescent="0.25">
      <c r="K25" s="100">
        <v>0.05</v>
      </c>
      <c r="L25" s="83">
        <f>PERCENTILE(L7:L16,K25)</f>
        <v>0.15649999999999997</v>
      </c>
      <c r="M25" s="83">
        <f>PERCENTILE(M7:M16,K25)</f>
        <v>16.34</v>
      </c>
      <c r="N25" s="84">
        <f>PERCENTILE(N7:N16,K25)</f>
        <v>7.6265000000000001</v>
      </c>
    </row>
    <row r="26" spans="3:19" x14ac:dyDescent="0.25">
      <c r="K26" s="100">
        <v>0.1</v>
      </c>
      <c r="L26" s="83">
        <f>PERCENTILE(L7:L16,K26)</f>
        <v>0.23299999999999998</v>
      </c>
      <c r="M26" s="83">
        <f>PERCENTILE(M7:M16,K26)</f>
        <v>16.34</v>
      </c>
      <c r="N26" s="84">
        <f>PERCENTILE(N7:N16,K26)</f>
        <v>8.0630000000000006</v>
      </c>
    </row>
    <row r="27" spans="3:19" x14ac:dyDescent="0.25">
      <c r="K27" s="100">
        <v>0.15</v>
      </c>
      <c r="L27" s="83">
        <f>PERCENTILE(L7:L16,K27)</f>
        <v>0.41099999999999981</v>
      </c>
      <c r="M27" s="83">
        <f>PERCENTILE(M7:M16,K27)</f>
        <v>16.34</v>
      </c>
      <c r="N27" s="84">
        <f>PERCENTILE(N7:N16,K27)</f>
        <v>8.3140000000000001</v>
      </c>
    </row>
    <row r="28" spans="3:19" x14ac:dyDescent="0.25">
      <c r="K28" s="100">
        <v>0.2</v>
      </c>
      <c r="L28" s="83">
        <f>PERCENTILE(L7:L16,K28)</f>
        <v>0.61799999999999988</v>
      </c>
      <c r="M28" s="83">
        <f>PERCENTILE(M7:M16,K28)</f>
        <v>16.34</v>
      </c>
      <c r="N28" s="84">
        <f>PERCENTILE(N7:N16,K28)</f>
        <v>8.5120000000000005</v>
      </c>
    </row>
    <row r="29" spans="3:19" x14ac:dyDescent="0.25">
      <c r="K29" s="100">
        <v>0.25</v>
      </c>
      <c r="L29" s="83">
        <f>PERCENTILE(L7:L16,K29)</f>
        <v>0.77249999999999996</v>
      </c>
      <c r="M29" s="83">
        <f>PERCENTILE(M7:M16,K29)</f>
        <v>16.34</v>
      </c>
      <c r="N29" s="84">
        <f>PERCENTILE(N7:N16,K29)</f>
        <v>8.7925000000000004</v>
      </c>
    </row>
    <row r="30" spans="3:19" x14ac:dyDescent="0.25">
      <c r="K30" s="100">
        <v>0.3</v>
      </c>
      <c r="L30" s="83">
        <f>PERCENTILE(L7:L16,K30)</f>
        <v>0.8849999999999999</v>
      </c>
      <c r="M30" s="83">
        <f>PERCENTILE(M7:M16,K30)</f>
        <v>16.34</v>
      </c>
      <c r="N30" s="84">
        <f>PERCENTILE(N7:N16,K30)</f>
        <v>9.1389999999999993</v>
      </c>
    </row>
    <row r="31" spans="3:19" x14ac:dyDescent="0.25">
      <c r="K31" s="100">
        <v>0.35</v>
      </c>
      <c r="L31" s="83">
        <f>PERCENTILE(L7:L16,K31)</f>
        <v>0.98399999999999999</v>
      </c>
      <c r="M31" s="83">
        <f>PERCENTILE(M7:M16,K31)</f>
        <v>16.34</v>
      </c>
      <c r="N31" s="84">
        <f>PERCENTILE(N7:N16,K31)</f>
        <v>9.5694999999999997</v>
      </c>
    </row>
    <row r="32" spans="3:19" x14ac:dyDescent="0.25">
      <c r="K32" s="100">
        <v>0.4</v>
      </c>
      <c r="L32" s="83">
        <f>PERCENTILE(L7:L16,K32)</f>
        <v>1.056</v>
      </c>
      <c r="M32" s="83">
        <f>PERCENTILE(M7:M16,K32)</f>
        <v>16.34</v>
      </c>
      <c r="N32" s="84">
        <f>PERCENTILE(N7:N16,K32)</f>
        <v>10.167999999999999</v>
      </c>
    </row>
    <row r="33" spans="11:14" x14ac:dyDescent="0.25">
      <c r="K33" s="100">
        <v>0.45</v>
      </c>
      <c r="L33" s="83">
        <f>PERCENTILE(L7:L16,K33)</f>
        <v>1.1325000000000001</v>
      </c>
      <c r="M33" s="83">
        <f>PERCENTILE(M7:M16,K33)</f>
        <v>16.34</v>
      </c>
      <c r="N33" s="84">
        <f>PERCENTILE(N7:N16,K33)</f>
        <v>10.702999999999999</v>
      </c>
    </row>
    <row r="34" spans="11:14" x14ac:dyDescent="0.25">
      <c r="K34" s="100">
        <v>0.5</v>
      </c>
      <c r="L34" s="83">
        <f>PERCENTILE(L7:L16,K34)</f>
        <v>1.2450000000000001</v>
      </c>
      <c r="M34" s="83">
        <f>PERCENTILE(M7:M16,K34)</f>
        <v>16.34</v>
      </c>
      <c r="N34" s="84">
        <f>PERCENTILE(N7:N16,K34)</f>
        <v>10.73</v>
      </c>
    </row>
    <row r="35" spans="11:14" x14ac:dyDescent="0.25">
      <c r="K35" s="100">
        <v>0.55000000000000004</v>
      </c>
      <c r="L35" s="83">
        <f>PERCENTILE(L7:L16,K35)</f>
        <v>1.3575000000000002</v>
      </c>
      <c r="M35" s="83">
        <f>PERCENTILE(M7:M16,K35)</f>
        <v>16.34</v>
      </c>
      <c r="N35" s="84">
        <f>PERCENTILE(N7:N16,K35)</f>
        <v>10.757</v>
      </c>
    </row>
    <row r="36" spans="11:14" x14ac:dyDescent="0.25">
      <c r="K36" s="100">
        <v>0.6</v>
      </c>
      <c r="L36" s="83">
        <f>PERCENTILE(L7:L16,K36)</f>
        <v>1.3740000000000001</v>
      </c>
      <c r="M36" s="83">
        <f>PERCENTILE(M7:M16,K36)</f>
        <v>16.34</v>
      </c>
      <c r="N36" s="84">
        <f>PERCENTILE(N7:N16,K36)</f>
        <v>11.123999999999999</v>
      </c>
    </row>
    <row r="37" spans="11:14" x14ac:dyDescent="0.25">
      <c r="K37" s="100">
        <v>0.65</v>
      </c>
      <c r="L37" s="83">
        <f>PERCENTILE(L7:L16,K37)</f>
        <v>1.3784999999999998</v>
      </c>
      <c r="M37" s="83">
        <f>PERCENTILE(M7:M16,K37)</f>
        <v>16.34</v>
      </c>
      <c r="N37" s="84">
        <f>PERCENTILE(N7:N16,K37)</f>
        <v>11.5335</v>
      </c>
    </row>
    <row r="38" spans="11:14" x14ac:dyDescent="0.25">
      <c r="K38" s="100">
        <v>0.7</v>
      </c>
      <c r="L38" s="83">
        <f>PERCENTILE(L7:L16,K38)</f>
        <v>1.4699999999999998</v>
      </c>
      <c r="M38" s="83">
        <f>PERCENTILE(M7:M16,K38)</f>
        <v>16.34</v>
      </c>
      <c r="N38" s="84">
        <f>PERCENTILE(N7:N16,K38)</f>
        <v>14.273999999999999</v>
      </c>
    </row>
    <row r="39" spans="11:14" x14ac:dyDescent="0.25">
      <c r="K39" s="100">
        <v>0.75</v>
      </c>
      <c r="L39" s="83">
        <f>PERCENTILE(L7:L16,K39)</f>
        <v>1.605</v>
      </c>
      <c r="M39" s="83">
        <f>PERCENTILE(M7:M16,K39)</f>
        <v>16.34</v>
      </c>
      <c r="N39" s="84">
        <f>PERCENTILE(N7:N16,K39)</f>
        <v>18.18</v>
      </c>
    </row>
    <row r="40" spans="11:14" x14ac:dyDescent="0.25">
      <c r="K40" s="100">
        <v>0.8</v>
      </c>
      <c r="L40" s="83">
        <f>PERCENTILE(L7:L16,K40)</f>
        <v>1.7299999999999998</v>
      </c>
      <c r="M40" s="83">
        <f>PERCENTILE(M7:M16,K40)</f>
        <v>16.34</v>
      </c>
      <c r="N40" s="84">
        <f>PERCENTILE(N7:N16,K40)</f>
        <v>20.86</v>
      </c>
    </row>
    <row r="41" spans="11:14" x14ac:dyDescent="0.25">
      <c r="K41" s="100">
        <v>0.85</v>
      </c>
      <c r="L41" s="83">
        <f>PERCENTILE(L7:L16,K41)</f>
        <v>1.8424999999999996</v>
      </c>
      <c r="M41" s="83">
        <f>PERCENTILE(M7:M16,K41)</f>
        <v>16.34</v>
      </c>
      <c r="N41" s="84">
        <f>PERCENTILE(N7:N16,K41)</f>
        <v>22.007499999999997</v>
      </c>
    </row>
    <row r="42" spans="11:14" x14ac:dyDescent="0.25">
      <c r="K42" s="100">
        <v>0.9</v>
      </c>
      <c r="L42" s="83">
        <f>PERCENTILE(L7:L16,K42)</f>
        <v>2.1939999999999991</v>
      </c>
      <c r="M42" s="83">
        <f>PERCENTILE(M7:M16,K42)</f>
        <v>16.34</v>
      </c>
      <c r="N42" s="84">
        <f>PERCENTILE(N7:N16,K42)</f>
        <v>23.300999999999998</v>
      </c>
    </row>
    <row r="43" spans="11:14" x14ac:dyDescent="0.25">
      <c r="K43" s="100">
        <v>0.95</v>
      </c>
      <c r="L43" s="83">
        <f>PERCENTILE(L7:L16,K43)</f>
        <v>3.3819999999999975</v>
      </c>
      <c r="M43" s="83">
        <f>PERCENTILE(M7:M16,K43)</f>
        <v>16.34</v>
      </c>
      <c r="N43" s="84">
        <f>PERCENTILE(N7:N16,K43)</f>
        <v>25.105499999999996</v>
      </c>
    </row>
    <row r="44" spans="11:14" ht="13" thickBot="1" x14ac:dyDescent="0.3">
      <c r="K44" s="101">
        <v>1</v>
      </c>
      <c r="L44" s="85">
        <f>PERCENTILE(L7:L16,K44)</f>
        <v>4.57</v>
      </c>
      <c r="M44" s="85">
        <f>PERCENTILE(M7:M16,K44)</f>
        <v>16.34</v>
      </c>
      <c r="N44" s="86">
        <f>PERCENTILE(N7:N16,K44)</f>
        <v>26.91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B0CB9-F451-474D-840B-F53B9547AE90}">
  <sheetPr codeName="Sheet2"/>
  <dimension ref="C5:O51"/>
  <sheetViews>
    <sheetView showGridLines="0" workbookViewId="0"/>
  </sheetViews>
  <sheetFormatPr defaultRowHeight="10" x14ac:dyDescent="0.2"/>
  <cols>
    <col min="1" max="2" width="8.7265625" style="30"/>
    <col min="3" max="3" width="13" style="30" bestFit="1" customWidth="1"/>
    <col min="4" max="4" width="8.36328125" style="30" bestFit="1" customWidth="1"/>
    <col min="5" max="5" width="7.36328125" style="30" bestFit="1" customWidth="1"/>
    <col min="6" max="6" width="7.54296875" style="30" bestFit="1" customWidth="1"/>
    <col min="7" max="7" width="7.36328125" style="30" bestFit="1" customWidth="1"/>
    <col min="8" max="8" width="8.1796875" style="30" bestFit="1" customWidth="1"/>
    <col min="9" max="9" width="7.81640625" style="30" bestFit="1" customWidth="1"/>
    <col min="10" max="10" width="7.90625" style="30" bestFit="1" customWidth="1"/>
    <col min="11" max="11" width="7.7265625" style="30" bestFit="1" customWidth="1"/>
    <col min="12" max="12" width="8.08984375" style="30" bestFit="1" customWidth="1"/>
    <col min="13" max="13" width="7.81640625" style="30" bestFit="1" customWidth="1"/>
    <col min="14" max="14" width="8.36328125" style="30" bestFit="1" customWidth="1"/>
    <col min="15" max="15" width="8.6328125" style="30" bestFit="1" customWidth="1"/>
    <col min="16" max="16384" width="8.7265625" style="30"/>
  </cols>
  <sheetData>
    <row r="5" spans="3:15" ht="10.5" thickBot="1" x14ac:dyDescent="0.25"/>
    <row r="6" spans="3:15" ht="53" thickBot="1" x14ac:dyDescent="0.25">
      <c r="C6" s="44" t="s">
        <v>8</v>
      </c>
      <c r="D6" s="52" t="s">
        <v>62</v>
      </c>
      <c r="E6" s="52" t="s">
        <v>63</v>
      </c>
      <c r="F6" s="52" t="s">
        <v>64</v>
      </c>
      <c r="G6" s="52" t="s">
        <v>65</v>
      </c>
      <c r="H6" s="52" t="s">
        <v>66</v>
      </c>
      <c r="I6" s="52" t="s">
        <v>67</v>
      </c>
      <c r="J6" s="52" t="s">
        <v>68</v>
      </c>
      <c r="K6" s="52" t="s">
        <v>69</v>
      </c>
      <c r="L6" s="52" t="s">
        <v>70</v>
      </c>
      <c r="M6" s="52" t="s">
        <v>71</v>
      </c>
      <c r="N6" s="52" t="s">
        <v>72</v>
      </c>
      <c r="O6" s="53" t="s">
        <v>73</v>
      </c>
    </row>
    <row r="7" spans="3:15" ht="31.5" x14ac:dyDescent="0.2">
      <c r="C7" s="50" t="s">
        <v>25</v>
      </c>
      <c r="D7" s="56">
        <v>0.125</v>
      </c>
      <c r="E7" s="57">
        <v>-1.2E-2</v>
      </c>
      <c r="F7" s="57">
        <v>-2.9000000000000001E-2</v>
      </c>
      <c r="G7" s="58">
        <v>-2.5499999999999998E-2</v>
      </c>
      <c r="H7" s="58">
        <v>1.6299999999999999E-2</v>
      </c>
      <c r="I7" s="59" t="s">
        <v>26</v>
      </c>
      <c r="J7" s="59" t="s">
        <v>26</v>
      </c>
      <c r="K7" s="59" t="s">
        <v>26</v>
      </c>
      <c r="L7" s="58">
        <v>0.32379999999999998</v>
      </c>
      <c r="M7" s="59" t="s">
        <v>74</v>
      </c>
      <c r="N7" s="58">
        <v>-0.02</v>
      </c>
      <c r="O7" s="60">
        <v>0.57999999999999996</v>
      </c>
    </row>
    <row r="8" spans="3:15" ht="31.5" x14ac:dyDescent="0.2">
      <c r="C8" s="50" t="s">
        <v>27</v>
      </c>
      <c r="D8" s="54">
        <v>3.4000000000000002E-2</v>
      </c>
      <c r="E8" s="40">
        <v>3.5000000000000003E-2</v>
      </c>
      <c r="F8" s="40">
        <v>2.8000000000000001E-2</v>
      </c>
      <c r="G8" s="41">
        <v>1.46E-2</v>
      </c>
      <c r="H8" s="41">
        <v>4.0099999999999997E-2</v>
      </c>
      <c r="I8" s="41">
        <v>-0.63759999999999994</v>
      </c>
      <c r="J8" s="41">
        <v>-0.68600000000000005</v>
      </c>
      <c r="K8" s="41">
        <v>-0.78469999999999995</v>
      </c>
      <c r="L8" s="41">
        <v>0.29110000000000003</v>
      </c>
      <c r="M8" s="43">
        <v>3.6</v>
      </c>
      <c r="N8" s="41">
        <v>0.37980000000000003</v>
      </c>
      <c r="O8" s="48">
        <v>0.5</v>
      </c>
    </row>
    <row r="9" spans="3:15" ht="21" x14ac:dyDescent="0.2">
      <c r="C9" s="50" t="s">
        <v>28</v>
      </c>
      <c r="D9" s="54">
        <v>0.245</v>
      </c>
      <c r="E9" s="40">
        <v>0.16</v>
      </c>
      <c r="F9" s="40">
        <v>0.154</v>
      </c>
      <c r="G9" s="41">
        <v>0.11890000000000001</v>
      </c>
      <c r="H9" s="41">
        <v>8.7099999999999997E-2</v>
      </c>
      <c r="I9" s="41">
        <v>-0.1145</v>
      </c>
      <c r="J9" s="41">
        <v>-0.1186</v>
      </c>
      <c r="K9" s="41">
        <v>-0.36049999999999999</v>
      </c>
      <c r="L9" s="42" t="s">
        <v>26</v>
      </c>
      <c r="M9" s="42" t="s">
        <v>26</v>
      </c>
      <c r="N9" s="41">
        <v>0.13730000000000001</v>
      </c>
      <c r="O9" s="48">
        <v>0.65</v>
      </c>
    </row>
    <row r="10" spans="3:15" ht="42" x14ac:dyDescent="0.2">
      <c r="C10" s="50" t="s">
        <v>29</v>
      </c>
      <c r="D10" s="54">
        <v>0.443</v>
      </c>
      <c r="E10" s="40">
        <v>0.376</v>
      </c>
      <c r="F10" s="40">
        <v>0.28999999999999998</v>
      </c>
      <c r="G10" s="41">
        <v>0.18210000000000001</v>
      </c>
      <c r="H10" s="41">
        <v>8.3900000000000002E-2</v>
      </c>
      <c r="I10" s="41">
        <v>0.34060000000000001</v>
      </c>
      <c r="J10" s="41">
        <v>0.46260000000000001</v>
      </c>
      <c r="K10" s="41">
        <v>9.4600000000000004E-2</v>
      </c>
      <c r="L10" s="41">
        <v>0.40060000000000001</v>
      </c>
      <c r="M10" s="43">
        <v>1.3</v>
      </c>
      <c r="N10" s="41">
        <v>0.1</v>
      </c>
      <c r="O10" s="48">
        <v>1.1299999999999999</v>
      </c>
    </row>
    <row r="11" spans="3:15" ht="42" x14ac:dyDescent="0.2">
      <c r="C11" s="50" t="s">
        <v>30</v>
      </c>
      <c r="D11" s="54">
        <v>0.32800000000000001</v>
      </c>
      <c r="E11" s="40">
        <v>0.13400000000000001</v>
      </c>
      <c r="F11" s="40">
        <v>0.112</v>
      </c>
      <c r="G11" s="41">
        <v>8.3299999999999999E-2</v>
      </c>
      <c r="H11" s="41">
        <v>1.9900000000000001E-2</v>
      </c>
      <c r="I11" s="41">
        <v>-0.21540000000000001</v>
      </c>
      <c r="J11" s="41">
        <v>-0.22170000000000001</v>
      </c>
      <c r="K11" s="41">
        <v>-0.25480000000000003</v>
      </c>
      <c r="L11" s="41">
        <v>0.2331</v>
      </c>
      <c r="M11" s="43">
        <v>1.4</v>
      </c>
      <c r="N11" s="41">
        <v>7.0000000000000007E-2</v>
      </c>
      <c r="O11" s="48">
        <v>0.85</v>
      </c>
    </row>
    <row r="12" spans="3:15" ht="31.5" x14ac:dyDescent="0.2">
      <c r="C12" s="50" t="s">
        <v>31</v>
      </c>
      <c r="D12" s="54">
        <v>0.40899999999999997</v>
      </c>
      <c r="E12" s="40">
        <v>0.13400000000000001</v>
      </c>
      <c r="F12" s="40">
        <v>0.13</v>
      </c>
      <c r="G12" s="41">
        <v>9.7299999999999998E-2</v>
      </c>
      <c r="H12" s="41">
        <v>9.1300000000000006E-2</v>
      </c>
      <c r="I12" s="41">
        <v>-0.23899999999999999</v>
      </c>
      <c r="J12" s="41">
        <v>-0.2137</v>
      </c>
      <c r="K12" s="41">
        <v>-0.21609999999999999</v>
      </c>
      <c r="L12" s="41">
        <v>0.31</v>
      </c>
      <c r="M12" s="43">
        <v>2</v>
      </c>
      <c r="N12" s="41">
        <v>0.17</v>
      </c>
      <c r="O12" s="48">
        <v>0.62</v>
      </c>
    </row>
    <row r="13" spans="3:15" ht="21" x14ac:dyDescent="0.2">
      <c r="C13" s="50" t="s">
        <v>32</v>
      </c>
      <c r="D13" s="54">
        <v>0.19900000000000001</v>
      </c>
      <c r="E13" s="40">
        <v>5.5E-2</v>
      </c>
      <c r="F13" s="40">
        <v>3.5999999999999997E-2</v>
      </c>
      <c r="G13" s="41">
        <v>1.7000000000000001E-2</v>
      </c>
      <c r="H13" s="41">
        <v>0.12330000000000001</v>
      </c>
      <c r="I13" s="41">
        <v>-0.45340000000000003</v>
      </c>
      <c r="J13" s="41">
        <v>-0.58160000000000001</v>
      </c>
      <c r="K13" s="41">
        <v>-0.67259999999999998</v>
      </c>
      <c r="L13" s="41">
        <v>0.27379999999999999</v>
      </c>
      <c r="M13" s="43">
        <v>2.6</v>
      </c>
      <c r="N13" s="41">
        <v>8.0399999999999999E-2</v>
      </c>
      <c r="O13" s="48">
        <v>0.41</v>
      </c>
    </row>
    <row r="14" spans="3:15" ht="42" x14ac:dyDescent="0.2">
      <c r="C14" s="50" t="s">
        <v>33</v>
      </c>
      <c r="D14" s="54">
        <v>0.215</v>
      </c>
      <c r="E14" s="40">
        <v>9.1999999999999998E-2</v>
      </c>
      <c r="F14" s="40">
        <v>7.0999999999999994E-2</v>
      </c>
      <c r="G14" s="41">
        <v>2.8799999999999999E-2</v>
      </c>
      <c r="H14" s="41">
        <v>8.09E-2</v>
      </c>
      <c r="I14" s="41">
        <v>-0.16550000000000001</v>
      </c>
      <c r="J14" s="41">
        <v>-0.2356</v>
      </c>
      <c r="K14" s="41">
        <v>-0.26550000000000001</v>
      </c>
      <c r="L14" s="41">
        <v>0.1973</v>
      </c>
      <c r="M14" s="43">
        <v>1.5</v>
      </c>
      <c r="N14" s="41">
        <v>4.5100000000000001E-2</v>
      </c>
      <c r="O14" s="48">
        <v>0.5</v>
      </c>
    </row>
    <row r="15" spans="3:15" ht="42" x14ac:dyDescent="0.2">
      <c r="C15" s="50" t="s">
        <v>34</v>
      </c>
      <c r="D15" s="54">
        <v>0.435</v>
      </c>
      <c r="E15" s="40">
        <v>0.26200000000000001</v>
      </c>
      <c r="F15" s="40">
        <v>0.22800000000000001</v>
      </c>
      <c r="G15" s="41">
        <v>0.15240000000000001</v>
      </c>
      <c r="H15" s="41">
        <v>3.9899999999999998E-2</v>
      </c>
      <c r="I15" s="41">
        <v>2.2599999999999999E-2</v>
      </c>
      <c r="J15" s="41">
        <v>3.09E-2</v>
      </c>
      <c r="K15" s="41">
        <v>-5.3E-3</v>
      </c>
      <c r="L15" s="41">
        <v>0.57230000000000003</v>
      </c>
      <c r="M15" s="43">
        <v>2.5</v>
      </c>
      <c r="N15" s="41">
        <v>0.1038</v>
      </c>
      <c r="O15" s="48">
        <v>0.92</v>
      </c>
    </row>
    <row r="16" spans="3:15" ht="31.5" x14ac:dyDescent="0.2">
      <c r="C16" s="50" t="s">
        <v>35</v>
      </c>
      <c r="D16" s="54">
        <v>0.17</v>
      </c>
      <c r="E16" s="40">
        <v>-4.1000000000000002E-2</v>
      </c>
      <c r="F16" s="40">
        <v>-4.2999999999999997E-2</v>
      </c>
      <c r="G16" s="41">
        <v>-2.46E-2</v>
      </c>
      <c r="H16" s="41">
        <v>-0.17630000000000001</v>
      </c>
      <c r="I16" s="42" t="s">
        <v>26</v>
      </c>
      <c r="J16" s="42" t="s">
        <v>26</v>
      </c>
      <c r="K16" s="42" t="s">
        <v>26</v>
      </c>
      <c r="L16" s="41">
        <v>0.66469999999999996</v>
      </c>
      <c r="M16" s="42" t="s">
        <v>74</v>
      </c>
      <c r="N16" s="41">
        <v>4.4999999999999998E-2</v>
      </c>
      <c r="O16" s="48">
        <v>1.37</v>
      </c>
    </row>
    <row r="17" spans="3:15" ht="32" thickBot="1" x14ac:dyDescent="0.25">
      <c r="C17" s="51" t="s">
        <v>36</v>
      </c>
      <c r="D17" s="55">
        <v>0.221</v>
      </c>
      <c r="E17" s="45">
        <v>0.112</v>
      </c>
      <c r="F17" s="45">
        <v>9.0999999999999998E-2</v>
      </c>
      <c r="G17" s="46">
        <v>7.4099999999999999E-2</v>
      </c>
      <c r="H17" s="46">
        <v>6.9900000000000004E-2</v>
      </c>
      <c r="I17" s="46">
        <v>-0.28760000000000002</v>
      </c>
      <c r="J17" s="46">
        <v>-0.32229999999999998</v>
      </c>
      <c r="K17" s="46">
        <v>-0.29089999999999999</v>
      </c>
      <c r="L17" s="46">
        <v>0.24030000000000001</v>
      </c>
      <c r="M17" s="47">
        <v>1.7</v>
      </c>
      <c r="N17" s="46">
        <v>0.1386</v>
      </c>
      <c r="O17" s="49">
        <v>0.61</v>
      </c>
    </row>
    <row r="27" spans="3:15" ht="10.5" thickBot="1" x14ac:dyDescent="0.25"/>
    <row r="28" spans="3:15" ht="10.5" thickBot="1" x14ac:dyDescent="0.25">
      <c r="C28" s="38" t="s">
        <v>130</v>
      </c>
      <c r="D28" s="36">
        <f>AVERAGE(D29:O29)</f>
        <v>0.4375</v>
      </c>
    </row>
    <row r="29" spans="3:15" ht="10.5" thickBot="1" x14ac:dyDescent="0.25">
      <c r="C29" s="39" t="s">
        <v>131</v>
      </c>
      <c r="D29" s="37">
        <f>IFERROR(INDEX(C31:C51,MATCH(D17,D31:D51)),"NA")</f>
        <v>0.45</v>
      </c>
      <c r="E29" s="34">
        <f>IFERROR(INDEX(C31:C51,MATCH(E17,E31:E51)),"NA")</f>
        <v>0.45</v>
      </c>
      <c r="F29" s="34">
        <f>IFERROR(INDEX(C31:C51,MATCH(F17,F31:F51)),"NA")</f>
        <v>0.45</v>
      </c>
      <c r="G29" s="34">
        <f>IFERROR(INDEX(C31:C51,MATCH(G17,G31:G51)),"NA")</f>
        <v>0.5</v>
      </c>
      <c r="H29" s="34">
        <f>IFERROR(INDEX(C31:C51,MATCH(H17,H31:H51)),"NA")</f>
        <v>0.5</v>
      </c>
      <c r="I29" s="34">
        <f>IFERROR(INDEX(C31:C51,MATCH(I17,I31:I51)),"NA")</f>
        <v>0.25</v>
      </c>
      <c r="J29" s="34">
        <f>IFERROR(INDEX(C31:C51,MATCH(J17,J31:J51)),"NA")</f>
        <v>0.2</v>
      </c>
      <c r="K29" s="34">
        <f>IFERROR(INDEX(C31:C51,MATCH(K17,K31:K51)),"NA")</f>
        <v>0.35</v>
      </c>
      <c r="L29" s="34">
        <f>IFERROR(INDEX(C31:C51,MATCH(L17,L31:L51)),"NA")</f>
        <v>0.1</v>
      </c>
      <c r="M29" s="34">
        <f>IFERROR((1-INDEX(C31:C51,MATCH(M17,M31:M51))),"NA")</f>
        <v>0.65</v>
      </c>
      <c r="N29" s="34">
        <f>IFERROR(INDEX(C31:C51,MATCH(N17,N31:N51)),"NA")</f>
        <v>0.75</v>
      </c>
      <c r="O29" s="35">
        <f>IFERROR((1-INDEX(C31:C51,MATCH(O17,O31:O51))),"NA")</f>
        <v>0.6</v>
      </c>
    </row>
    <row r="30" spans="3:15" ht="10.5" thickBot="1" x14ac:dyDescent="0.25">
      <c r="C30" s="30" t="s">
        <v>132</v>
      </c>
    </row>
    <row r="31" spans="3:15" x14ac:dyDescent="0.2">
      <c r="C31" s="32">
        <v>0</v>
      </c>
      <c r="D31" s="61">
        <f>PERCENTILE(D7:D16,C31)</f>
        <v>3.4000000000000002E-2</v>
      </c>
      <c r="E31" s="61">
        <f>PERCENTILE(E7:E16,C31)</f>
        <v>-4.1000000000000002E-2</v>
      </c>
      <c r="F31" s="61">
        <f>PERCENTILE(F7:F16,C31)</f>
        <v>-4.2999999999999997E-2</v>
      </c>
      <c r="G31" s="61">
        <f>PERCENTILE(G7:G16,C31)</f>
        <v>-2.5499999999999998E-2</v>
      </c>
      <c r="H31" s="61">
        <f>PERCENTILE(H7:H16,C31)</f>
        <v>-0.17630000000000001</v>
      </c>
      <c r="I31" s="61">
        <f>PERCENTILE(I7:I16,C31)</f>
        <v>-0.63759999999999994</v>
      </c>
      <c r="J31" s="61">
        <f>PERCENTILE(J7:J16,C31)</f>
        <v>-0.68600000000000005</v>
      </c>
      <c r="K31" s="61">
        <f>PERCENTILE(K7:K16,C31)</f>
        <v>-0.78469999999999995</v>
      </c>
      <c r="L31" s="61">
        <f>PERCENTILE(L7:L16,C31)</f>
        <v>0.1973</v>
      </c>
      <c r="M31" s="64">
        <f>PERCENTILE(M7:M16,C31)</f>
        <v>1.3</v>
      </c>
      <c r="N31" s="61">
        <f>PERCENTILE(N7:N16,C31)</f>
        <v>-0.02</v>
      </c>
      <c r="O31" s="67">
        <f>PERCENTILE(O7:O16,C31)</f>
        <v>0.41</v>
      </c>
    </row>
    <row r="32" spans="3:15" x14ac:dyDescent="0.2">
      <c r="C32" s="31">
        <v>0.05</v>
      </c>
      <c r="D32" s="62">
        <f>PERCENTILE(D7:D16,C32)</f>
        <v>7.4949999999999989E-2</v>
      </c>
      <c r="E32" s="62">
        <f>PERCENTILE(E7:E16,C32)</f>
        <v>-2.7950000000000003E-2</v>
      </c>
      <c r="F32" s="62">
        <f>PERCENTILE(F7:F16,C32)</f>
        <v>-3.6699999999999997E-2</v>
      </c>
      <c r="G32" s="62">
        <f>PERCENTILE(G7:G16,C32)</f>
        <v>-2.5094999999999999E-2</v>
      </c>
      <c r="H32" s="62">
        <f>PERCENTILE(H7:H16,C32)</f>
        <v>-8.9630000000000015E-2</v>
      </c>
      <c r="I32" s="62">
        <f>PERCENTILE(I7:I16,C32)</f>
        <v>-0.57312999999999992</v>
      </c>
      <c r="J32" s="62">
        <f>PERCENTILE(J7:J16,C32)</f>
        <v>-0.64946000000000004</v>
      </c>
      <c r="K32" s="62">
        <f>PERCENTILE(K7:K16,C32)</f>
        <v>-0.74546499999999993</v>
      </c>
      <c r="L32" s="62">
        <f>PERCENTILE(L7:L16,C32)</f>
        <v>0.21162</v>
      </c>
      <c r="M32" s="65">
        <f>PERCENTILE(M7:M16,C32)</f>
        <v>1.33</v>
      </c>
      <c r="N32" s="62">
        <f>PERCENTILE(N7:N16,C32)</f>
        <v>9.2499999999999978E-3</v>
      </c>
      <c r="O32" s="68">
        <f>PERCENTILE(O7:O16,C32)</f>
        <v>0.45050000000000001</v>
      </c>
    </row>
    <row r="33" spans="3:15" x14ac:dyDescent="0.2">
      <c r="C33" s="31">
        <v>0.1</v>
      </c>
      <c r="D33" s="62">
        <f>PERCENTILE(D7:D16,C33)</f>
        <v>0.11589999999999999</v>
      </c>
      <c r="E33" s="62">
        <f>PERCENTILE(E7:E16,C33)</f>
        <v>-1.4900000000000004E-2</v>
      </c>
      <c r="F33" s="62">
        <f>PERCENTILE(F7:F16,C33)</f>
        <v>-3.0400000000000003E-2</v>
      </c>
      <c r="G33" s="62">
        <f>PERCENTILE(G7:G16,C33)</f>
        <v>-2.469E-2</v>
      </c>
      <c r="H33" s="62">
        <f>PERCENTILE(H7:H16,C33)</f>
        <v>-2.9600000000000182E-3</v>
      </c>
      <c r="I33" s="62">
        <f>PERCENTILE(I7:I16,C33)</f>
        <v>-0.50866</v>
      </c>
      <c r="J33" s="62">
        <f>PERCENTILE(J7:J16,C33)</f>
        <v>-0.61292000000000002</v>
      </c>
      <c r="K33" s="62">
        <f>PERCENTILE(K7:K16,C33)</f>
        <v>-0.70622999999999991</v>
      </c>
      <c r="L33" s="62">
        <f>PERCENTILE(L7:L16,C33)</f>
        <v>0.22594</v>
      </c>
      <c r="M33" s="65">
        <f>PERCENTILE(M7:M16,C33)</f>
        <v>1.3599999999999999</v>
      </c>
      <c r="N33" s="62">
        <f>PERCENTILE(N7:N16,C33)</f>
        <v>3.8499999999999993E-2</v>
      </c>
      <c r="O33" s="68">
        <f>PERCENTILE(O7:O16,C33)</f>
        <v>0.49099999999999999</v>
      </c>
    </row>
    <row r="34" spans="3:15" x14ac:dyDescent="0.2">
      <c r="C34" s="31">
        <v>0.15</v>
      </c>
      <c r="D34" s="62">
        <f>PERCENTILE(D7:D16,C34)</f>
        <v>0.14074999999999999</v>
      </c>
      <c r="E34" s="62">
        <f>PERCENTILE(E7:E16,C34)</f>
        <v>4.4499999999999817E-3</v>
      </c>
      <c r="F34" s="62">
        <f>PERCENTILE(F7:F16,C34)</f>
        <v>-9.0500000000000198E-3</v>
      </c>
      <c r="G34" s="62">
        <f>PERCENTILE(G7:G16,C34)</f>
        <v>-1.0880000000000015E-2</v>
      </c>
      <c r="H34" s="62">
        <f>PERCENTILE(H7:H16,C34)</f>
        <v>1.7559999999999999E-2</v>
      </c>
      <c r="I34" s="62">
        <f>PERCENTILE(I7:I16,C34)</f>
        <v>-0.44268000000000007</v>
      </c>
      <c r="J34" s="62">
        <f>PERCENTILE(J7:J16,C34)</f>
        <v>-0.56430000000000002</v>
      </c>
      <c r="K34" s="62">
        <f>PERCENTILE(K7:K16,C34)</f>
        <v>-0.656995</v>
      </c>
      <c r="L34" s="62">
        <f>PERCENTILE(L7:L16,C34)</f>
        <v>0.24124000000000001</v>
      </c>
      <c r="M34" s="65">
        <f>PERCENTILE(M7:M16,C34)</f>
        <v>1.39</v>
      </c>
      <c r="N34" s="62">
        <f>PERCENTILE(N7:N16,C34)</f>
        <v>4.5034999999999999E-2</v>
      </c>
      <c r="O34" s="68">
        <f>PERCENTILE(O7:O16,C34)</f>
        <v>0.5</v>
      </c>
    </row>
    <row r="35" spans="3:15" x14ac:dyDescent="0.2">
      <c r="C35" s="31">
        <v>0.2</v>
      </c>
      <c r="D35" s="62">
        <f>PERCENTILE(D7:D16,C35)</f>
        <v>0.161</v>
      </c>
      <c r="E35" s="62">
        <f>PERCENTILE(E7:E16,C35)</f>
        <v>2.5599999999999994E-2</v>
      </c>
      <c r="F35" s="62">
        <f>PERCENTILE(F7:F16,C35)</f>
        <v>1.6599999999999993E-2</v>
      </c>
      <c r="G35" s="62">
        <f>PERCENTILE(G7:G16,C35)</f>
        <v>6.7599999999999917E-3</v>
      </c>
      <c r="H35" s="62">
        <f>PERCENTILE(H7:H16,C35)</f>
        <v>1.9179999999999999E-2</v>
      </c>
      <c r="I35" s="62">
        <f>PERCENTILE(I7:I16,C35)</f>
        <v>-0.36763999999999997</v>
      </c>
      <c r="J35" s="62">
        <f>PERCENTILE(J7:J16,C35)</f>
        <v>-0.44319999999999993</v>
      </c>
      <c r="K35" s="62">
        <f>PERCENTILE(K7:K16,C35)</f>
        <v>-0.54775999999999991</v>
      </c>
      <c r="L35" s="62">
        <f>PERCENTILE(L7:L16,C35)</f>
        <v>0.25751999999999997</v>
      </c>
      <c r="M35" s="65">
        <f>PERCENTILE(M7:M16,C35)</f>
        <v>1.42</v>
      </c>
      <c r="N35" s="62">
        <f>PERCENTILE(N7:N16,C35)</f>
        <v>4.5080000000000002E-2</v>
      </c>
      <c r="O35" s="68">
        <f>PERCENTILE(O7:O16,C35)</f>
        <v>0.5</v>
      </c>
    </row>
    <row r="36" spans="3:15" x14ac:dyDescent="0.2">
      <c r="C36" s="31">
        <v>0.25</v>
      </c>
      <c r="D36" s="62">
        <f>PERCENTILE(D7:D16,C36)</f>
        <v>0.17725000000000002</v>
      </c>
      <c r="E36" s="62">
        <f>PERCENTILE(E7:E16,C36)</f>
        <v>0.04</v>
      </c>
      <c r="F36" s="62">
        <f>PERCENTILE(F7:F16,C36)</f>
        <v>0.03</v>
      </c>
      <c r="G36" s="62">
        <f>PERCENTILE(G7:G16,C36)</f>
        <v>1.52E-2</v>
      </c>
      <c r="H36" s="62">
        <f>PERCENTILE(H7:H16,C36)</f>
        <v>2.4899999999999999E-2</v>
      </c>
      <c r="I36" s="62">
        <f>PERCENTILE(I7:I16,C36)</f>
        <v>-0.29259999999999997</v>
      </c>
      <c r="J36" s="62">
        <f>PERCENTILE(J7:J16,C36)</f>
        <v>-0.32210000000000005</v>
      </c>
      <c r="K36" s="62">
        <f>PERCENTILE(K7:K16,C36)</f>
        <v>-0.438525</v>
      </c>
      <c r="L36" s="62">
        <f>PERCENTILE(L7:L16,C36)</f>
        <v>0.27379999999999999</v>
      </c>
      <c r="M36" s="65">
        <f>PERCENTILE(M7:M16,C36)</f>
        <v>1.45</v>
      </c>
      <c r="N36" s="62">
        <f>PERCENTILE(N7:N16,C36)</f>
        <v>5.1325000000000003E-2</v>
      </c>
      <c r="O36" s="68">
        <f>PERCENTILE(O7:O16,C36)</f>
        <v>0.52</v>
      </c>
    </row>
    <row r="37" spans="3:15" x14ac:dyDescent="0.2">
      <c r="C37" s="31">
        <v>0.3</v>
      </c>
      <c r="D37" s="62">
        <f>PERCENTILE(D7:D16,C37)</f>
        <v>0.1903</v>
      </c>
      <c r="E37" s="62">
        <f>PERCENTILE(E7:E16,C37)</f>
        <v>4.8999999999999995E-2</v>
      </c>
      <c r="F37" s="62">
        <f>PERCENTILE(F7:F16,C37)</f>
        <v>3.3599999999999998E-2</v>
      </c>
      <c r="G37" s="62">
        <f>PERCENTILE(G7:G16,C37)</f>
        <v>1.6279999999999999E-2</v>
      </c>
      <c r="H37" s="62">
        <f>PERCENTILE(H7:H16,C37)</f>
        <v>3.3899999999999993E-2</v>
      </c>
      <c r="I37" s="62">
        <f>PERCENTILE(I7:I16,C37)</f>
        <v>-0.23663999999999999</v>
      </c>
      <c r="J37" s="62">
        <f>PERCENTILE(J7:J16,C37)</f>
        <v>-0.23421</v>
      </c>
      <c r="K37" s="62">
        <f>PERCENTILE(K7:K16,C37)</f>
        <v>-0.35099999999999998</v>
      </c>
      <c r="L37" s="62">
        <f>PERCENTILE(L7:L16,C37)</f>
        <v>0.28072000000000003</v>
      </c>
      <c r="M37" s="65">
        <f>PERCENTILE(M7:M16,C37)</f>
        <v>1.48</v>
      </c>
      <c r="N37" s="62">
        <f>PERCENTILE(N7:N16,C37)</f>
        <v>6.2530000000000002E-2</v>
      </c>
      <c r="O37" s="68">
        <f>PERCENTILE(O7:O16,C37)</f>
        <v>0.55599999999999994</v>
      </c>
    </row>
    <row r="38" spans="3:15" x14ac:dyDescent="0.2">
      <c r="C38" s="31">
        <v>0.35</v>
      </c>
      <c r="D38" s="62">
        <f>PERCENTILE(D7:D16,C38)</f>
        <v>0.20140000000000002</v>
      </c>
      <c r="E38" s="62">
        <f>PERCENTILE(E7:E16,C38)</f>
        <v>6.0550000000000014E-2</v>
      </c>
      <c r="F38" s="62">
        <f>PERCENTILE(F7:F16,C38)</f>
        <v>4.1250000000000009E-2</v>
      </c>
      <c r="G38" s="62">
        <f>PERCENTILE(G7:G16,C38)</f>
        <v>1.8770000000000005E-2</v>
      </c>
      <c r="H38" s="62">
        <f>PERCENTILE(H7:H16,C38)</f>
        <v>3.993E-2</v>
      </c>
      <c r="I38" s="62">
        <f>PERCENTILE(I7:I16,C38)</f>
        <v>-0.22838</v>
      </c>
      <c r="J38" s="62">
        <f>PERCENTILE(J7:J16,C38)</f>
        <v>-0.22934500000000002</v>
      </c>
      <c r="K38" s="62">
        <f>PERCENTILE(K7:K16,C38)</f>
        <v>-0.31775000000000003</v>
      </c>
      <c r="L38" s="62">
        <f>PERCENTILE(L7:L16,C38)</f>
        <v>0.28764000000000001</v>
      </c>
      <c r="M38" s="65">
        <f>PERCENTILE(M7:M16,C38)</f>
        <v>1.5499999999999998</v>
      </c>
      <c r="N38" s="62">
        <f>PERCENTILE(N7:N16,C38)</f>
        <v>7.1560000000000012E-2</v>
      </c>
      <c r="O38" s="68">
        <f>PERCENTILE(O7:O16,C38)</f>
        <v>0.58599999999999997</v>
      </c>
    </row>
    <row r="39" spans="3:15" x14ac:dyDescent="0.2">
      <c r="C39" s="31">
        <v>0.4</v>
      </c>
      <c r="D39" s="62">
        <f>PERCENTILE(D7:D16,C39)</f>
        <v>0.20860000000000001</v>
      </c>
      <c r="E39" s="62">
        <f>PERCENTILE(E7:E16,C39)</f>
        <v>7.7199999999999991E-2</v>
      </c>
      <c r="F39" s="62">
        <f>PERCENTILE(F7:F16,C39)</f>
        <v>5.6999999999999981E-2</v>
      </c>
      <c r="G39" s="62">
        <f>PERCENTILE(G7:G16,C39)</f>
        <v>2.4079999999999997E-2</v>
      </c>
      <c r="H39" s="62">
        <f>PERCENTILE(H7:H16,C39)</f>
        <v>4.002E-2</v>
      </c>
      <c r="I39" s="62">
        <f>PERCENTILE(I7:I16,C39)</f>
        <v>-0.22012000000000001</v>
      </c>
      <c r="J39" s="62">
        <f>PERCENTILE(J7:J16,C39)</f>
        <v>-0.22448000000000001</v>
      </c>
      <c r="K39" s="62">
        <f>PERCENTILE(K7:K16,C39)</f>
        <v>-0.28449999999999998</v>
      </c>
      <c r="L39" s="62">
        <f>PERCENTILE(L7:L16,C39)</f>
        <v>0.29488000000000003</v>
      </c>
      <c r="M39" s="65">
        <f>PERCENTILE(M7:M16,C39)</f>
        <v>1.7000000000000002</v>
      </c>
      <c r="N39" s="62">
        <f>PERCENTILE(N7:N16,C39)</f>
        <v>7.6240000000000002E-2</v>
      </c>
      <c r="O39" s="68">
        <f>PERCENTILE(O7:O16,C39)</f>
        <v>0.60399999999999998</v>
      </c>
    </row>
    <row r="40" spans="3:15" x14ac:dyDescent="0.2">
      <c r="C40" s="31">
        <v>0.45</v>
      </c>
      <c r="D40" s="62">
        <f>PERCENTILE(D7:D16,C40)</f>
        <v>0.2165</v>
      </c>
      <c r="E40" s="62">
        <f>PERCENTILE(E7:E16,C40)</f>
        <v>9.4099999999999989E-2</v>
      </c>
      <c r="F40" s="62">
        <f>PERCENTILE(F7:F16,C40)</f>
        <v>7.304999999999999E-2</v>
      </c>
      <c r="G40" s="62">
        <f>PERCENTILE(G7:G16,C40)</f>
        <v>3.1524999999999991E-2</v>
      </c>
      <c r="H40" s="62">
        <f>PERCENTILE(H7:H16,C40)</f>
        <v>4.213999999999999E-2</v>
      </c>
      <c r="I40" s="62">
        <f>PERCENTILE(I7:I16,C40)</f>
        <v>-0.20791499999999999</v>
      </c>
      <c r="J40" s="62">
        <f>PERCENTILE(J7:J16,C40)</f>
        <v>-0.2205</v>
      </c>
      <c r="K40" s="62">
        <f>PERCENTILE(K7:K16,C40)</f>
        <v>-0.26389499999999999</v>
      </c>
      <c r="L40" s="62">
        <f>PERCENTILE(L7:L16,C40)</f>
        <v>0.30243999999999999</v>
      </c>
      <c r="M40" s="65">
        <f>PERCENTILE(M7:M16,C40)</f>
        <v>1.85</v>
      </c>
      <c r="N40" s="62">
        <f>PERCENTILE(N7:N16,C40)</f>
        <v>8.1379999999999994E-2</v>
      </c>
      <c r="O40" s="68">
        <f>PERCENTILE(O7:O16,C40)</f>
        <v>0.62149999999999994</v>
      </c>
    </row>
    <row r="41" spans="3:15" x14ac:dyDescent="0.2">
      <c r="C41" s="31">
        <v>0.5</v>
      </c>
      <c r="D41" s="62">
        <f>PERCENTILE(D7:D16,C41)</f>
        <v>0.22999999999999998</v>
      </c>
      <c r="E41" s="62">
        <f>PERCENTILE(E7:E16,C41)</f>
        <v>0.113</v>
      </c>
      <c r="F41" s="62">
        <f>PERCENTILE(F7:F16,C41)</f>
        <v>9.1499999999999998E-2</v>
      </c>
      <c r="G41" s="62">
        <f>PERCENTILE(G7:G16,C41)</f>
        <v>5.6050000000000003E-2</v>
      </c>
      <c r="H41" s="62">
        <f>PERCENTILE(H7:H16,C41)</f>
        <v>6.0499999999999998E-2</v>
      </c>
      <c r="I41" s="62">
        <f>PERCENTILE(I7:I16,C41)</f>
        <v>-0.19045000000000001</v>
      </c>
      <c r="J41" s="62">
        <f>PERCENTILE(J7:J16,C41)</f>
        <v>-0.2177</v>
      </c>
      <c r="K41" s="62">
        <f>PERCENTILE(K7:K16,C41)</f>
        <v>-0.26014999999999999</v>
      </c>
      <c r="L41" s="62">
        <f>PERCENTILE(L7:L16,C41)</f>
        <v>0.31</v>
      </c>
      <c r="M41" s="65">
        <f>PERCENTILE(M7:M16,C41)</f>
        <v>2</v>
      </c>
      <c r="N41" s="62">
        <f>PERCENTILE(N7:N16,C41)</f>
        <v>9.0200000000000002E-2</v>
      </c>
      <c r="O41" s="68">
        <f>PERCENTILE(O7:O16,C41)</f>
        <v>0.63500000000000001</v>
      </c>
    </row>
    <row r="42" spans="3:15" x14ac:dyDescent="0.2">
      <c r="C42" s="31">
        <v>0.55000000000000004</v>
      </c>
      <c r="D42" s="62">
        <f>PERCENTILE(D7:D16,C42)</f>
        <v>0.24349999999999999</v>
      </c>
      <c r="E42" s="62">
        <f>PERCENTILE(E7:E16,C42)</f>
        <v>0.13190000000000002</v>
      </c>
      <c r="F42" s="62">
        <f>PERCENTILE(F7:F16,C42)</f>
        <v>0.10995000000000001</v>
      </c>
      <c r="G42" s="62">
        <f>PERCENTILE(G7:G16,C42)</f>
        <v>8.0575000000000008E-2</v>
      </c>
      <c r="H42" s="62">
        <f>PERCENTILE(H7:H16,C42)</f>
        <v>7.8860000000000013E-2</v>
      </c>
      <c r="I42" s="62">
        <f>PERCENTILE(I7:I16,C42)</f>
        <v>-0.17298499999999997</v>
      </c>
      <c r="J42" s="62">
        <f>PERCENTILE(J7:J16,C42)</f>
        <v>-0.21490000000000001</v>
      </c>
      <c r="K42" s="62">
        <f>PERCENTILE(K7:K16,C42)</f>
        <v>-0.25640499999999999</v>
      </c>
      <c r="L42" s="62">
        <f>PERCENTILE(L7:L16,C42)</f>
        <v>0.31551999999999997</v>
      </c>
      <c r="M42" s="65">
        <f>PERCENTILE(M7:M16,C42)</f>
        <v>2.1500000000000004</v>
      </c>
      <c r="N42" s="62">
        <f>PERCENTILE(N7:N16,C42)</f>
        <v>9.9020000000000011E-2</v>
      </c>
      <c r="O42" s="68">
        <f>PERCENTILE(O7:O16,C42)</f>
        <v>0.64850000000000008</v>
      </c>
    </row>
    <row r="43" spans="3:15" x14ac:dyDescent="0.2">
      <c r="C43" s="31">
        <v>0.6</v>
      </c>
      <c r="D43" s="62">
        <f>PERCENTILE(D7:D16,C43)</f>
        <v>0.27819999999999995</v>
      </c>
      <c r="E43" s="62">
        <f>PERCENTILE(E7:E16,C43)</f>
        <v>0.13400000000000001</v>
      </c>
      <c r="F43" s="62">
        <f>PERCENTILE(F7:F16,C43)</f>
        <v>0.1192</v>
      </c>
      <c r="G43" s="62">
        <f>PERCENTILE(G7:G16,C43)</f>
        <v>8.8899999999999993E-2</v>
      </c>
      <c r="H43" s="62">
        <f>PERCENTILE(H7:H16,C43)</f>
        <v>8.2099999999999992E-2</v>
      </c>
      <c r="I43" s="62">
        <f>PERCENTILE(I7:I16,C43)</f>
        <v>-0.15529999999999999</v>
      </c>
      <c r="J43" s="62">
        <f>PERCENTILE(J7:J16,C43)</f>
        <v>-0.19467999999999999</v>
      </c>
      <c r="K43" s="62">
        <f>PERCENTILE(K7:K16,C43)</f>
        <v>-0.24706</v>
      </c>
      <c r="L43" s="62">
        <f>PERCENTILE(L7:L16,C43)</f>
        <v>0.32103999999999999</v>
      </c>
      <c r="M43" s="65">
        <f>PERCENTILE(M7:M16,C43)</f>
        <v>2.2999999999999998</v>
      </c>
      <c r="N43" s="62">
        <f>PERCENTILE(N7:N16,C43)</f>
        <v>0.10152</v>
      </c>
      <c r="O43" s="68">
        <f>PERCENTILE(O7:O16,C43)</f>
        <v>0.72999999999999987</v>
      </c>
    </row>
    <row r="44" spans="3:15" x14ac:dyDescent="0.2">
      <c r="C44" s="31">
        <v>0.65</v>
      </c>
      <c r="D44" s="62">
        <f>PERCENTILE(D7:D16,C44)</f>
        <v>0.31555000000000005</v>
      </c>
      <c r="E44" s="62">
        <f>PERCENTILE(E7:E16,C44)</f>
        <v>0.13400000000000001</v>
      </c>
      <c r="F44" s="62">
        <f>PERCENTILE(F7:F16,C44)</f>
        <v>0.12730000000000002</v>
      </c>
      <c r="G44" s="62">
        <f>PERCENTILE(G7:G16,C44)</f>
        <v>9.5200000000000007E-2</v>
      </c>
      <c r="H44" s="62">
        <f>PERCENTILE(H7:H16,C44)</f>
        <v>8.3449999999999996E-2</v>
      </c>
      <c r="I44" s="62">
        <f>PERCENTILE(I7:I16,C44)</f>
        <v>-0.13745000000000002</v>
      </c>
      <c r="J44" s="62">
        <f>PERCENTILE(J7:J16,C44)</f>
        <v>-0.16139500000000001</v>
      </c>
      <c r="K44" s="62">
        <f>PERCENTILE(K7:K16,C44)</f>
        <v>-0.233515</v>
      </c>
      <c r="L44" s="62">
        <f>PERCENTILE(L7:L16,C44)</f>
        <v>0.33916000000000002</v>
      </c>
      <c r="M44" s="65">
        <f>PERCENTILE(M7:M16,C44)</f>
        <v>2.4500000000000002</v>
      </c>
      <c r="N44" s="62">
        <f>PERCENTILE(N7:N16,C44)</f>
        <v>0.10323</v>
      </c>
      <c r="O44" s="68">
        <f>PERCENTILE(O7:O16,C44)</f>
        <v>0.82000000000000006</v>
      </c>
    </row>
    <row r="45" spans="3:15" x14ac:dyDescent="0.2">
      <c r="C45" s="31">
        <v>0.7</v>
      </c>
      <c r="D45" s="62">
        <f>PERCENTILE(D7:D16,C45)</f>
        <v>0.3523</v>
      </c>
      <c r="E45" s="62">
        <f>PERCENTILE(E7:E16,C45)</f>
        <v>0.14180000000000001</v>
      </c>
      <c r="F45" s="62">
        <f>PERCENTILE(F7:F16,C45)</f>
        <v>0.13719999999999999</v>
      </c>
      <c r="G45" s="62">
        <f>PERCENTILE(G7:G16,C45)</f>
        <v>0.10378</v>
      </c>
      <c r="H45" s="62">
        <f>PERCENTILE(H7:H16,C45)</f>
        <v>8.4860000000000005E-2</v>
      </c>
      <c r="I45" s="62">
        <f>PERCENTILE(I7:I16,C45)</f>
        <v>-0.11960000000000004</v>
      </c>
      <c r="J45" s="62">
        <f>PERCENTILE(J7:J16,C45)</f>
        <v>-0.12811000000000006</v>
      </c>
      <c r="K45" s="62">
        <f>PERCENTILE(K7:K16,C45)</f>
        <v>-0.21997</v>
      </c>
      <c r="L45" s="62">
        <f>PERCENTILE(L7:L16,C45)</f>
        <v>0.36987999999999999</v>
      </c>
      <c r="M45" s="65">
        <f>PERCENTILE(M7:M16,C45)</f>
        <v>2.52</v>
      </c>
      <c r="N45" s="62">
        <f>PERCENTILE(N7:N16,C45)</f>
        <v>0.11384999999999999</v>
      </c>
      <c r="O45" s="68">
        <f>PERCENTILE(O7:O16,C45)</f>
        <v>0.871</v>
      </c>
    </row>
    <row r="46" spans="3:15" x14ac:dyDescent="0.2">
      <c r="C46" s="31">
        <v>0.75</v>
      </c>
      <c r="D46" s="62">
        <f>PERCENTILE(D7:D16,C46)</f>
        <v>0.38874999999999998</v>
      </c>
      <c r="E46" s="62">
        <f>PERCENTILE(E7:E16,C46)</f>
        <v>0.1535</v>
      </c>
      <c r="F46" s="62">
        <f>PERCENTILE(F7:F16,C46)</f>
        <v>0.14799999999999999</v>
      </c>
      <c r="G46" s="62">
        <f>PERCENTILE(G7:G16,C46)</f>
        <v>0.1135</v>
      </c>
      <c r="H46" s="62">
        <f>PERCENTILE(H7:H16,C46)</f>
        <v>8.6300000000000002E-2</v>
      </c>
      <c r="I46" s="62">
        <f>PERCENTILE(I7:I16,C46)</f>
        <v>-8.0225000000000005E-2</v>
      </c>
      <c r="J46" s="62">
        <f>PERCENTILE(J7:J16,C46)</f>
        <v>-8.1224999999999992E-2</v>
      </c>
      <c r="K46" s="62">
        <f>PERCENTILE(K7:K16,C46)</f>
        <v>-0.16339999999999999</v>
      </c>
      <c r="L46" s="62">
        <f>PERCENTILE(L7:L16,C46)</f>
        <v>0.40060000000000001</v>
      </c>
      <c r="M46" s="65">
        <f>PERCENTILE(M7:M16,C46)</f>
        <v>2.5499999999999998</v>
      </c>
      <c r="N46" s="62">
        <f>PERCENTILE(N7:N16,C46)</f>
        <v>0.12892500000000001</v>
      </c>
      <c r="O46" s="68">
        <f>PERCENTILE(O7:O16,C46)</f>
        <v>0.90250000000000008</v>
      </c>
    </row>
    <row r="47" spans="3:15" x14ac:dyDescent="0.2">
      <c r="C47" s="31">
        <v>0.8</v>
      </c>
      <c r="D47" s="62">
        <f>PERCENTILE(D7:D16,C47)</f>
        <v>0.41419999999999996</v>
      </c>
      <c r="E47" s="62">
        <f>PERCENTILE(E7:E16,C47)</f>
        <v>0.18039999999999992</v>
      </c>
      <c r="F47" s="62">
        <f>PERCENTILE(F7:F16,C47)</f>
        <v>0.16879999999999995</v>
      </c>
      <c r="G47" s="62">
        <f>PERCENTILE(G7:G16,C47)</f>
        <v>0.12559999999999999</v>
      </c>
      <c r="H47" s="62">
        <f>PERCENTILE(H7:H16,C47)</f>
        <v>8.793999999999999E-2</v>
      </c>
      <c r="I47" s="62">
        <f>PERCENTILE(I7:I16,C47)</f>
        <v>-3.2239999999999935E-2</v>
      </c>
      <c r="J47" s="62">
        <f>PERCENTILE(J7:J16,C47)</f>
        <v>-2.8899999999999926E-2</v>
      </c>
      <c r="K47" s="62">
        <f>PERCENTILE(K7:K16,C47)</f>
        <v>-8.9619999999999894E-2</v>
      </c>
      <c r="L47" s="62">
        <f>PERCENTILE(L7:L16,C47)</f>
        <v>0.46928000000000009</v>
      </c>
      <c r="M47" s="65">
        <f>PERCENTILE(M7:M16,C47)</f>
        <v>2.58</v>
      </c>
      <c r="N47" s="62">
        <f>PERCENTILE(N7:N16,C47)</f>
        <v>0.14384</v>
      </c>
      <c r="O47" s="68">
        <f>PERCENTILE(O7:O16,C47)</f>
        <v>0.96199999999999986</v>
      </c>
    </row>
    <row r="48" spans="3:15" x14ac:dyDescent="0.2">
      <c r="C48" s="31">
        <v>0.85</v>
      </c>
      <c r="D48" s="62">
        <f>PERCENTILE(D7:D16,C48)</f>
        <v>0.42589999999999995</v>
      </c>
      <c r="E48" s="62">
        <f>PERCENTILE(E7:E16,C48)</f>
        <v>0.22629999999999986</v>
      </c>
      <c r="F48" s="62">
        <f>PERCENTILE(F7:F16,C48)</f>
        <v>0.20209999999999989</v>
      </c>
      <c r="G48" s="62">
        <f>PERCENTILE(G7:G16,C48)</f>
        <v>0.14067499999999997</v>
      </c>
      <c r="H48" s="62">
        <f>PERCENTILE(H7:H16,C48)</f>
        <v>8.9829999999999993E-2</v>
      </c>
      <c r="I48" s="62">
        <f>PERCENTILE(I7:I16,C48)</f>
        <v>1.5745000000000023E-2</v>
      </c>
      <c r="J48" s="62">
        <f>PERCENTILE(J7:J16,C48)</f>
        <v>2.3425000000000015E-2</v>
      </c>
      <c r="K48" s="62">
        <f>PERCENTILE(K7:K16,C48)</f>
        <v>-1.5839999999999965E-2</v>
      </c>
      <c r="L48" s="62">
        <f>PERCENTILE(L7:L16,C48)</f>
        <v>0.53795999999999999</v>
      </c>
      <c r="M48" s="65">
        <f>PERCENTILE(M7:M16,C48)</f>
        <v>2.6999999999999997</v>
      </c>
      <c r="N48" s="62">
        <f>PERCENTILE(N7:N16,C48)</f>
        <v>0.15855499999999997</v>
      </c>
      <c r="O48" s="68">
        <f>PERCENTILE(O7:O16,C48)</f>
        <v>1.0564999999999996</v>
      </c>
    </row>
    <row r="49" spans="3:15" x14ac:dyDescent="0.2">
      <c r="C49" s="31">
        <v>0.9</v>
      </c>
      <c r="D49" s="62">
        <f>PERCENTILE(D7:D16,C49)</f>
        <v>0.43580000000000002</v>
      </c>
      <c r="E49" s="62">
        <f>PERCENTILE(E7:E16,C49)</f>
        <v>0.27339999999999998</v>
      </c>
      <c r="F49" s="62">
        <f>PERCENTILE(F7:F16,C49)</f>
        <v>0.23419999999999999</v>
      </c>
      <c r="G49" s="62">
        <f>PERCENTILE(G7:G16,C49)</f>
        <v>0.15537000000000001</v>
      </c>
      <c r="H49" s="62">
        <f>PERCENTILE(H7:H16,C49)</f>
        <v>9.4500000000000001E-2</v>
      </c>
      <c r="I49" s="62">
        <f>PERCENTILE(I7:I16,C49)</f>
        <v>0.11799999999999994</v>
      </c>
      <c r="J49" s="62">
        <f>PERCENTILE(J7:J16,C49)</f>
        <v>0.16040999999999994</v>
      </c>
      <c r="K49" s="62">
        <f>PERCENTILE(K7:K16,C49)</f>
        <v>2.4669999999999984E-2</v>
      </c>
      <c r="L49" s="62">
        <f>PERCENTILE(L7:L16,C49)</f>
        <v>0.59077999999999997</v>
      </c>
      <c r="M49" s="65">
        <f>PERCENTILE(M7:M16,C49)</f>
        <v>3.0000000000000004</v>
      </c>
      <c r="N49" s="62">
        <f>PERCENTILE(N7:N16,C49)</f>
        <v>0.19097999999999993</v>
      </c>
      <c r="O49" s="68">
        <f>PERCENTILE(O7:O16,C49)</f>
        <v>1.1539999999999999</v>
      </c>
    </row>
    <row r="50" spans="3:15" x14ac:dyDescent="0.2">
      <c r="C50" s="31">
        <v>0.95</v>
      </c>
      <c r="D50" s="62">
        <f>PERCENTILE(D7:D16,C50)</f>
        <v>0.43940000000000001</v>
      </c>
      <c r="E50" s="62">
        <f>PERCENTILE(E7:E16,C50)</f>
        <v>0.32469999999999988</v>
      </c>
      <c r="F50" s="62">
        <f>PERCENTILE(F7:F16,C50)</f>
        <v>0.26209999999999994</v>
      </c>
      <c r="G50" s="62">
        <f>PERCENTILE(G7:G16,C50)</f>
        <v>0.16873499999999997</v>
      </c>
      <c r="H50" s="62">
        <f>PERCENTILE(H7:H16,C50)</f>
        <v>0.10889999999999997</v>
      </c>
      <c r="I50" s="62">
        <f>PERCENTILE(I7:I16,C50)</f>
        <v>0.22929999999999984</v>
      </c>
      <c r="J50" s="62">
        <f>PERCENTILE(J7:J16,C50)</f>
        <v>0.31150499999999975</v>
      </c>
      <c r="K50" s="62">
        <f>PERCENTILE(K7:K16,C50)</f>
        <v>5.9634999999999952E-2</v>
      </c>
      <c r="L50" s="62">
        <f>PERCENTILE(L7:L16,C50)</f>
        <v>0.62773999999999996</v>
      </c>
      <c r="M50" s="65">
        <f>PERCENTILE(M7:M16,C50)</f>
        <v>3.2999999999999994</v>
      </c>
      <c r="N50" s="62">
        <f>PERCENTILE(N7:N16,C50)</f>
        <v>0.28538999999999981</v>
      </c>
      <c r="O50" s="68">
        <f>PERCENTILE(O7:O16,C50)</f>
        <v>1.2619999999999998</v>
      </c>
    </row>
    <row r="51" spans="3:15" ht="10.5" thickBot="1" x14ac:dyDescent="0.25">
      <c r="C51" s="33">
        <v>1</v>
      </c>
      <c r="D51" s="63">
        <f>PERCENTILE(D7:D16,C51)</f>
        <v>0.443</v>
      </c>
      <c r="E51" s="63">
        <f>PERCENTILE(E7:E16,C51)</f>
        <v>0.376</v>
      </c>
      <c r="F51" s="63">
        <f>PERCENTILE(F7:F16,C51)</f>
        <v>0.28999999999999998</v>
      </c>
      <c r="G51" s="63">
        <f>PERCENTILE(G7:G16,C51)</f>
        <v>0.18210000000000001</v>
      </c>
      <c r="H51" s="63">
        <f>PERCENTILE(H7:H16,C51)</f>
        <v>0.12330000000000001</v>
      </c>
      <c r="I51" s="63">
        <f>PERCENTILE(I7:I16,C51)</f>
        <v>0.34060000000000001</v>
      </c>
      <c r="J51" s="63">
        <f>PERCENTILE(J7:J16,C51)</f>
        <v>0.46260000000000001</v>
      </c>
      <c r="K51" s="63">
        <f>PERCENTILE(K7:K16,C51)</f>
        <v>9.4600000000000004E-2</v>
      </c>
      <c r="L51" s="63">
        <f>PERCENTILE(L7:L16,C51)</f>
        <v>0.66469999999999996</v>
      </c>
      <c r="M51" s="66">
        <f>PERCENTILE(M7:M16,C51)</f>
        <v>3.6</v>
      </c>
      <c r="N51" s="63">
        <f>PERCENTILE(N7:N16,C51)</f>
        <v>0.37980000000000003</v>
      </c>
      <c r="O51" s="69">
        <f>PERCENTILE(O7:O16,C51)</f>
        <v>1.37</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54A52-32D2-4168-852B-A04469108CCE}">
  <sheetPr codeName="Sheet3">
    <outlinePr summaryBelow="0" summaryRight="0"/>
  </sheetPr>
  <dimension ref="A4:IU50"/>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115.76</v>
      </c>
      <c r="C15" s="13">
        <v>263.2</v>
      </c>
      <c r="D15" s="13">
        <v>30464.2</v>
      </c>
      <c r="E15" s="13">
        <v>7571</v>
      </c>
      <c r="F15" s="12">
        <v>1970</v>
      </c>
      <c r="G15" s="12">
        <v>-125</v>
      </c>
      <c r="H15" s="13">
        <v>39880.199999999997</v>
      </c>
      <c r="I15" s="12">
        <v>41.16</v>
      </c>
      <c r="J15" s="16">
        <v>44973</v>
      </c>
      <c r="K15" s="13">
        <v>51412</v>
      </c>
      <c r="L15" s="13">
        <v>-625</v>
      </c>
      <c r="M15" s="13">
        <v>-1472</v>
      </c>
      <c r="N15" s="12">
        <v>-5.22</v>
      </c>
      <c r="O15" s="12">
        <v>56496.75</v>
      </c>
      <c r="P15" s="14" t="s">
        <v>26</v>
      </c>
      <c r="Q15" s="12">
        <v>4.3</v>
      </c>
    </row>
    <row r="16" spans="1:255" ht="12" customHeight="1" x14ac:dyDescent="0.2">
      <c r="A16" s="7" t="s">
        <v>27</v>
      </c>
      <c r="B16" s="12">
        <v>136.4</v>
      </c>
      <c r="C16" s="13">
        <v>585.4</v>
      </c>
      <c r="D16" s="13">
        <v>79844</v>
      </c>
      <c r="E16" s="13">
        <v>6322</v>
      </c>
      <c r="F16" s="12">
        <v>493.9</v>
      </c>
      <c r="G16" s="14" t="s">
        <v>26</v>
      </c>
      <c r="H16" s="13">
        <v>86659.9</v>
      </c>
      <c r="I16" s="12">
        <v>25.79</v>
      </c>
      <c r="J16" s="16">
        <v>44984</v>
      </c>
      <c r="K16" s="13">
        <v>49586.400000000001</v>
      </c>
      <c r="L16" s="13">
        <v>1727</v>
      </c>
      <c r="M16" s="13">
        <v>1390.4</v>
      </c>
      <c r="N16" s="12">
        <v>1.18</v>
      </c>
      <c r="O16" s="12">
        <v>62667.23</v>
      </c>
      <c r="P16" s="14" t="s">
        <v>26</v>
      </c>
      <c r="Q16" s="12">
        <v>6.7</v>
      </c>
    </row>
    <row r="17" spans="1:17" ht="12" customHeight="1" x14ac:dyDescent="0.2">
      <c r="A17" s="7" t="s">
        <v>28</v>
      </c>
      <c r="B17" s="12">
        <v>201.56</v>
      </c>
      <c r="C17" s="13">
        <v>414.2</v>
      </c>
      <c r="D17" s="13">
        <v>83477.8</v>
      </c>
      <c r="E17" s="13">
        <v>-2288</v>
      </c>
      <c r="F17" s="14" t="s">
        <v>26</v>
      </c>
      <c r="G17" s="14" t="s">
        <v>26</v>
      </c>
      <c r="H17" s="13">
        <v>81189.8</v>
      </c>
      <c r="I17" s="12">
        <v>75.25</v>
      </c>
      <c r="J17" s="16">
        <v>45041</v>
      </c>
      <c r="K17" s="13">
        <v>44157</v>
      </c>
      <c r="L17" s="13">
        <v>7082.3</v>
      </c>
      <c r="M17" s="13">
        <v>6797</v>
      </c>
      <c r="N17" s="12">
        <v>12.49</v>
      </c>
      <c r="O17" s="12">
        <v>41992.43</v>
      </c>
      <c r="P17" s="14" t="s">
        <v>26</v>
      </c>
      <c r="Q17" s="12">
        <v>18.72</v>
      </c>
    </row>
    <row r="18" spans="1:17" ht="12" customHeight="1" x14ac:dyDescent="0.2">
      <c r="A18" s="7" t="s">
        <v>29</v>
      </c>
      <c r="B18" s="12">
        <v>53.04</v>
      </c>
      <c r="C18" s="13">
        <v>733.7</v>
      </c>
      <c r="D18" s="13">
        <v>38913.699999999997</v>
      </c>
      <c r="E18" s="13">
        <v>26187</v>
      </c>
      <c r="F18" s="12">
        <v>485</v>
      </c>
      <c r="G18" s="12">
        <v>2233</v>
      </c>
      <c r="H18" s="13">
        <v>67818.7</v>
      </c>
      <c r="I18" s="12">
        <v>47.52</v>
      </c>
      <c r="J18" s="16">
        <v>44974</v>
      </c>
      <c r="K18" s="13">
        <v>56418</v>
      </c>
      <c r="L18" s="13">
        <v>21191</v>
      </c>
      <c r="M18" s="13">
        <v>16343</v>
      </c>
      <c r="N18" s="12">
        <v>13.01</v>
      </c>
      <c r="O18" s="12">
        <v>49399.9</v>
      </c>
      <c r="P18" s="14" t="s">
        <v>26</v>
      </c>
      <c r="Q18" s="12">
        <v>6.17</v>
      </c>
    </row>
    <row r="19" spans="1:17" ht="12" customHeight="1" x14ac:dyDescent="0.2">
      <c r="A19" s="7" t="s">
        <v>30</v>
      </c>
      <c r="B19" s="12">
        <v>70.989999999999995</v>
      </c>
      <c r="C19" s="13">
        <v>310.2</v>
      </c>
      <c r="D19" s="13">
        <v>22023.599999999999</v>
      </c>
      <c r="E19" s="13">
        <v>4206</v>
      </c>
      <c r="F19" s="12">
        <v>334</v>
      </c>
      <c r="G19" s="14" t="s">
        <v>26</v>
      </c>
      <c r="H19" s="13">
        <v>26563.599999999999</v>
      </c>
      <c r="I19" s="12">
        <v>36.36</v>
      </c>
      <c r="J19" s="16">
        <v>45043</v>
      </c>
      <c r="K19" s="13">
        <v>22890</v>
      </c>
      <c r="L19" s="13">
        <v>3075</v>
      </c>
      <c r="M19" s="13">
        <v>2570</v>
      </c>
      <c r="N19" s="12">
        <v>5.8</v>
      </c>
      <c r="O19" s="12">
        <v>23715.48</v>
      </c>
      <c r="P19" s="14" t="s">
        <v>26</v>
      </c>
      <c r="Q19" s="12">
        <v>8.6999999999999993</v>
      </c>
    </row>
    <row r="20" spans="1:17" ht="12" customHeight="1" x14ac:dyDescent="0.2">
      <c r="A20" s="7" t="s">
        <v>31</v>
      </c>
      <c r="B20" s="12">
        <v>58.92</v>
      </c>
      <c r="C20" s="13">
        <v>274</v>
      </c>
      <c r="D20" s="13">
        <v>16141.3</v>
      </c>
      <c r="E20" s="13">
        <v>1591.9</v>
      </c>
      <c r="F20" s="14" t="s">
        <v>26</v>
      </c>
      <c r="G20" s="14" t="s">
        <v>26</v>
      </c>
      <c r="H20" s="13">
        <v>17753.099999999999</v>
      </c>
      <c r="I20" s="12">
        <v>24.42</v>
      </c>
      <c r="J20" s="16">
        <v>45036</v>
      </c>
      <c r="K20" s="13">
        <v>11146.1</v>
      </c>
      <c r="L20" s="13">
        <v>1498.5</v>
      </c>
      <c r="M20" s="13">
        <v>1453.3</v>
      </c>
      <c r="N20" s="12">
        <v>3.88</v>
      </c>
      <c r="O20" s="12">
        <v>10537.62</v>
      </c>
      <c r="P20" s="14" t="s">
        <v>26</v>
      </c>
      <c r="Q20" s="12">
        <v>5.05</v>
      </c>
    </row>
    <row r="21" spans="1:17" ht="12" customHeight="1" x14ac:dyDescent="0.2">
      <c r="A21" s="7" t="s">
        <v>32</v>
      </c>
      <c r="B21" s="12">
        <v>41.53</v>
      </c>
      <c r="C21" s="13">
        <v>333.1</v>
      </c>
      <c r="D21" s="13">
        <v>13832.6</v>
      </c>
      <c r="E21" s="13">
        <v>-6196.2</v>
      </c>
      <c r="F21" s="14" t="s">
        <v>26</v>
      </c>
      <c r="G21" s="12">
        <v>101.64</v>
      </c>
      <c r="H21" s="13">
        <v>7738.1</v>
      </c>
      <c r="I21" s="12">
        <v>28.13</v>
      </c>
      <c r="J21" s="16">
        <v>44971</v>
      </c>
      <c r="K21" s="13">
        <v>33964.699999999997</v>
      </c>
      <c r="L21" s="13">
        <v>1862.7</v>
      </c>
      <c r="M21" s="13">
        <v>1206.7</v>
      </c>
      <c r="N21" s="12">
        <v>1.7</v>
      </c>
      <c r="O21" s="12">
        <v>31437.62</v>
      </c>
      <c r="P21" s="14" t="s">
        <v>26</v>
      </c>
      <c r="Q21" s="12">
        <v>3.88</v>
      </c>
    </row>
    <row r="22" spans="1:17" ht="12" customHeight="1" x14ac:dyDescent="0.2">
      <c r="A22" s="7" t="s">
        <v>33</v>
      </c>
      <c r="B22" s="12">
        <v>32.65</v>
      </c>
      <c r="C22" s="13">
        <v>534.29999999999995</v>
      </c>
      <c r="D22" s="13">
        <v>17446.400000000001</v>
      </c>
      <c r="E22" s="13">
        <v>-14800.3</v>
      </c>
      <c r="F22" s="14" t="s">
        <v>26</v>
      </c>
      <c r="G22" s="12">
        <v>342.38</v>
      </c>
      <c r="H22" s="13">
        <v>2988.5</v>
      </c>
      <c r="I22" s="12">
        <v>32.86</v>
      </c>
      <c r="J22" s="16">
        <v>44971</v>
      </c>
      <c r="K22" s="13">
        <v>37223.9</v>
      </c>
      <c r="L22" s="13">
        <v>3440.4</v>
      </c>
      <c r="M22" s="13">
        <v>2655</v>
      </c>
      <c r="N22" s="12">
        <v>1.98</v>
      </c>
      <c r="O22" s="12">
        <v>38923.35</v>
      </c>
      <c r="P22" s="14" t="s">
        <v>26</v>
      </c>
      <c r="Q22" s="12">
        <v>3.49</v>
      </c>
    </row>
    <row r="23" spans="1:17" ht="12" customHeight="1" x14ac:dyDescent="0.2">
      <c r="A23" s="7" t="s">
        <v>34</v>
      </c>
      <c r="B23" s="12">
        <v>180.19</v>
      </c>
      <c r="C23" s="13">
        <v>494.7</v>
      </c>
      <c r="D23" s="13">
        <v>89143.8</v>
      </c>
      <c r="E23" s="13">
        <v>13975</v>
      </c>
      <c r="F23" s="14" t="s">
        <v>26</v>
      </c>
      <c r="G23" s="12">
        <v>243</v>
      </c>
      <c r="H23" s="13">
        <v>103361.8</v>
      </c>
      <c r="I23" s="12">
        <v>-15.76</v>
      </c>
      <c r="J23" s="16">
        <v>45036</v>
      </c>
      <c r="K23" s="13">
        <v>21095</v>
      </c>
      <c r="L23" s="13">
        <v>5519</v>
      </c>
      <c r="M23" s="13">
        <v>4811</v>
      </c>
      <c r="N23" s="12">
        <v>6.4</v>
      </c>
      <c r="O23" s="12">
        <v>22635.23</v>
      </c>
      <c r="P23" s="12">
        <v>6327.37</v>
      </c>
      <c r="Q23" s="12">
        <v>7.87</v>
      </c>
    </row>
    <row r="24" spans="1:17" ht="12" customHeight="1" x14ac:dyDescent="0.2">
      <c r="A24" s="7" t="s">
        <v>35</v>
      </c>
      <c r="B24" s="12">
        <v>87</v>
      </c>
      <c r="C24" s="13">
        <v>367</v>
      </c>
      <c r="D24" s="13">
        <v>31926.799999999999</v>
      </c>
      <c r="E24" s="13">
        <v>16865</v>
      </c>
      <c r="F24" s="14" t="s">
        <v>26</v>
      </c>
      <c r="G24" s="12">
        <v>958</v>
      </c>
      <c r="H24" s="13">
        <v>49749.8</v>
      </c>
      <c r="I24" s="12">
        <v>41.45</v>
      </c>
      <c r="J24" s="16">
        <v>44973</v>
      </c>
      <c r="K24" s="13">
        <v>58378</v>
      </c>
      <c r="L24" s="13">
        <v>-2413</v>
      </c>
      <c r="M24" s="13">
        <v>-2537</v>
      </c>
      <c r="N24" s="12">
        <v>-3.93</v>
      </c>
      <c r="O24" s="12">
        <v>51936.01</v>
      </c>
      <c r="P24" s="14" t="s">
        <v>26</v>
      </c>
      <c r="Q24" s="12">
        <v>12.09</v>
      </c>
    </row>
    <row r="25" spans="1:17" ht="10.5" x14ac:dyDescent="0.2">
      <c r="A25" s="7" t="s">
        <v>36</v>
      </c>
      <c r="B25" s="12">
        <v>181.14</v>
      </c>
      <c r="C25" s="13">
        <v>231</v>
      </c>
      <c r="D25" s="13">
        <v>41839.1</v>
      </c>
      <c r="E25" s="13">
        <v>6525</v>
      </c>
      <c r="F25" s="14" t="s">
        <v>26</v>
      </c>
      <c r="G25" s="14" t="s">
        <v>26</v>
      </c>
      <c r="H25" s="13">
        <v>48364.1</v>
      </c>
      <c r="I25" s="12">
        <v>81.42</v>
      </c>
      <c r="J25" s="16">
        <v>45035</v>
      </c>
      <c r="K25" s="13">
        <v>37779</v>
      </c>
      <c r="L25" s="13">
        <v>4248</v>
      </c>
      <c r="M25" s="13">
        <v>3452</v>
      </c>
      <c r="N25" s="12">
        <v>11.7</v>
      </c>
      <c r="O25" s="12">
        <v>38346.879999999997</v>
      </c>
      <c r="P25" s="14" t="s">
        <v>26</v>
      </c>
      <c r="Q25" s="12">
        <v>15.26</v>
      </c>
    </row>
    <row r="26" spans="1:17" ht="10.5"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ht="10.5" x14ac:dyDescent="0.2">
      <c r="A28" s="7" t="s">
        <v>38</v>
      </c>
      <c r="B28" s="12">
        <v>201.56</v>
      </c>
      <c r="C28" s="13">
        <v>733.7</v>
      </c>
      <c r="D28" s="13">
        <v>89143.8</v>
      </c>
      <c r="E28" s="13">
        <v>26187</v>
      </c>
      <c r="F28" s="12">
        <v>1970</v>
      </c>
      <c r="G28" s="12">
        <v>2233</v>
      </c>
      <c r="H28" s="13">
        <v>103361.8</v>
      </c>
      <c r="I28" s="12">
        <v>75.25</v>
      </c>
      <c r="J28" s="17" t="s">
        <v>26</v>
      </c>
      <c r="K28" s="13">
        <v>58378</v>
      </c>
      <c r="L28" s="13">
        <v>21191</v>
      </c>
      <c r="M28" s="13">
        <v>16343</v>
      </c>
      <c r="N28" s="12">
        <v>13.01</v>
      </c>
      <c r="O28" s="12">
        <v>62667.23</v>
      </c>
      <c r="P28" s="12">
        <v>6327.37</v>
      </c>
      <c r="Q28" s="12">
        <v>18.72</v>
      </c>
    </row>
    <row r="29" spans="1:17" ht="10.5" x14ac:dyDescent="0.2">
      <c r="A29" s="7" t="s">
        <v>39</v>
      </c>
      <c r="B29" s="12">
        <v>32.65</v>
      </c>
      <c r="C29" s="13">
        <v>263.2</v>
      </c>
      <c r="D29" s="13">
        <v>13832.6</v>
      </c>
      <c r="E29" s="13">
        <v>-14800.3</v>
      </c>
      <c r="F29" s="12">
        <v>334</v>
      </c>
      <c r="G29" s="12">
        <v>-125</v>
      </c>
      <c r="H29" s="13">
        <v>2988.5</v>
      </c>
      <c r="I29" s="12">
        <v>-15.76</v>
      </c>
      <c r="J29" s="17" t="s">
        <v>26</v>
      </c>
      <c r="K29" s="13">
        <v>11146.1</v>
      </c>
      <c r="L29" s="13">
        <v>-2413</v>
      </c>
      <c r="M29" s="13">
        <v>-2537</v>
      </c>
      <c r="N29" s="12">
        <v>-5.22</v>
      </c>
      <c r="O29" s="12">
        <v>10537.62</v>
      </c>
      <c r="P29" s="12">
        <v>6327.37</v>
      </c>
      <c r="Q29" s="12">
        <v>3.49</v>
      </c>
    </row>
    <row r="30" spans="1:17" ht="10.5" x14ac:dyDescent="0.2">
      <c r="A30" s="7" t="s">
        <v>40</v>
      </c>
      <c r="B30" s="12">
        <v>97.8</v>
      </c>
      <c r="C30" s="13">
        <v>431</v>
      </c>
      <c r="D30" s="13">
        <v>42321.4</v>
      </c>
      <c r="E30" s="13">
        <v>5343.4</v>
      </c>
      <c r="F30" s="12">
        <v>820.73</v>
      </c>
      <c r="G30" s="12">
        <v>625.5</v>
      </c>
      <c r="H30" s="13">
        <v>48370.3</v>
      </c>
      <c r="I30" s="12">
        <v>33.72</v>
      </c>
      <c r="J30" s="17" t="s">
        <v>26</v>
      </c>
      <c r="K30" s="13">
        <v>38627.1</v>
      </c>
      <c r="L30" s="13">
        <v>4235.8</v>
      </c>
      <c r="M30" s="13">
        <v>3321.7</v>
      </c>
      <c r="N30" s="12">
        <v>3.73</v>
      </c>
      <c r="O30" s="12">
        <v>38974.160000000003</v>
      </c>
      <c r="P30" s="12">
        <v>6327.37</v>
      </c>
      <c r="Q30" s="12">
        <v>7.7</v>
      </c>
    </row>
    <row r="31" spans="1:17" ht="10.5" x14ac:dyDescent="0.2">
      <c r="A31" s="7" t="s">
        <v>41</v>
      </c>
      <c r="B31" s="12">
        <v>79</v>
      </c>
      <c r="C31" s="13">
        <v>390.6</v>
      </c>
      <c r="D31" s="13">
        <v>31195.5</v>
      </c>
      <c r="E31" s="13">
        <v>5264</v>
      </c>
      <c r="F31" s="12">
        <v>489.45</v>
      </c>
      <c r="G31" s="12">
        <v>292.69</v>
      </c>
      <c r="H31" s="13">
        <v>44815</v>
      </c>
      <c r="I31" s="12">
        <v>34.61</v>
      </c>
      <c r="J31" s="17" t="s">
        <v>26</v>
      </c>
      <c r="K31" s="13">
        <v>40690.400000000001</v>
      </c>
      <c r="L31" s="13">
        <v>2468.9</v>
      </c>
      <c r="M31" s="13">
        <v>2011.6</v>
      </c>
      <c r="N31" s="12">
        <v>2.93</v>
      </c>
      <c r="O31" s="12">
        <v>40457.89</v>
      </c>
      <c r="P31" s="12">
        <v>6327.37</v>
      </c>
      <c r="Q31" s="12">
        <v>6.44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BEEB2-A809-48D1-9922-A0D40EC6EA4D}">
  <sheetPr codeName="Sheet4">
    <outlinePr summaryBelow="0" summaryRight="0"/>
  </sheetPr>
  <dimension ref="A4:IU50"/>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46</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47</v>
      </c>
      <c r="B8" s="4" t="s">
        <v>3</v>
      </c>
    </row>
    <row r="9" spans="1:255" ht="10.5" x14ac:dyDescent="0.25">
      <c r="A9" s="3" t="s">
        <v>48</v>
      </c>
      <c r="B9" s="4" t="s">
        <v>5</v>
      </c>
    </row>
    <row r="10" spans="1:255" ht="10.5" x14ac:dyDescent="0.25">
      <c r="A10" s="3" t="s">
        <v>49</v>
      </c>
      <c r="B10" s="5">
        <v>45045</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0.71</v>
      </c>
      <c r="H15" s="14" t="s">
        <v>26</v>
      </c>
      <c r="I15" s="19">
        <v>26.91</v>
      </c>
    </row>
    <row r="16" spans="1:255" ht="12" customHeight="1" x14ac:dyDescent="0.2">
      <c r="A16" s="7" t="s">
        <v>27</v>
      </c>
      <c r="B16" s="14" t="s">
        <v>26</v>
      </c>
      <c r="C16" s="14" t="s">
        <v>26</v>
      </c>
      <c r="D16" s="14" t="s">
        <v>26</v>
      </c>
      <c r="E16" s="14" t="s">
        <v>26</v>
      </c>
      <c r="F16" s="14" t="s">
        <v>26</v>
      </c>
      <c r="G16" s="19">
        <v>1.38</v>
      </c>
      <c r="H16" s="14" t="s">
        <v>26</v>
      </c>
      <c r="I16" s="19">
        <v>20.350000000000001</v>
      </c>
    </row>
    <row r="17" spans="1:9" ht="12" customHeight="1" x14ac:dyDescent="0.2">
      <c r="A17" s="7" t="s">
        <v>28</v>
      </c>
      <c r="B17" s="14" t="s">
        <v>26</v>
      </c>
      <c r="C17" s="14" t="s">
        <v>26</v>
      </c>
      <c r="D17" s="14" t="s">
        <v>26</v>
      </c>
      <c r="E17" s="14" t="s">
        <v>26</v>
      </c>
      <c r="F17" s="14" t="s">
        <v>26</v>
      </c>
      <c r="G17" s="19">
        <v>1.93</v>
      </c>
      <c r="H17" s="14" t="s">
        <v>26</v>
      </c>
      <c r="I17" s="19">
        <v>10.76</v>
      </c>
    </row>
    <row r="18" spans="1:9" ht="12" customHeight="1" x14ac:dyDescent="0.2">
      <c r="A18" s="7" t="s">
        <v>29</v>
      </c>
      <c r="B18" s="14" t="s">
        <v>26</v>
      </c>
      <c r="C18" s="14" t="s">
        <v>26</v>
      </c>
      <c r="D18" s="14" t="s">
        <v>26</v>
      </c>
      <c r="E18" s="14" t="s">
        <v>26</v>
      </c>
      <c r="F18" s="14" t="s">
        <v>26</v>
      </c>
      <c r="G18" s="19">
        <v>1.37</v>
      </c>
      <c r="H18" s="14" t="s">
        <v>26</v>
      </c>
      <c r="I18" s="19">
        <v>8.6</v>
      </c>
    </row>
    <row r="19" spans="1:9" ht="12" customHeight="1" x14ac:dyDescent="0.2">
      <c r="A19" s="7" t="s">
        <v>30</v>
      </c>
      <c r="B19" s="14" t="s">
        <v>26</v>
      </c>
      <c r="C19" s="14" t="s">
        <v>26</v>
      </c>
      <c r="D19" s="14" t="s">
        <v>26</v>
      </c>
      <c r="E19" s="14" t="s">
        <v>26</v>
      </c>
      <c r="F19" s="14" t="s">
        <v>26</v>
      </c>
      <c r="G19" s="19">
        <v>1.1200000000000001</v>
      </c>
      <c r="H19" s="14" t="s">
        <v>26</v>
      </c>
      <c r="I19" s="19">
        <v>8.16</v>
      </c>
    </row>
    <row r="20" spans="1:9" ht="12" customHeight="1" x14ac:dyDescent="0.2">
      <c r="A20" s="7" t="s">
        <v>31</v>
      </c>
      <c r="B20" s="14" t="s">
        <v>26</v>
      </c>
      <c r="C20" s="14" t="s">
        <v>26</v>
      </c>
      <c r="D20" s="14" t="s">
        <v>26</v>
      </c>
      <c r="E20" s="14" t="s">
        <v>26</v>
      </c>
      <c r="F20" s="14" t="s">
        <v>26</v>
      </c>
      <c r="G20" s="19">
        <v>1.68</v>
      </c>
      <c r="H20" s="14" t="s">
        <v>26</v>
      </c>
      <c r="I20" s="19">
        <v>11.67</v>
      </c>
    </row>
    <row r="21" spans="1:9" ht="12" customHeight="1" x14ac:dyDescent="0.2">
      <c r="A21" s="7" t="s">
        <v>32</v>
      </c>
      <c r="B21" s="14" t="s">
        <v>26</v>
      </c>
      <c r="C21" s="14" t="s">
        <v>26</v>
      </c>
      <c r="D21" s="14" t="s">
        <v>26</v>
      </c>
      <c r="E21" s="14" t="s">
        <v>26</v>
      </c>
      <c r="F21" s="14" t="s">
        <v>26</v>
      </c>
      <c r="G21" s="19">
        <v>0.25</v>
      </c>
      <c r="H21" s="14" t="s">
        <v>26</v>
      </c>
      <c r="I21" s="19">
        <v>10.7</v>
      </c>
    </row>
    <row r="22" spans="1:9" ht="12" customHeight="1" x14ac:dyDescent="0.2">
      <c r="A22" s="7" t="s">
        <v>33</v>
      </c>
      <c r="B22" s="14" t="s">
        <v>26</v>
      </c>
      <c r="C22" s="14" t="s">
        <v>26</v>
      </c>
      <c r="D22" s="14" t="s">
        <v>26</v>
      </c>
      <c r="E22" s="14" t="s">
        <v>26</v>
      </c>
      <c r="F22" s="14" t="s">
        <v>26</v>
      </c>
      <c r="G22" s="19">
        <v>0.08</v>
      </c>
      <c r="H22" s="14" t="s">
        <v>26</v>
      </c>
      <c r="I22" s="19">
        <v>9.3699999999999992</v>
      </c>
    </row>
    <row r="23" spans="1:9" ht="12" customHeight="1" x14ac:dyDescent="0.2">
      <c r="A23" s="7" t="s">
        <v>34</v>
      </c>
      <c r="B23" s="14" t="s">
        <v>26</v>
      </c>
      <c r="C23" s="14" t="s">
        <v>26</v>
      </c>
      <c r="D23" s="14" t="s">
        <v>26</v>
      </c>
      <c r="E23" s="14" t="s">
        <v>26</v>
      </c>
      <c r="F23" s="14" t="s">
        <v>26</v>
      </c>
      <c r="G23" s="19">
        <v>4.57</v>
      </c>
      <c r="H23" s="19">
        <v>16.34</v>
      </c>
      <c r="I23" s="19">
        <v>22.9</v>
      </c>
    </row>
    <row r="24" spans="1:9" ht="12" customHeight="1" x14ac:dyDescent="0.2">
      <c r="A24" s="7" t="s">
        <v>35</v>
      </c>
      <c r="B24" s="14" t="s">
        <v>26</v>
      </c>
      <c r="C24" s="14" t="s">
        <v>26</v>
      </c>
      <c r="D24" s="14" t="s">
        <v>26</v>
      </c>
      <c r="E24" s="14" t="s">
        <v>26</v>
      </c>
      <c r="F24" s="14" t="s">
        <v>26</v>
      </c>
      <c r="G24" s="19">
        <v>0.96</v>
      </c>
      <c r="H24" s="14" t="s">
        <v>26</v>
      </c>
      <c r="I24" s="19">
        <v>7.19</v>
      </c>
    </row>
    <row r="25" spans="1:9" ht="10.5" x14ac:dyDescent="0.2">
      <c r="A25" s="7" t="s">
        <v>36</v>
      </c>
      <c r="B25" s="14" t="s">
        <v>26</v>
      </c>
      <c r="C25" s="14" t="s">
        <v>26</v>
      </c>
      <c r="D25" s="14" t="s">
        <v>26</v>
      </c>
      <c r="E25" s="14" t="s">
        <v>26</v>
      </c>
      <c r="F25" s="14" t="s">
        <v>26</v>
      </c>
      <c r="G25" s="19">
        <v>1.26</v>
      </c>
      <c r="H25" s="14" t="s">
        <v>26</v>
      </c>
      <c r="I25" s="19">
        <v>11.87</v>
      </c>
    </row>
    <row r="26" spans="1:9" ht="10.5"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ht="10.5" x14ac:dyDescent="0.2">
      <c r="A28" s="7" t="s">
        <v>38</v>
      </c>
      <c r="B28" s="14" t="s">
        <v>26</v>
      </c>
      <c r="C28" s="14" t="s">
        <v>26</v>
      </c>
      <c r="D28" s="14" t="s">
        <v>26</v>
      </c>
      <c r="E28" s="14" t="s">
        <v>26</v>
      </c>
      <c r="F28" s="14" t="s">
        <v>26</v>
      </c>
      <c r="G28" s="19">
        <v>4.57</v>
      </c>
      <c r="H28" s="19">
        <v>16.34</v>
      </c>
      <c r="I28" s="19">
        <v>26.91</v>
      </c>
    </row>
    <row r="29" spans="1:9" ht="10.5" x14ac:dyDescent="0.2">
      <c r="A29" s="7" t="s">
        <v>39</v>
      </c>
      <c r="B29" s="14" t="s">
        <v>26</v>
      </c>
      <c r="C29" s="14" t="s">
        <v>26</v>
      </c>
      <c r="D29" s="14" t="s">
        <v>26</v>
      </c>
      <c r="E29" s="14" t="s">
        <v>26</v>
      </c>
      <c r="F29" s="14" t="s">
        <v>26</v>
      </c>
      <c r="G29" s="19">
        <v>0.08</v>
      </c>
      <c r="H29" s="19">
        <v>16.34</v>
      </c>
      <c r="I29" s="19">
        <v>7.19</v>
      </c>
    </row>
    <row r="30" spans="1:9" ht="10.5" x14ac:dyDescent="0.2">
      <c r="A30" s="7" t="s">
        <v>40</v>
      </c>
      <c r="B30" s="14" t="s">
        <v>26</v>
      </c>
      <c r="C30" s="14" t="s">
        <v>26</v>
      </c>
      <c r="D30" s="14" t="s">
        <v>26</v>
      </c>
      <c r="E30" s="14" t="s">
        <v>26</v>
      </c>
      <c r="F30" s="14" t="s">
        <v>26</v>
      </c>
      <c r="G30" s="19">
        <v>1.4</v>
      </c>
      <c r="H30" s="19">
        <v>16.34</v>
      </c>
      <c r="I30" s="19">
        <v>13.66</v>
      </c>
    </row>
    <row r="31" spans="1:9" ht="10.5" x14ac:dyDescent="0.2">
      <c r="A31" s="7" t="s">
        <v>41</v>
      </c>
      <c r="B31" s="14" t="s">
        <v>26</v>
      </c>
      <c r="C31" s="14" t="s">
        <v>26</v>
      </c>
      <c r="D31" s="14" t="s">
        <v>26</v>
      </c>
      <c r="E31" s="14" t="s">
        <v>26</v>
      </c>
      <c r="F31" s="14" t="s">
        <v>26</v>
      </c>
      <c r="G31" s="19">
        <v>1.25</v>
      </c>
      <c r="H31" s="19">
        <v>16.34</v>
      </c>
      <c r="I31" s="19">
        <v>10.73</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0645C-B455-459D-AED7-8CC5134E6BD1}">
  <sheetPr codeName="Sheet5">
    <outlinePr summaryBelow="0" summaryRight="0"/>
  </sheetPr>
  <dimension ref="A4:IU50"/>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58</v>
      </c>
    </row>
    <row r="7" spans="1:255" x14ac:dyDescent="0.2">
      <c r="A7" s="2" t="s">
        <v>1</v>
      </c>
      <c r="B7" s="2"/>
      <c r="C7" s="2"/>
      <c r="D7" s="2"/>
      <c r="E7" s="2"/>
      <c r="F7" s="2"/>
      <c r="G7" s="2"/>
      <c r="H7" s="2"/>
      <c r="I7" s="2"/>
      <c r="J7" s="2"/>
      <c r="K7" s="2"/>
      <c r="L7" s="2"/>
      <c r="M7" s="2"/>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59</v>
      </c>
      <c r="B8" s="4" t="s">
        <v>3</v>
      </c>
    </row>
    <row r="9" spans="1:255" ht="10.5" x14ac:dyDescent="0.25">
      <c r="A9" s="3" t="s">
        <v>60</v>
      </c>
      <c r="B9" s="4" t="s">
        <v>5</v>
      </c>
    </row>
    <row r="10" spans="1:255" ht="10.5" x14ac:dyDescent="0.25">
      <c r="A10" s="3" t="s">
        <v>61</v>
      </c>
      <c r="B10" s="5">
        <v>45045</v>
      </c>
    </row>
    <row r="11" spans="1:255" x14ac:dyDescent="0.2">
      <c r="A11" s="6"/>
    </row>
    <row r="13" spans="1:255" x14ac:dyDescent="0.2">
      <c r="A13" s="2" t="s">
        <v>7</v>
      </c>
      <c r="B13" s="2"/>
      <c r="C13" s="2"/>
      <c r="D13" s="2"/>
      <c r="E13" s="2"/>
      <c r="F13" s="2"/>
      <c r="G13" s="2"/>
      <c r="H13" s="2"/>
      <c r="I13" s="2"/>
      <c r="J13" s="2"/>
      <c r="K13" s="2"/>
      <c r="L13" s="2"/>
      <c r="M13" s="2"/>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0.125</v>
      </c>
      <c r="C15" s="20">
        <v>-1.2E-2</v>
      </c>
      <c r="D15" s="20">
        <v>-2.9000000000000001E-2</v>
      </c>
      <c r="E15" s="21">
        <v>-2.5499999999999998E-2</v>
      </c>
      <c r="F15" s="21">
        <v>1.6299999999999999E-2</v>
      </c>
      <c r="G15" s="14" t="s">
        <v>26</v>
      </c>
      <c r="H15" s="14" t="s">
        <v>26</v>
      </c>
      <c r="I15" s="14" t="s">
        <v>26</v>
      </c>
      <c r="J15" s="21">
        <v>0.32379999999999998</v>
      </c>
      <c r="K15" s="14" t="s">
        <v>74</v>
      </c>
      <c r="L15" s="21">
        <v>-0.02</v>
      </c>
      <c r="M15" s="12">
        <v>0.57999999999999996</v>
      </c>
    </row>
    <row r="16" spans="1:255" ht="12" customHeight="1" x14ac:dyDescent="0.2">
      <c r="A16" s="7" t="s">
        <v>27</v>
      </c>
      <c r="B16" s="20">
        <v>3.4000000000000002E-2</v>
      </c>
      <c r="C16" s="20">
        <v>3.5000000000000003E-2</v>
      </c>
      <c r="D16" s="20">
        <v>2.8000000000000001E-2</v>
      </c>
      <c r="E16" s="21">
        <v>1.46E-2</v>
      </c>
      <c r="F16" s="21">
        <v>4.0099999999999997E-2</v>
      </c>
      <c r="G16" s="21">
        <v>-0.63759999999999994</v>
      </c>
      <c r="H16" s="21">
        <v>-0.68600000000000005</v>
      </c>
      <c r="I16" s="21">
        <v>-0.78469999999999995</v>
      </c>
      <c r="J16" s="21">
        <v>0.29110000000000003</v>
      </c>
      <c r="K16" s="22">
        <v>3.6</v>
      </c>
      <c r="L16" s="21">
        <v>0.37980000000000003</v>
      </c>
      <c r="M16" s="12">
        <v>0.5</v>
      </c>
    </row>
    <row r="17" spans="1:13" ht="12" customHeight="1" x14ac:dyDescent="0.2">
      <c r="A17" s="7" t="s">
        <v>28</v>
      </c>
      <c r="B17" s="20">
        <v>0.245</v>
      </c>
      <c r="C17" s="20">
        <v>0.16</v>
      </c>
      <c r="D17" s="20">
        <v>0.154</v>
      </c>
      <c r="E17" s="21">
        <v>0.11890000000000001</v>
      </c>
      <c r="F17" s="21">
        <v>8.7099999999999997E-2</v>
      </c>
      <c r="G17" s="21">
        <v>-0.1145</v>
      </c>
      <c r="H17" s="21">
        <v>-0.1186</v>
      </c>
      <c r="I17" s="21">
        <v>-0.36049999999999999</v>
      </c>
      <c r="J17" s="14" t="s">
        <v>26</v>
      </c>
      <c r="K17" s="14" t="s">
        <v>26</v>
      </c>
      <c r="L17" s="21">
        <v>0.13730000000000001</v>
      </c>
      <c r="M17" s="12">
        <v>0.65</v>
      </c>
    </row>
    <row r="18" spans="1:13" ht="12" customHeight="1" x14ac:dyDescent="0.2">
      <c r="A18" s="7" t="s">
        <v>29</v>
      </c>
      <c r="B18" s="20">
        <v>0.443</v>
      </c>
      <c r="C18" s="20">
        <v>0.376</v>
      </c>
      <c r="D18" s="20">
        <v>0.28999999999999998</v>
      </c>
      <c r="E18" s="21">
        <v>0.18210000000000001</v>
      </c>
      <c r="F18" s="21">
        <v>8.3900000000000002E-2</v>
      </c>
      <c r="G18" s="21">
        <v>0.34060000000000001</v>
      </c>
      <c r="H18" s="21">
        <v>0.46260000000000001</v>
      </c>
      <c r="I18" s="21">
        <v>9.4600000000000004E-2</v>
      </c>
      <c r="J18" s="21">
        <v>0.40060000000000001</v>
      </c>
      <c r="K18" s="22">
        <v>1.3</v>
      </c>
      <c r="L18" s="21">
        <v>0.1</v>
      </c>
      <c r="M18" s="12">
        <v>1.1299999999999999</v>
      </c>
    </row>
    <row r="19" spans="1:13" ht="12" customHeight="1" x14ac:dyDescent="0.2">
      <c r="A19" s="7" t="s">
        <v>30</v>
      </c>
      <c r="B19" s="20">
        <v>0.32800000000000001</v>
      </c>
      <c r="C19" s="20">
        <v>0.13400000000000001</v>
      </c>
      <c r="D19" s="20">
        <v>0.112</v>
      </c>
      <c r="E19" s="21">
        <v>8.3299999999999999E-2</v>
      </c>
      <c r="F19" s="21">
        <v>1.9900000000000001E-2</v>
      </c>
      <c r="G19" s="21">
        <v>-0.21540000000000001</v>
      </c>
      <c r="H19" s="21">
        <v>-0.22170000000000001</v>
      </c>
      <c r="I19" s="21">
        <v>-0.25480000000000003</v>
      </c>
      <c r="J19" s="21">
        <v>0.2331</v>
      </c>
      <c r="K19" s="22">
        <v>1.4</v>
      </c>
      <c r="L19" s="21">
        <v>7.0000000000000007E-2</v>
      </c>
      <c r="M19" s="12">
        <v>0.85</v>
      </c>
    </row>
    <row r="20" spans="1:13" ht="12" customHeight="1" x14ac:dyDescent="0.2">
      <c r="A20" s="7" t="s">
        <v>31</v>
      </c>
      <c r="B20" s="20">
        <v>0.40899999999999997</v>
      </c>
      <c r="C20" s="20">
        <v>0.13400000000000001</v>
      </c>
      <c r="D20" s="20">
        <v>0.13</v>
      </c>
      <c r="E20" s="21">
        <v>9.7299999999999998E-2</v>
      </c>
      <c r="F20" s="21">
        <v>9.1300000000000006E-2</v>
      </c>
      <c r="G20" s="21">
        <v>-0.23899999999999999</v>
      </c>
      <c r="H20" s="21">
        <v>-0.2137</v>
      </c>
      <c r="I20" s="21">
        <v>-0.21609999999999999</v>
      </c>
      <c r="J20" s="21">
        <v>0.31</v>
      </c>
      <c r="K20" s="22">
        <v>2</v>
      </c>
      <c r="L20" s="21">
        <v>0.17</v>
      </c>
      <c r="M20" s="12">
        <v>0.62</v>
      </c>
    </row>
    <row r="21" spans="1:13" ht="12" customHeight="1" x14ac:dyDescent="0.2">
      <c r="A21" s="7" t="s">
        <v>32</v>
      </c>
      <c r="B21" s="20">
        <v>0.19900000000000001</v>
      </c>
      <c r="C21" s="20">
        <v>5.5E-2</v>
      </c>
      <c r="D21" s="20">
        <v>3.5999999999999997E-2</v>
      </c>
      <c r="E21" s="21">
        <v>1.7000000000000001E-2</v>
      </c>
      <c r="F21" s="21">
        <v>0.12330000000000001</v>
      </c>
      <c r="G21" s="21">
        <v>-0.45340000000000003</v>
      </c>
      <c r="H21" s="21">
        <v>-0.58160000000000001</v>
      </c>
      <c r="I21" s="21">
        <v>-0.67259999999999998</v>
      </c>
      <c r="J21" s="21">
        <v>0.27379999999999999</v>
      </c>
      <c r="K21" s="22">
        <v>2.6</v>
      </c>
      <c r="L21" s="21">
        <v>8.0399999999999999E-2</v>
      </c>
      <c r="M21" s="12">
        <v>0.41</v>
      </c>
    </row>
    <row r="22" spans="1:13" ht="12" customHeight="1" x14ac:dyDescent="0.2">
      <c r="A22" s="7" t="s">
        <v>33</v>
      </c>
      <c r="B22" s="20">
        <v>0.215</v>
      </c>
      <c r="C22" s="20">
        <v>9.1999999999999998E-2</v>
      </c>
      <c r="D22" s="20">
        <v>7.0999999999999994E-2</v>
      </c>
      <c r="E22" s="21">
        <v>2.8799999999999999E-2</v>
      </c>
      <c r="F22" s="21">
        <v>8.09E-2</v>
      </c>
      <c r="G22" s="21">
        <v>-0.16550000000000001</v>
      </c>
      <c r="H22" s="21">
        <v>-0.2356</v>
      </c>
      <c r="I22" s="21">
        <v>-0.26550000000000001</v>
      </c>
      <c r="J22" s="21">
        <v>0.1973</v>
      </c>
      <c r="K22" s="22">
        <v>1.5</v>
      </c>
      <c r="L22" s="21">
        <v>4.5100000000000001E-2</v>
      </c>
      <c r="M22" s="12">
        <v>0.5</v>
      </c>
    </row>
    <row r="23" spans="1:13" ht="12" customHeight="1" x14ac:dyDescent="0.2">
      <c r="A23" s="7" t="s">
        <v>34</v>
      </c>
      <c r="B23" s="20">
        <v>0.435</v>
      </c>
      <c r="C23" s="20">
        <v>0.26200000000000001</v>
      </c>
      <c r="D23" s="20">
        <v>0.22800000000000001</v>
      </c>
      <c r="E23" s="21">
        <v>0.15240000000000001</v>
      </c>
      <c r="F23" s="21">
        <v>3.9899999999999998E-2</v>
      </c>
      <c r="G23" s="21">
        <v>2.2599999999999999E-2</v>
      </c>
      <c r="H23" s="21">
        <v>3.09E-2</v>
      </c>
      <c r="I23" s="21">
        <v>-5.3E-3</v>
      </c>
      <c r="J23" s="21">
        <v>0.57230000000000003</v>
      </c>
      <c r="K23" s="22">
        <v>2.5</v>
      </c>
      <c r="L23" s="21">
        <v>0.1038</v>
      </c>
      <c r="M23" s="12">
        <v>0.92</v>
      </c>
    </row>
    <row r="24" spans="1:13" ht="12" customHeight="1" x14ac:dyDescent="0.2">
      <c r="A24" s="7" t="s">
        <v>35</v>
      </c>
      <c r="B24" s="20">
        <v>0.17</v>
      </c>
      <c r="C24" s="20">
        <v>-4.1000000000000002E-2</v>
      </c>
      <c r="D24" s="20">
        <v>-4.2999999999999997E-2</v>
      </c>
      <c r="E24" s="21">
        <v>-2.46E-2</v>
      </c>
      <c r="F24" s="21">
        <v>-0.17630000000000001</v>
      </c>
      <c r="G24" s="14" t="s">
        <v>26</v>
      </c>
      <c r="H24" s="14" t="s">
        <v>26</v>
      </c>
      <c r="I24" s="14" t="s">
        <v>26</v>
      </c>
      <c r="J24" s="21">
        <v>0.66469999999999996</v>
      </c>
      <c r="K24" s="14" t="s">
        <v>74</v>
      </c>
      <c r="L24" s="21">
        <v>4.4999999999999998E-2</v>
      </c>
      <c r="M24" s="12">
        <v>1.37</v>
      </c>
    </row>
    <row r="25" spans="1:13" ht="10.5" x14ac:dyDescent="0.2">
      <c r="A25" s="7" t="s">
        <v>36</v>
      </c>
      <c r="B25" s="20">
        <v>0.221</v>
      </c>
      <c r="C25" s="20">
        <v>0.112</v>
      </c>
      <c r="D25" s="20">
        <v>9.0999999999999998E-2</v>
      </c>
      <c r="E25" s="21">
        <v>7.4099999999999999E-2</v>
      </c>
      <c r="F25" s="21">
        <v>6.9900000000000004E-2</v>
      </c>
      <c r="G25" s="21">
        <v>-0.28760000000000002</v>
      </c>
      <c r="H25" s="21">
        <v>-0.32229999999999998</v>
      </c>
      <c r="I25" s="21">
        <v>-0.29089999999999999</v>
      </c>
      <c r="J25" s="21">
        <v>0.24030000000000001</v>
      </c>
      <c r="K25" s="22">
        <v>1.7</v>
      </c>
      <c r="L25" s="21">
        <v>0.1386</v>
      </c>
      <c r="M25" s="12">
        <v>0.61</v>
      </c>
    </row>
    <row r="26" spans="1:13" ht="10.5"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ht="10.5" x14ac:dyDescent="0.2">
      <c r="A28" s="7" t="s">
        <v>38</v>
      </c>
      <c r="B28" s="20">
        <v>0.443</v>
      </c>
      <c r="C28" s="20">
        <v>0.376</v>
      </c>
      <c r="D28" s="20">
        <v>0.28999999999999998</v>
      </c>
      <c r="E28" s="21">
        <v>0.18210000000000001</v>
      </c>
      <c r="F28" s="21">
        <v>0.12330000000000001</v>
      </c>
      <c r="G28" s="21">
        <v>0.34060000000000001</v>
      </c>
      <c r="H28" s="21">
        <v>0.46260000000000001</v>
      </c>
      <c r="I28" s="21">
        <v>9.4600000000000004E-2</v>
      </c>
      <c r="J28" s="21">
        <v>0.66469999999999996</v>
      </c>
      <c r="K28" s="22">
        <v>3.6</v>
      </c>
      <c r="L28" s="21">
        <v>0.37980000000000003</v>
      </c>
      <c r="M28" s="12">
        <v>1.37</v>
      </c>
    </row>
    <row r="29" spans="1:13" ht="10.5" x14ac:dyDescent="0.2">
      <c r="A29" s="7" t="s">
        <v>39</v>
      </c>
      <c r="B29" s="20">
        <v>3.4000000000000002E-2</v>
      </c>
      <c r="C29" s="20">
        <v>-4.1000000000000002E-2</v>
      </c>
      <c r="D29" s="20">
        <v>-4.2999999999999997E-2</v>
      </c>
      <c r="E29" s="21">
        <v>-2.5499999999999998E-2</v>
      </c>
      <c r="F29" s="21">
        <v>-0.17630000000000001</v>
      </c>
      <c r="G29" s="21">
        <v>-0.63759999999999994</v>
      </c>
      <c r="H29" s="21">
        <v>-0.68600000000000005</v>
      </c>
      <c r="I29" s="21">
        <v>-0.78469999999999995</v>
      </c>
      <c r="J29" s="21">
        <v>0.1973</v>
      </c>
      <c r="K29" s="22">
        <v>1.3</v>
      </c>
      <c r="L29" s="21">
        <v>-0.02</v>
      </c>
      <c r="M29" s="12">
        <v>0.41</v>
      </c>
    </row>
    <row r="30" spans="1:13" ht="10.5" x14ac:dyDescent="0.2">
      <c r="A30" s="7" t="s">
        <v>40</v>
      </c>
      <c r="B30" s="20">
        <v>0.26</v>
      </c>
      <c r="C30" s="20">
        <v>0.12</v>
      </c>
      <c r="D30" s="20">
        <v>9.8000000000000004E-2</v>
      </c>
      <c r="E30" s="21">
        <v>6.4399999999999999E-2</v>
      </c>
      <c r="F30" s="21">
        <v>4.0599999999999997E-2</v>
      </c>
      <c r="G30" s="21">
        <v>-0.18279999999999999</v>
      </c>
      <c r="H30" s="21">
        <v>-0.19550000000000001</v>
      </c>
      <c r="I30" s="21">
        <v>-0.30809999999999998</v>
      </c>
      <c r="J30" s="21">
        <v>0.36299999999999999</v>
      </c>
      <c r="K30" s="22">
        <v>2.1</v>
      </c>
      <c r="L30" s="21">
        <v>0.1111</v>
      </c>
      <c r="M30" s="12">
        <v>0.75</v>
      </c>
    </row>
    <row r="31" spans="1:13" ht="10.5" x14ac:dyDescent="0.2">
      <c r="A31" s="7" t="s">
        <v>41</v>
      </c>
      <c r="B31" s="20">
        <v>0.23</v>
      </c>
      <c r="C31" s="20">
        <v>0.113</v>
      </c>
      <c r="D31" s="20">
        <v>9.1999999999999998E-2</v>
      </c>
      <c r="E31" s="21">
        <v>5.6099999999999997E-2</v>
      </c>
      <c r="F31" s="21">
        <v>6.0499999999999998E-2</v>
      </c>
      <c r="G31" s="21">
        <v>-0.19040000000000001</v>
      </c>
      <c r="H31" s="21">
        <v>-0.2177</v>
      </c>
      <c r="I31" s="21">
        <v>-0.26019999999999999</v>
      </c>
      <c r="J31" s="21">
        <v>0.31</v>
      </c>
      <c r="K31" s="22">
        <v>2</v>
      </c>
      <c r="L31" s="21">
        <v>9.0200000000000002E-2</v>
      </c>
      <c r="M31" s="12">
        <v>0.63</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F7E6D-3EBD-4BC2-96E7-A61F9129AF3F}">
  <sheetPr codeName="Sheet6">
    <outlinePr summaryBelow="0" summaryRight="0"/>
  </sheetPr>
  <dimension ref="A4:IU44"/>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75</v>
      </c>
    </row>
    <row r="7" spans="1:255" x14ac:dyDescent="0.2">
      <c r="A7" s="2" t="s">
        <v>1</v>
      </c>
      <c r="B7" s="2"/>
      <c r="C7" s="2"/>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76</v>
      </c>
      <c r="B8" s="4" t="s">
        <v>3</v>
      </c>
    </row>
    <row r="9" spans="1:255" ht="10.5" x14ac:dyDescent="0.25">
      <c r="A9" s="3" t="s">
        <v>77</v>
      </c>
      <c r="B9" s="4" t="s">
        <v>5</v>
      </c>
    </row>
    <row r="10" spans="1:255" ht="10.5" x14ac:dyDescent="0.25">
      <c r="A10" s="3" t="s">
        <v>78</v>
      </c>
      <c r="B10" s="5">
        <v>45045</v>
      </c>
    </row>
    <row r="11" spans="1:255" x14ac:dyDescent="0.2">
      <c r="A11" s="6"/>
    </row>
    <row r="13" spans="1:255" x14ac:dyDescent="0.2">
      <c r="A13" s="2" t="s">
        <v>7</v>
      </c>
      <c r="B13" s="2"/>
      <c r="C13" s="2"/>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ht="10.5" x14ac:dyDescent="0.2">
      <c r="A25" s="8"/>
      <c r="B25" s="8"/>
      <c r="C25" s="8"/>
    </row>
    <row r="26" spans="1:3" ht="10.5"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26BBF-E2C6-4CDD-9102-859F8D55BCB5}">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103</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104</v>
      </c>
      <c r="B8" s="4" t="s">
        <v>3</v>
      </c>
    </row>
    <row r="9" spans="1:255" ht="10.5" x14ac:dyDescent="0.25">
      <c r="A9" s="3" t="s">
        <v>105</v>
      </c>
      <c r="B9" s="4" t="s">
        <v>5</v>
      </c>
    </row>
    <row r="10" spans="1:255" ht="10.5" x14ac:dyDescent="0.25">
      <c r="A10" s="3" t="s">
        <v>106</v>
      </c>
      <c r="B10" s="5">
        <v>45045</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37779</v>
      </c>
      <c r="C15" s="13">
        <v>4248</v>
      </c>
      <c r="D15" s="13">
        <v>3452</v>
      </c>
      <c r="E15" s="12">
        <v>38346.879999999997</v>
      </c>
      <c r="F15" s="14" t="s">
        <v>26</v>
      </c>
      <c r="G15" s="12">
        <v>11.84</v>
      </c>
      <c r="H15" s="12">
        <v>15.26</v>
      </c>
      <c r="I15" s="12">
        <v>81.42</v>
      </c>
    </row>
    <row r="16" spans="1:255" ht="10.5" x14ac:dyDescent="0.2">
      <c r="A16" s="8"/>
      <c r="B16" s="8"/>
      <c r="C16" s="8"/>
      <c r="D16" s="8"/>
      <c r="E16" s="8"/>
      <c r="F16" s="8"/>
      <c r="G16" s="8"/>
      <c r="H16" s="8"/>
      <c r="I16" s="8"/>
    </row>
    <row r="17" spans="1:9" ht="10.5" x14ac:dyDescent="0.2">
      <c r="A17" s="9"/>
      <c r="B17" s="9" t="s">
        <v>108</v>
      </c>
      <c r="C17" s="9" t="s">
        <v>108</v>
      </c>
      <c r="D17" s="9" t="s">
        <v>108</v>
      </c>
      <c r="E17" s="9" t="s">
        <v>109</v>
      </c>
      <c r="F17" s="9" t="s">
        <v>108</v>
      </c>
      <c r="G17" s="9" t="s">
        <v>108</v>
      </c>
      <c r="H17" s="9" t="s">
        <v>110</v>
      </c>
      <c r="I17" s="9" t="s">
        <v>108</v>
      </c>
    </row>
    <row r="18" spans="1:9" ht="21" x14ac:dyDescent="0.2">
      <c r="A18" s="9"/>
      <c r="B18" s="11" t="s">
        <v>50</v>
      </c>
      <c r="C18" s="11" t="s">
        <v>51</v>
      </c>
      <c r="D18" s="11" t="s">
        <v>52</v>
      </c>
      <c r="E18" s="11" t="s">
        <v>111</v>
      </c>
      <c r="F18" s="11" t="s">
        <v>56</v>
      </c>
      <c r="G18" s="11" t="s">
        <v>53</v>
      </c>
      <c r="H18" s="11" t="s">
        <v>112</v>
      </c>
      <c r="I18" s="11" t="s">
        <v>54</v>
      </c>
    </row>
    <row r="19" spans="1:9" ht="10.5" x14ac:dyDescent="0.2">
      <c r="A19" s="9" t="s">
        <v>38</v>
      </c>
      <c r="B19" s="14" t="s">
        <v>74</v>
      </c>
      <c r="C19" s="14" t="s">
        <v>74</v>
      </c>
      <c r="D19" s="14" t="s">
        <v>74</v>
      </c>
      <c r="E19" s="19">
        <v>4.57</v>
      </c>
      <c r="F19" s="19">
        <v>16.34</v>
      </c>
      <c r="G19" s="14" t="s">
        <v>74</v>
      </c>
      <c r="H19" s="19">
        <v>26.91</v>
      </c>
      <c r="I19" s="14" t="s">
        <v>74</v>
      </c>
    </row>
    <row r="20" spans="1:9" ht="10.5" x14ac:dyDescent="0.2">
      <c r="A20" s="9" t="s">
        <v>39</v>
      </c>
      <c r="B20" s="14" t="s">
        <v>74</v>
      </c>
      <c r="C20" s="14" t="s">
        <v>74</v>
      </c>
      <c r="D20" s="14" t="s">
        <v>74</v>
      </c>
      <c r="E20" s="19">
        <v>0.08</v>
      </c>
      <c r="F20" s="19">
        <v>16.34</v>
      </c>
      <c r="G20" s="14" t="s">
        <v>74</v>
      </c>
      <c r="H20" s="19">
        <v>7.19</v>
      </c>
      <c r="I20" s="14" t="s">
        <v>74</v>
      </c>
    </row>
    <row r="21" spans="1:9" ht="10.5" x14ac:dyDescent="0.2">
      <c r="A21" s="9" t="s">
        <v>40</v>
      </c>
      <c r="B21" s="14" t="s">
        <v>74</v>
      </c>
      <c r="C21" s="14" t="s">
        <v>74</v>
      </c>
      <c r="D21" s="14" t="s">
        <v>74</v>
      </c>
      <c r="E21" s="19">
        <v>1.4</v>
      </c>
      <c r="F21" s="19">
        <v>16.34</v>
      </c>
      <c r="G21" s="14" t="s">
        <v>74</v>
      </c>
      <c r="H21" s="19">
        <v>13.66</v>
      </c>
      <c r="I21" s="14" t="s">
        <v>74</v>
      </c>
    </row>
    <row r="22" spans="1:9" ht="10.5" x14ac:dyDescent="0.2">
      <c r="A22" s="9" t="s">
        <v>41</v>
      </c>
      <c r="B22" s="14" t="s">
        <v>74</v>
      </c>
      <c r="C22" s="14" t="s">
        <v>74</v>
      </c>
      <c r="D22" s="14" t="s">
        <v>74</v>
      </c>
      <c r="E22" s="19">
        <v>1.25</v>
      </c>
      <c r="F22" s="19">
        <v>16.34</v>
      </c>
      <c r="G22" s="14" t="s">
        <v>74</v>
      </c>
      <c r="H22" s="19">
        <v>10.73</v>
      </c>
      <c r="I22" s="14" t="s">
        <v>74</v>
      </c>
    </row>
    <row r="23" spans="1:9" ht="10.5" x14ac:dyDescent="0.2">
      <c r="A23" s="8"/>
      <c r="B23" s="8"/>
      <c r="C23" s="8"/>
      <c r="D23" s="8"/>
      <c r="E23" s="8"/>
      <c r="F23" s="8"/>
      <c r="G23" s="8"/>
      <c r="H23" s="8"/>
      <c r="I23" s="8"/>
    </row>
    <row r="24" spans="1:9" ht="10.5" x14ac:dyDescent="0.2">
      <c r="A24" s="9" t="s">
        <v>113</v>
      </c>
      <c r="B24" s="9"/>
      <c r="C24" s="9"/>
      <c r="D24" s="9"/>
      <c r="E24" s="9"/>
      <c r="F24" s="9"/>
      <c r="G24" s="9"/>
      <c r="H24" s="9"/>
      <c r="I24" s="9"/>
    </row>
    <row r="25" spans="1:9" ht="10.5" x14ac:dyDescent="0.2">
      <c r="A25" s="7" t="s">
        <v>38</v>
      </c>
      <c r="B25" s="14" t="s">
        <v>114</v>
      </c>
      <c r="C25" s="14" t="s">
        <v>114</v>
      </c>
      <c r="D25" s="14" t="s">
        <v>114</v>
      </c>
      <c r="E25" s="12">
        <v>175107.72</v>
      </c>
      <c r="F25" s="14" t="s">
        <v>114</v>
      </c>
      <c r="G25" s="8"/>
      <c r="H25" s="8"/>
      <c r="I25" s="8"/>
    </row>
    <row r="26" spans="1:9" ht="10.5" x14ac:dyDescent="0.2">
      <c r="A26" s="7" t="s">
        <v>39</v>
      </c>
      <c r="B26" s="14" t="s">
        <v>114</v>
      </c>
      <c r="C26" s="14" t="s">
        <v>114</v>
      </c>
      <c r="D26" s="14" t="s">
        <v>114</v>
      </c>
      <c r="E26" s="12">
        <v>2944.27</v>
      </c>
      <c r="F26" s="14" t="s">
        <v>114</v>
      </c>
      <c r="G26" s="8"/>
      <c r="H26" s="8"/>
      <c r="I26" s="8"/>
    </row>
    <row r="27" spans="1:9" ht="10.5" x14ac:dyDescent="0.2">
      <c r="A27" s="7" t="s">
        <v>40</v>
      </c>
      <c r="B27" s="14" t="s">
        <v>114</v>
      </c>
      <c r="C27" s="14" t="s">
        <v>114</v>
      </c>
      <c r="D27" s="14" t="s">
        <v>114</v>
      </c>
      <c r="E27" s="12">
        <v>53866.25</v>
      </c>
      <c r="F27" s="14" t="s">
        <v>114</v>
      </c>
      <c r="G27" s="8"/>
      <c r="H27" s="8"/>
      <c r="I27" s="8"/>
    </row>
    <row r="28" spans="1:9" ht="10.5" x14ac:dyDescent="0.2">
      <c r="A28" s="7" t="s">
        <v>41</v>
      </c>
      <c r="B28" s="14" t="s">
        <v>114</v>
      </c>
      <c r="C28" s="14" t="s">
        <v>114</v>
      </c>
      <c r="D28" s="14" t="s">
        <v>114</v>
      </c>
      <c r="E28" s="12">
        <v>47798.34</v>
      </c>
      <c r="F28" s="14" t="s">
        <v>114</v>
      </c>
      <c r="G28" s="8"/>
      <c r="H28" s="8"/>
      <c r="I28" s="8"/>
    </row>
    <row r="29" spans="1:9" ht="10.5" x14ac:dyDescent="0.2">
      <c r="A29" s="8"/>
      <c r="B29" s="8"/>
      <c r="C29" s="8"/>
      <c r="D29" s="8"/>
      <c r="E29" s="8"/>
      <c r="F29" s="8"/>
      <c r="G29" s="8"/>
      <c r="H29" s="8"/>
      <c r="I29" s="8"/>
    </row>
    <row r="30" spans="1:9" ht="12" customHeight="1" x14ac:dyDescent="0.2">
      <c r="A30" s="9" t="s">
        <v>115</v>
      </c>
      <c r="B30" s="13">
        <v>4010</v>
      </c>
      <c r="C30" s="13">
        <v>4010</v>
      </c>
      <c r="D30" s="13">
        <v>4010</v>
      </c>
      <c r="E30" s="13">
        <v>4010</v>
      </c>
      <c r="F30" s="13">
        <v>4010</v>
      </c>
      <c r="G30" s="8"/>
      <c r="H30" s="8"/>
      <c r="I30" s="8"/>
    </row>
    <row r="31" spans="1:9" ht="12" customHeight="1" x14ac:dyDescent="0.2">
      <c r="A31" s="9" t="s">
        <v>116</v>
      </c>
      <c r="B31" s="13">
        <v>7292</v>
      </c>
      <c r="C31" s="13">
        <v>7292</v>
      </c>
      <c r="D31" s="13">
        <v>7292</v>
      </c>
      <c r="E31" s="13">
        <v>7292</v>
      </c>
      <c r="F31" s="13">
        <v>7292</v>
      </c>
      <c r="G31" s="8"/>
      <c r="H31" s="8"/>
      <c r="I31" s="8"/>
    </row>
    <row r="32" spans="1:9" ht="12" customHeight="1" x14ac:dyDescent="0.2">
      <c r="A32" s="9" t="s">
        <v>117</v>
      </c>
      <c r="B32" s="14" t="s">
        <v>26</v>
      </c>
      <c r="C32" s="14" t="s">
        <v>26</v>
      </c>
      <c r="D32" s="14" t="s">
        <v>26</v>
      </c>
      <c r="E32" s="14" t="s">
        <v>26</v>
      </c>
      <c r="F32" s="14" t="s">
        <v>26</v>
      </c>
      <c r="G32" s="8"/>
      <c r="H32" s="8"/>
      <c r="I32" s="8"/>
    </row>
    <row r="33" spans="1:9" ht="12" customHeight="1" x14ac:dyDescent="0.2">
      <c r="A33" s="9" t="s">
        <v>118</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119</v>
      </c>
      <c r="B35" s="9"/>
      <c r="C35" s="9"/>
      <c r="D35" s="9"/>
      <c r="E35" s="9"/>
      <c r="F35" s="9"/>
      <c r="G35" s="9"/>
      <c r="H35" s="9"/>
      <c r="I35" s="9"/>
    </row>
    <row r="36" spans="1:9" ht="10.5" x14ac:dyDescent="0.2">
      <c r="A36" s="7" t="s">
        <v>38</v>
      </c>
      <c r="B36" s="14" t="s">
        <v>114</v>
      </c>
      <c r="C36" s="14" t="s">
        <v>114</v>
      </c>
      <c r="D36" s="14" t="s">
        <v>114</v>
      </c>
      <c r="E36" s="12">
        <v>171825.72</v>
      </c>
      <c r="F36" s="14" t="s">
        <v>114</v>
      </c>
      <c r="G36" s="14" t="s">
        <v>114</v>
      </c>
      <c r="H36" s="12">
        <v>94826.13</v>
      </c>
      <c r="I36" s="14" t="s">
        <v>114</v>
      </c>
    </row>
    <row r="37" spans="1:9" ht="10.5" x14ac:dyDescent="0.2">
      <c r="A37" s="7" t="s">
        <v>39</v>
      </c>
      <c r="B37" s="14" t="s">
        <v>114</v>
      </c>
      <c r="C37" s="14" t="s">
        <v>114</v>
      </c>
      <c r="D37" s="14" t="s">
        <v>114</v>
      </c>
      <c r="E37" s="12">
        <v>-337.73</v>
      </c>
      <c r="F37" s="14" t="s">
        <v>114</v>
      </c>
      <c r="G37" s="14" t="s">
        <v>114</v>
      </c>
      <c r="H37" s="12">
        <v>25350.59</v>
      </c>
      <c r="I37" s="14" t="s">
        <v>114</v>
      </c>
    </row>
    <row r="38" spans="1:9" ht="10.5" x14ac:dyDescent="0.2">
      <c r="A38" s="7" t="s">
        <v>40</v>
      </c>
      <c r="B38" s="14" t="s">
        <v>114</v>
      </c>
      <c r="C38" s="14" t="s">
        <v>114</v>
      </c>
      <c r="D38" s="14" t="s">
        <v>114</v>
      </c>
      <c r="E38" s="12">
        <v>50584.25</v>
      </c>
      <c r="F38" s="14" t="s">
        <v>114</v>
      </c>
      <c r="G38" s="14" t="s">
        <v>114</v>
      </c>
      <c r="H38" s="12">
        <v>48139.78</v>
      </c>
      <c r="I38" s="14" t="s">
        <v>114</v>
      </c>
    </row>
    <row r="39" spans="1:9" ht="10.5" x14ac:dyDescent="0.2">
      <c r="A39" s="7" t="s">
        <v>41</v>
      </c>
      <c r="B39" s="14" t="s">
        <v>114</v>
      </c>
      <c r="C39" s="14" t="s">
        <v>114</v>
      </c>
      <c r="D39" s="14" t="s">
        <v>114</v>
      </c>
      <c r="E39" s="12">
        <v>44516.34</v>
      </c>
      <c r="F39" s="14" t="s">
        <v>114</v>
      </c>
      <c r="G39" s="14" t="s">
        <v>114</v>
      </c>
      <c r="H39" s="12">
        <v>37823.379999999997</v>
      </c>
      <c r="I39" s="14" t="s">
        <v>114</v>
      </c>
    </row>
    <row r="40" spans="1:9" ht="10.5" x14ac:dyDescent="0.2">
      <c r="A40" s="8"/>
      <c r="B40" s="8"/>
      <c r="C40" s="8"/>
      <c r="D40" s="8"/>
      <c r="E40" s="8"/>
      <c r="F40" s="8"/>
      <c r="G40" s="8"/>
      <c r="H40" s="8"/>
      <c r="I40" s="8"/>
    </row>
    <row r="41" spans="1:9" ht="12" customHeight="1" x14ac:dyDescent="0.2">
      <c r="A41" s="9" t="s">
        <v>120</v>
      </c>
      <c r="B41" s="12">
        <v>230.98</v>
      </c>
      <c r="C41" s="12">
        <v>230.98</v>
      </c>
      <c r="D41" s="12">
        <v>230.98</v>
      </c>
      <c r="E41" s="12">
        <v>230.98</v>
      </c>
      <c r="F41" s="12">
        <v>230.98</v>
      </c>
      <c r="G41" s="12">
        <v>230.98</v>
      </c>
      <c r="H41" s="12">
        <v>230.98</v>
      </c>
      <c r="I41" s="12">
        <v>230.98</v>
      </c>
    </row>
    <row r="42" spans="1:9" ht="10.5" x14ac:dyDescent="0.2">
      <c r="A42" s="8"/>
      <c r="B42" s="8"/>
      <c r="C42" s="8"/>
      <c r="D42" s="8"/>
      <c r="E42" s="8"/>
      <c r="F42" s="8"/>
      <c r="G42" s="8"/>
      <c r="H42" s="8"/>
      <c r="I42" s="8"/>
    </row>
    <row r="43" spans="1:9" ht="10.5" x14ac:dyDescent="0.2">
      <c r="A43" s="9" t="s">
        <v>121</v>
      </c>
      <c r="B43" s="9"/>
      <c r="C43" s="9"/>
      <c r="D43" s="9"/>
      <c r="E43" s="9"/>
      <c r="F43" s="9"/>
      <c r="G43" s="9"/>
      <c r="H43" s="9"/>
      <c r="I43" s="9"/>
    </row>
    <row r="44" spans="1:9" ht="10.5" x14ac:dyDescent="0.2">
      <c r="A44" s="7" t="s">
        <v>38</v>
      </c>
      <c r="B44" s="14" t="s">
        <v>114</v>
      </c>
      <c r="C44" s="14" t="s">
        <v>114</v>
      </c>
      <c r="D44" s="14" t="s">
        <v>114</v>
      </c>
      <c r="E44" s="12">
        <v>743.91</v>
      </c>
      <c r="F44" s="14" t="s">
        <v>114</v>
      </c>
      <c r="G44" s="14" t="s">
        <v>114</v>
      </c>
      <c r="H44" s="12">
        <v>410.54</v>
      </c>
      <c r="I44" s="14" t="s">
        <v>114</v>
      </c>
    </row>
    <row r="45" spans="1:9" ht="10.5" x14ac:dyDescent="0.2">
      <c r="A45" s="7" t="s">
        <v>39</v>
      </c>
      <c r="B45" s="14" t="s">
        <v>114</v>
      </c>
      <c r="C45" s="14" t="s">
        <v>114</v>
      </c>
      <c r="D45" s="14" t="s">
        <v>114</v>
      </c>
      <c r="E45" s="12">
        <v>-1.46</v>
      </c>
      <c r="F45" s="14" t="s">
        <v>114</v>
      </c>
      <c r="G45" s="14" t="s">
        <v>114</v>
      </c>
      <c r="H45" s="12">
        <v>109.75</v>
      </c>
      <c r="I45" s="14" t="s">
        <v>114</v>
      </c>
    </row>
    <row r="46" spans="1:9" ht="10.5" x14ac:dyDescent="0.2">
      <c r="A46" s="7" t="s">
        <v>40</v>
      </c>
      <c r="B46" s="14" t="s">
        <v>114</v>
      </c>
      <c r="C46" s="14" t="s">
        <v>114</v>
      </c>
      <c r="D46" s="14" t="s">
        <v>114</v>
      </c>
      <c r="E46" s="12">
        <v>219</v>
      </c>
      <c r="F46" s="14" t="s">
        <v>114</v>
      </c>
      <c r="G46" s="14" t="s">
        <v>114</v>
      </c>
      <c r="H46" s="12">
        <v>208.42</v>
      </c>
      <c r="I46" s="14" t="s">
        <v>114</v>
      </c>
    </row>
    <row r="47" spans="1:9" ht="10.5" x14ac:dyDescent="0.2">
      <c r="A47" s="7" t="s">
        <v>41</v>
      </c>
      <c r="B47" s="14" t="s">
        <v>114</v>
      </c>
      <c r="C47" s="14" t="s">
        <v>114</v>
      </c>
      <c r="D47" s="14" t="s">
        <v>114</v>
      </c>
      <c r="E47" s="12">
        <v>192.73</v>
      </c>
      <c r="F47" s="14" t="s">
        <v>114</v>
      </c>
      <c r="G47" s="14" t="s">
        <v>114</v>
      </c>
      <c r="H47" s="12">
        <v>163.75</v>
      </c>
      <c r="I47" s="14" t="s">
        <v>114</v>
      </c>
    </row>
    <row r="48" spans="1:9" ht="10.5" x14ac:dyDescent="0.2">
      <c r="A48" s="8"/>
      <c r="B48" s="8"/>
      <c r="C48" s="8"/>
      <c r="D48" s="8"/>
      <c r="E48" s="8"/>
      <c r="F48" s="8"/>
      <c r="G48" s="8"/>
      <c r="H48" s="8"/>
      <c r="I48" s="8"/>
    </row>
    <row r="49" spans="1:9" ht="10.5" x14ac:dyDescent="0.2">
      <c r="A49" s="9" t="s">
        <v>122</v>
      </c>
      <c r="B49" s="11" t="s">
        <v>123</v>
      </c>
      <c r="C49" s="11" t="s">
        <v>124</v>
      </c>
      <c r="D49" s="9"/>
      <c r="E49" s="9"/>
      <c r="F49" s="9"/>
      <c r="G49" s="9"/>
      <c r="H49" s="9"/>
      <c r="I49" s="9"/>
    </row>
    <row r="50" spans="1:9" ht="10.5" x14ac:dyDescent="0.2">
      <c r="A50" s="9" t="s">
        <v>38</v>
      </c>
      <c r="B50" s="24">
        <v>133325.92000000001</v>
      </c>
      <c r="C50" s="24">
        <v>577.23</v>
      </c>
      <c r="D50" s="8"/>
      <c r="E50" s="8"/>
      <c r="F50" s="8"/>
      <c r="G50" s="8"/>
      <c r="H50" s="8"/>
      <c r="I50" s="8"/>
    </row>
    <row r="51" spans="1:9" ht="10.5" x14ac:dyDescent="0.2">
      <c r="A51" s="9" t="s">
        <v>39</v>
      </c>
      <c r="B51" s="24">
        <v>12506.43</v>
      </c>
      <c r="C51" s="24">
        <v>54.15</v>
      </c>
      <c r="D51" s="8"/>
      <c r="E51" s="8"/>
      <c r="F51" s="8"/>
      <c r="G51" s="8"/>
      <c r="H51" s="8"/>
      <c r="I51" s="8"/>
    </row>
    <row r="52" spans="1:9" ht="10.5" x14ac:dyDescent="0.2">
      <c r="A52" s="9" t="s">
        <v>40</v>
      </c>
      <c r="B52" s="24">
        <v>49362.01</v>
      </c>
      <c r="C52" s="24">
        <v>213.71</v>
      </c>
      <c r="D52" s="8"/>
      <c r="E52" s="8"/>
      <c r="F52" s="8"/>
      <c r="G52" s="8"/>
      <c r="H52" s="8"/>
      <c r="I52" s="8"/>
    </row>
    <row r="53" spans="1:9" ht="10.5" x14ac:dyDescent="0.2">
      <c r="A53" s="9" t="s">
        <v>41</v>
      </c>
      <c r="B53" s="24">
        <v>41169.86</v>
      </c>
      <c r="C53" s="24">
        <v>178.24</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C13E-21D5-4DF6-9F41-F1B9EE0F18E4}">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125</v>
      </c>
    </row>
    <row r="7" spans="1:255" x14ac:dyDescent="0.2">
      <c r="A7" s="2" t="s">
        <v>1</v>
      </c>
      <c r="B7" s="2"/>
      <c r="C7" s="28"/>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126</v>
      </c>
      <c r="B8" s="4" t="s">
        <v>3</v>
      </c>
    </row>
    <row r="9" spans="1:255" ht="10.5" x14ac:dyDescent="0.25">
      <c r="A9" s="3" t="s">
        <v>127</v>
      </c>
      <c r="B9" s="4" t="s">
        <v>5</v>
      </c>
    </row>
    <row r="10" spans="1:255" ht="10.5" x14ac:dyDescent="0.25">
      <c r="A10" s="3" t="s">
        <v>128</v>
      </c>
      <c r="B10" s="5">
        <v>45045</v>
      </c>
    </row>
    <row r="11" spans="1:255" x14ac:dyDescent="0.2">
      <c r="A11" s="6"/>
    </row>
    <row r="13" spans="1:255" x14ac:dyDescent="0.2">
      <c r="A13" s="2" t="s">
        <v>7</v>
      </c>
      <c r="B13" s="2"/>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25"/>
      <c r="B14" s="27"/>
    </row>
    <row r="15" spans="1:255" ht="400" customHeight="1" x14ac:dyDescent="0.2">
      <c r="A15" s="26"/>
      <c r="B15" s="10"/>
    </row>
    <row r="18" spans="1:1" x14ac:dyDescent="0.2">
      <c r="A18" s="6"/>
    </row>
    <row r="23" spans="1:1" x14ac:dyDescent="0.2">
      <c r="A23" t="s">
        <v>43</v>
      </c>
    </row>
    <row r="32" spans="1:1" ht="2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A20-50F6-493E-983E-1741584AA151}">
  <sheetPr codeName="Sheet9"/>
  <dimension ref="A5"/>
  <sheetViews>
    <sheetView workbookViewId="0"/>
  </sheetViews>
  <sheetFormatPr defaultRowHeight="10" x14ac:dyDescent="0.2"/>
  <sheetData>
    <row r="5" spans="1:1" ht="23.25" customHeight="1" x14ac:dyDescent="0.45">
      <c r="A5" s="29" t="s">
        <v>129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COMPCO</vt:lpstr>
      <vt:lpstr>BENCHMARKING</vt:lpstr>
      <vt:lpstr>Financial Data</vt:lpstr>
      <vt:lpstr>Trading Multiples</vt:lpstr>
      <vt:lpstr>Operating Statistics</vt:lpstr>
      <vt:lpstr>Business Description</vt:lpstr>
      <vt:lpstr>Implied Valuation</vt:lpstr>
      <vt:lpstr>Valuation Chart</vt:lpstr>
      <vt:lpstr>Evaluation Warning</vt:lpstr>
      <vt:lpstr>'Business Description'!Print_Titles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2023-04-29T22:12:15Z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