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66925"/>
  <xr:revisionPtr revIDLastSave="0" documentId="13_ncr:1_{D1D29487-7703-4F9D-A56B-C0B8B29C69EB}" xr6:coauthVersionLast="47" xr6:coauthVersionMax="47" xr10:uidLastSave="{00000000-0000-0000-0000-000000000000}"/>
  <bookViews>
    <workbookView xWindow="1812" yWindow="612" windowWidth="17316" windowHeight="10512" xr2:uid="{00000000-000D-0000-FFFF-FFFF00000000}"/>
  </bookViews>
  <sheets>
    <sheet name="COMPCO" sheetId="11" r:id="rId1"/>
    <sheet name="BENCHMARKING" sheetId="10" r:id="rId2"/>
    <sheet name="Financial Data" sheetId="1" r:id="rId3"/>
    <sheet name="Trading Multiples" sheetId="2" r:id="rId4"/>
    <sheet name="Operating Statistics" sheetId="3" r:id="rId5"/>
    <sheet name="Business Description" sheetId="4" r:id="rId6"/>
    <sheet name="Implied Valuation" sheetId="5" r:id="rId7"/>
    <sheet name="Valuation Chart" sheetId="6" r:id="rId8"/>
    <sheet name="Credit Health Panel" sheetId="7" r:id="rId9"/>
    <sheet name="Disclaimer" sheetId="8" r:id="rId10"/>
    <sheet name="Evaluation Warning" sheetId="9" r:id="rId11"/>
  </sheets>
  <definedNames>
    <definedName name="_xlnm.Print_Titles" localSheetId="5">'Business Description'!$1:$3</definedName>
    <definedName name="_xlnm.Print_Titles" localSheetId="8">'Credit Health Panel'!$1:$3</definedName>
    <definedName name="_xlnm.Print_Titles" localSheetId="9">Disclaimer!$1:$3</definedName>
    <definedName name="_xlnm.Print_Titles" localSheetId="2">'Financial Data'!$1:$3</definedName>
    <definedName name="_xlnm.Print_Titles" localSheetId="6">'Implied Valuation'!$1:$3</definedName>
    <definedName name="_xlnm.Print_Titles" localSheetId="4">'Operating Statistics'!$1:$3</definedName>
    <definedName name="_xlnm.Print_Titles" localSheetId="3">'Trading Multiples'!$1:$3</definedName>
    <definedName name="_xlnm.Print_Titles" localSheetId="7">'Valuation Chart'!$1:$3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11" l="1"/>
  <c r="N44" i="11"/>
  <c r="N43" i="11"/>
  <c r="N42" i="11"/>
  <c r="N41" i="11"/>
  <c r="N40" i="11"/>
  <c r="N39" i="11"/>
  <c r="N38" i="11"/>
  <c r="N37" i="11"/>
  <c r="N36" i="11"/>
  <c r="N35" i="11"/>
  <c r="N34" i="11"/>
  <c r="N33" i="11"/>
  <c r="N32" i="11"/>
  <c r="N31" i="11"/>
  <c r="N30" i="11"/>
  <c r="N29" i="11"/>
  <c r="N28" i="11"/>
  <c r="N27" i="11"/>
  <c r="N26" i="11"/>
  <c r="N25" i="11"/>
  <c r="N24" i="11"/>
  <c r="M44" i="11"/>
  <c r="M43" i="11"/>
  <c r="M42" i="11"/>
  <c r="M41" i="11"/>
  <c r="M40" i="11"/>
  <c r="M39" i="11"/>
  <c r="M38" i="11"/>
  <c r="M37" i="11"/>
  <c r="M36" i="11"/>
  <c r="M35" i="11"/>
  <c r="M34" i="11"/>
  <c r="M33" i="11"/>
  <c r="M32" i="11"/>
  <c r="M31" i="11"/>
  <c r="M30" i="11"/>
  <c r="M29" i="11"/>
  <c r="M28" i="11"/>
  <c r="M27" i="11"/>
  <c r="M26" i="11"/>
  <c r="M25" i="11"/>
  <c r="M24" i="11"/>
  <c r="L44" i="11"/>
  <c r="L43" i="11"/>
  <c r="L42" i="11"/>
  <c r="L41" i="11"/>
  <c r="L40" i="11"/>
  <c r="L39" i="11"/>
  <c r="L38" i="11"/>
  <c r="L37" i="11"/>
  <c r="L36" i="11"/>
  <c r="L35" i="11"/>
  <c r="L34" i="11"/>
  <c r="L33" i="11"/>
  <c r="L32" i="11"/>
  <c r="L31" i="11"/>
  <c r="L30" i="11"/>
  <c r="L29" i="11"/>
  <c r="L28" i="11"/>
  <c r="L27" i="11"/>
  <c r="L26" i="11"/>
  <c r="L25" i="11"/>
  <c r="L24" i="11"/>
  <c r="L22" i="11"/>
  <c r="S8" i="11" s="1"/>
  <c r="S14" i="11" s="1"/>
  <c r="S12" i="11" s="1"/>
  <c r="S10" i="11" s="1"/>
  <c r="D28" i="10"/>
  <c r="O29" i="10"/>
  <c r="N29" i="10"/>
  <c r="M29" i="10"/>
  <c r="L29" i="10"/>
  <c r="K29" i="10"/>
  <c r="J29" i="10"/>
  <c r="I29" i="10"/>
  <c r="H29" i="10"/>
  <c r="G29" i="10"/>
  <c r="F29" i="10"/>
  <c r="E29" i="10"/>
  <c r="D29" i="10"/>
  <c r="O51" i="10"/>
  <c r="O50" i="10"/>
  <c r="O49" i="10"/>
  <c r="O48" i="10"/>
  <c r="O47" i="10"/>
  <c r="O46" i="10"/>
  <c r="O45" i="10"/>
  <c r="O44" i="10"/>
  <c r="O43" i="10"/>
  <c r="O42" i="10"/>
  <c r="O41" i="10"/>
  <c r="O40" i="10"/>
  <c r="O39" i="10"/>
  <c r="O38" i="10"/>
  <c r="O37" i="10"/>
  <c r="O36" i="10"/>
  <c r="O35" i="10"/>
  <c r="O34" i="10"/>
  <c r="O33" i="10"/>
  <c r="O32" i="10"/>
  <c r="O31" i="10"/>
  <c r="N51" i="10"/>
  <c r="N50" i="10"/>
  <c r="N49" i="10"/>
  <c r="N48" i="10"/>
  <c r="N47" i="10"/>
  <c r="N46" i="10"/>
  <c r="N45" i="10"/>
  <c r="N44" i="10"/>
  <c r="N43" i="10"/>
  <c r="N42" i="10"/>
  <c r="N41" i="10"/>
  <c r="N40" i="10"/>
  <c r="N39" i="10"/>
  <c r="N38" i="10"/>
  <c r="N37" i="10"/>
  <c r="N36" i="10"/>
  <c r="N35" i="10"/>
  <c r="N34" i="10"/>
  <c r="N33" i="10"/>
  <c r="N32" i="10"/>
  <c r="N31" i="10"/>
  <c r="M51" i="10"/>
  <c r="M50" i="10"/>
  <c r="M49" i="10"/>
  <c r="M48" i="10"/>
  <c r="M47" i="10"/>
  <c r="M46" i="10"/>
  <c r="M45" i="10"/>
  <c r="M44" i="10"/>
  <c r="M43" i="10"/>
  <c r="M42" i="10"/>
  <c r="M41" i="10"/>
  <c r="M40" i="10"/>
  <c r="M39" i="10"/>
  <c r="M38" i="10"/>
  <c r="M37" i="10"/>
  <c r="M36" i="10"/>
  <c r="M35" i="10"/>
  <c r="M34" i="10"/>
  <c r="M33" i="10"/>
  <c r="M32" i="10"/>
  <c r="M31" i="10"/>
  <c r="L51" i="10"/>
  <c r="L50" i="10"/>
  <c r="L49" i="10"/>
  <c r="L48" i="10"/>
  <c r="L47" i="10"/>
  <c r="L46" i="10"/>
  <c r="L45" i="10"/>
  <c r="L44" i="10"/>
  <c r="L43" i="10"/>
  <c r="L42" i="10"/>
  <c r="L41" i="10"/>
  <c r="L40" i="10"/>
  <c r="L39" i="10"/>
  <c r="L38" i="10"/>
  <c r="L37" i="10"/>
  <c r="L36" i="10"/>
  <c r="L35" i="10"/>
  <c r="L34" i="10"/>
  <c r="L33" i="10"/>
  <c r="L32" i="10"/>
  <c r="L31" i="10"/>
  <c r="K51" i="10"/>
  <c r="K50" i="10"/>
  <c r="K49" i="10"/>
  <c r="K48" i="10"/>
  <c r="K47" i="10"/>
  <c r="K46" i="10"/>
  <c r="K45" i="10"/>
  <c r="K44" i="10"/>
  <c r="K43" i="10"/>
  <c r="K42" i="10"/>
  <c r="K41" i="10"/>
  <c r="K40" i="10"/>
  <c r="K39" i="10"/>
  <c r="K38" i="10"/>
  <c r="K37" i="10"/>
  <c r="K36" i="10"/>
  <c r="K35" i="10"/>
  <c r="K34" i="10"/>
  <c r="K33" i="10"/>
  <c r="K32" i="10"/>
  <c r="K31" i="10"/>
  <c r="J51" i="10"/>
  <c r="J50" i="10"/>
  <c r="J49" i="10"/>
  <c r="J48" i="10"/>
  <c r="J47" i="10"/>
  <c r="J46" i="10"/>
  <c r="J45" i="10"/>
  <c r="J44" i="10"/>
  <c r="J43" i="10"/>
  <c r="J42" i="10"/>
  <c r="J41" i="10"/>
  <c r="J40" i="10"/>
  <c r="J39" i="10"/>
  <c r="J38" i="10"/>
  <c r="J37" i="10"/>
  <c r="J36" i="10"/>
  <c r="J35" i="10"/>
  <c r="J34" i="10"/>
  <c r="J33" i="10"/>
  <c r="J32" i="10"/>
  <c r="J31" i="10"/>
  <c r="I51" i="10"/>
  <c r="I50" i="10"/>
  <c r="I49" i="10"/>
  <c r="I48" i="10"/>
  <c r="I47" i="10"/>
  <c r="I46" i="10"/>
  <c r="I45" i="10"/>
  <c r="I44" i="10"/>
  <c r="I43" i="10"/>
  <c r="I42" i="10"/>
  <c r="I41" i="10"/>
  <c r="I40" i="10"/>
  <c r="I39" i="10"/>
  <c r="I38" i="10"/>
  <c r="I37" i="10"/>
  <c r="I36" i="10"/>
  <c r="I35" i="10"/>
  <c r="I34" i="10"/>
  <c r="I33" i="10"/>
  <c r="I32" i="10"/>
  <c r="I31" i="10"/>
  <c r="H51" i="10"/>
  <c r="H50" i="10"/>
  <c r="H49" i="10"/>
  <c r="H48" i="10"/>
  <c r="H47" i="10"/>
  <c r="H46" i="10"/>
  <c r="H45" i="10"/>
  <c r="H44" i="10"/>
  <c r="H43" i="10"/>
  <c r="H42" i="10"/>
  <c r="H41" i="10"/>
  <c r="H40" i="10"/>
  <c r="H39" i="10"/>
  <c r="H38" i="10"/>
  <c r="H37" i="10"/>
  <c r="H36" i="10"/>
  <c r="H35" i="10"/>
  <c r="H34" i="10"/>
  <c r="H33" i="10"/>
  <c r="H32" i="10"/>
  <c r="H31" i="10"/>
  <c r="G51" i="10"/>
  <c r="G50" i="10"/>
  <c r="G49" i="10"/>
  <c r="G48" i="10"/>
  <c r="G47" i="10"/>
  <c r="G46" i="10"/>
  <c r="G45" i="10"/>
  <c r="G44" i="10"/>
  <c r="G43" i="10"/>
  <c r="G42" i="10"/>
  <c r="G41" i="10"/>
  <c r="G40" i="10"/>
  <c r="G39" i="10"/>
  <c r="G38" i="10"/>
  <c r="G37" i="10"/>
  <c r="G36" i="10"/>
  <c r="G35" i="10"/>
  <c r="G34" i="10"/>
  <c r="G33" i="10"/>
  <c r="G32" i="10"/>
  <c r="G31" i="10"/>
  <c r="F51" i="10"/>
  <c r="F50" i="10"/>
  <c r="F49" i="10"/>
  <c r="F48" i="10"/>
  <c r="F47" i="10"/>
  <c r="F46" i="10"/>
  <c r="F45" i="10"/>
  <c r="F44" i="10"/>
  <c r="F43" i="10"/>
  <c r="F42" i="10"/>
  <c r="F41" i="10"/>
  <c r="F40" i="10"/>
  <c r="F39" i="10"/>
  <c r="F38" i="10"/>
  <c r="F37" i="10"/>
  <c r="F36" i="10"/>
  <c r="F35" i="10"/>
  <c r="F34" i="10"/>
  <c r="F33" i="10"/>
  <c r="F32" i="10"/>
  <c r="F31" i="10"/>
  <c r="E51" i="10"/>
  <c r="E50" i="10"/>
  <c r="E49" i="10"/>
  <c r="E48" i="10"/>
  <c r="E47" i="10"/>
  <c r="E46" i="10"/>
  <c r="E45" i="10"/>
  <c r="E44" i="10"/>
  <c r="E43" i="10"/>
  <c r="E42" i="10"/>
  <c r="E41" i="10"/>
  <c r="E40" i="10"/>
  <c r="E39" i="10"/>
  <c r="E38" i="10"/>
  <c r="E37" i="10"/>
  <c r="E36" i="10"/>
  <c r="E35" i="10"/>
  <c r="E34" i="10"/>
  <c r="E33" i="10"/>
  <c r="E32" i="10"/>
  <c r="E31" i="10"/>
  <c r="D51" i="10"/>
  <c r="D50" i="10"/>
  <c r="D49" i="10"/>
  <c r="D48" i="10"/>
  <c r="D47" i="10"/>
  <c r="D46" i="10"/>
  <c r="D45" i="10"/>
  <c r="D44" i="10"/>
  <c r="D43" i="10"/>
  <c r="D42" i="10"/>
  <c r="D41" i="10"/>
  <c r="D40" i="10"/>
  <c r="D39" i="10"/>
  <c r="D38" i="10"/>
  <c r="D37" i="10"/>
  <c r="D36" i="10"/>
  <c r="D35" i="10"/>
  <c r="D34" i="10"/>
  <c r="D33" i="10"/>
  <c r="D32" i="10"/>
  <c r="D31" i="10"/>
  <c r="Q8" i="11" l="1"/>
  <c r="Q10" i="11" s="1"/>
  <c r="Q12" i="11" s="1"/>
  <c r="Q14" i="11" s="1"/>
  <c r="R8" i="11"/>
  <c r="R10" i="11" s="1"/>
  <c r="R12" i="11" s="1"/>
  <c r="R14" i="11" s="1"/>
  <c r="Q15" i="11" l="1"/>
  <c r="Q17" i="11" s="1"/>
</calcChain>
</file>

<file path=xl/sharedStrings.xml><?xml version="1.0" encoding="utf-8"?>
<sst xmlns="http://schemas.openxmlformats.org/spreadsheetml/2006/main" count="631" uniqueCount="208">
  <si>
    <t>Chevron Corporation (NYSE:CVX) &gt;  Quick Comparable Analysis &gt; Financial Data</t>
  </si>
  <si>
    <t>Details</t>
  </si>
  <si>
    <t>Template:</t>
  </si>
  <si>
    <t>Capital IQ Default Comps</t>
  </si>
  <si>
    <t>Currency:</t>
  </si>
  <si>
    <t>US Dollar</t>
  </si>
  <si>
    <t>As-Of Date:</t>
  </si>
  <si>
    <t>Company Comp Set</t>
  </si>
  <si>
    <t>Company Name</t>
  </si>
  <si>
    <t>Day Close Price Latest</t>
  </si>
  <si>
    <t>Shares Outstanding Latest</t>
  </si>
  <si>
    <t>Market Capitalization Latest</t>
  </si>
  <si>
    <t xml:space="preserve">LTM Net Debt </t>
  </si>
  <si>
    <t>LTM Total Pref. Equity</t>
  </si>
  <si>
    <t>LTM Minority Interest</t>
  </si>
  <si>
    <t>Total Enterprise Value Latest</t>
  </si>
  <si>
    <t xml:space="preserve">LTM Tangible Book Value/Share </t>
  </si>
  <si>
    <t xml:space="preserve">LTM Filing Date, Income Statement </t>
  </si>
  <si>
    <t xml:space="preserve">LTM Total Revenue </t>
  </si>
  <si>
    <t xml:space="preserve">LTM EBITDA </t>
  </si>
  <si>
    <t xml:space="preserve">LTM EBIT </t>
  </si>
  <si>
    <t xml:space="preserve">LTM Diluted EPS Excl. Extra Items </t>
  </si>
  <si>
    <t xml:space="preserve">NTM Revenue (Capital IQ) </t>
  </si>
  <si>
    <t xml:space="preserve">NTM EBITDA (Capital IQ) </t>
  </si>
  <si>
    <t xml:space="preserve">NTM EPS (Capital IQ) </t>
  </si>
  <si>
    <t>Exxon Mobil Corporation (NYSE:XOM)</t>
  </si>
  <si>
    <t>-</t>
  </si>
  <si>
    <t>BP p.l.c. (LSE:BP.)</t>
  </si>
  <si>
    <t>Marathon Petroleum Corporation (NYSE:MPC)</t>
  </si>
  <si>
    <t>Valero Energy Corporation (NYSE:VLO)</t>
  </si>
  <si>
    <t>Phillips 66 (NYSE:PSX)</t>
  </si>
  <si>
    <t>TotalEnergies SE (ENXTPA:TTE)</t>
  </si>
  <si>
    <t>Shell plc (LSE:SHEL)</t>
  </si>
  <si>
    <t>Occidental Petroleum Corporation (NYSE:OXY)</t>
  </si>
  <si>
    <t>Eni S.p.A. (BIT:ENI)</t>
  </si>
  <si>
    <t>Hess Corporation (NYSE:HES)</t>
  </si>
  <si>
    <t>Chevron Corporation (NYSE:CVX)</t>
  </si>
  <si>
    <t>Summary Statistics</t>
  </si>
  <si>
    <t>High</t>
  </si>
  <si>
    <t>Low</t>
  </si>
  <si>
    <t>Mean</t>
  </si>
  <si>
    <t>Median</t>
  </si>
  <si>
    <t>Displaying 11 Companies.</t>
  </si>
  <si>
    <t>Values converted at today's spot rate.</t>
  </si>
  <si>
    <t>Companies by default are sorted by S&amp;P Capital IQ’s proprietary relevancy score.</t>
  </si>
  <si>
    <t>Historical Equity Pricing Data supplied by Interactive Data Pricing and Reference Data LLC</t>
  </si>
  <si>
    <t>Chevron Corporation (NYSE:CVX) &gt;  Quick Comparable Analysis &gt; Trading Multiples</t>
  </si>
  <si>
    <t>Template:</t>
  </si>
  <si>
    <t>Currency:</t>
  </si>
  <si>
    <t>As-Of Date:</t>
  </si>
  <si>
    <t>TEV/Total Revenues LTM - Latest</t>
  </si>
  <si>
    <t>TEV/EBITDA LTM - Latest</t>
  </si>
  <si>
    <t>TEV/EBIT LTM - Latest</t>
  </si>
  <si>
    <t>P/Diluted EPS Before Extra LTM - Latest</t>
  </si>
  <si>
    <t>P/TangBV LTM - Latest</t>
  </si>
  <si>
    <t xml:space="preserve">NTM TEV/Forward Total Revenue (Capital IQ) </t>
  </si>
  <si>
    <t xml:space="preserve">NTM TEV/Forward EBITDA (Capital IQ) </t>
  </si>
  <si>
    <t xml:space="preserve">NTM Forward P/E (Capital IQ) </t>
  </si>
  <si>
    <t>Chevron Corporation (NYSE:CVX) &gt;  Quick Comparable Analysis &gt; Operating Statistics</t>
  </si>
  <si>
    <t>Template:</t>
  </si>
  <si>
    <t>Currency:</t>
  </si>
  <si>
    <t>As-Of Date:</t>
  </si>
  <si>
    <t xml:space="preserve">LTM Gross Margin % </t>
  </si>
  <si>
    <t xml:space="preserve">LTM EBITDA Margin % </t>
  </si>
  <si>
    <t xml:space="preserve">LTM EBIT Margin % </t>
  </si>
  <si>
    <t xml:space="preserve">LTM Net Income Margin % </t>
  </si>
  <si>
    <t xml:space="preserve">LTM Total Revenues, 1 Yr Growth % </t>
  </si>
  <si>
    <t xml:space="preserve">LTM EBITDA, 1 Yr Growth % </t>
  </si>
  <si>
    <t xml:space="preserve">LTM EBIT, 1 Yr Growth % </t>
  </si>
  <si>
    <t xml:space="preserve">LTM Net Income, 1 Yr Growth % </t>
  </si>
  <si>
    <t>LTM Total Debt/Capital %</t>
  </si>
  <si>
    <t xml:space="preserve">LTM Total Debt/EBITDA </t>
  </si>
  <si>
    <t xml:space="preserve">NTM LT EPS Growth Rate (Capital IQ) </t>
  </si>
  <si>
    <t>5 Year Beta</t>
  </si>
  <si>
    <t>Chevron Corporation (NYSE:CVX) &gt;  Quick Comparable Analysis &gt; Business Description</t>
  </si>
  <si>
    <t>Template:</t>
  </si>
  <si>
    <t>Currency:</t>
  </si>
  <si>
    <t>As-Of Date:</t>
  </si>
  <si>
    <t>Business Description</t>
  </si>
  <si>
    <t>Headquarters</t>
  </si>
  <si>
    <t>Exxon Mobil Corporation engages in the exploration and production of crude oil and natural gas in the United States and internationally. It operates through Upstream, Energy Products, Chemical Products, and Specialty Products segments. The Upstream segment explores for and produces crude oil and natural gas. The Energy Products segment offers fuels, aromatics, and catalysts, as well as licensing services. The Chemical Products segment manufactures and markets petrochemicals including olefins, polyolefins, and intermediates. The Specialty Products segment offers performance products, including lubricants, basestocks, waxes, synthetics, elastomers, and resins. The company is involved in the manufacturing, trade, transport, and sale of crude oil, natural gas, petroleum products, petrochemicals, and other specialty products; and pursuit lower-emission business opportunities including carbon capture and storage, hydrogen, and lower-emission fuels. Exxon Mobil Corporation was founded in 1870 and is headquartered in Irving, Texas.</t>
  </si>
  <si>
    <t>5959 Las Colinas Boulevard, Irving, Texas, 75039-2298, United States</t>
  </si>
  <si>
    <t>BP p.l.c. provides carbon products and services. The company operates through Gas &amp; Low Carbon Energy, Oil Production &amp; Operations, and Customers &amp; Products segments. It engages in the production of natural gas, and integrated gas and power; trading of gas; operation of onshore and offshore wind power, as well as hydrogen and carbon capture and storage facilities; trading and marketing of renewable and non-renewable power; and production of crude oil. In addition, the company involved in convenience and retail fuel, EV charging, Castrol lubricant, aviation, B2B, and midstream businesses; refining and oil trading; and bioenergy business. Further, it engages in power and storage, digital transformation, carbon management, and bio and low carbon related products, as well as energy and environmental commodities and mobility businesses. The company was founded in 1908 and is headquartered in London, the United Kingdom.</t>
  </si>
  <si>
    <t>1 St James's Square, London, Greater London, SW1Y 4PD, United Kingdom</t>
  </si>
  <si>
    <t>Marathon Petroleum Corporation, together with its subsidiaries, operates as an integrated downstream energy company primarily in the United States. It operates in two segments, Refining &amp; Marketing, and Midstream. The Refining &amp; Marketing segment refines crude oil and other feedstocks at its refineries in the Gulf Coast, Mid-Continent, and West Coast regions of the United States; and purchases refined products and ethanol for resale and distributes refined products, including renewable diesel, through transportation, storage, distribution, and marketing services. Its refined products include transportation fuels, such as reformulated gasolines and blend-grade gasolines; heavy fuel oil; and asphalt. This segment also manufactures propane, petrochemicals, and natural gas liquids. It sells refined products to wholesale marketing customers in the United States and internationally, buyers on the spot market, and independent entrepreneurs who operate primarily Marathon branded outlets, as well as through long-term fuel supply contracts to direct dealer locations primarily under the ARCO brand. The Midstream segment transports, stores, distributes, and markets crude oil and refined products through refining logistics assets, pipelines, terminals, towboats, and barges; gathers, processes, and transports natural gas; and gathers, transports, fractionates, stores, and markets natural gas liquids. The company was founded in 1887 and is headquartered in Findlay, Ohio.</t>
  </si>
  <si>
    <t>539 South Main Street, Findlay, Ohio, 45840-3229, United States</t>
  </si>
  <si>
    <t>Valero Energy Corporation manufactures, markets, and sells transportation fuels and petrochemical products in the United States, Canada, the United Kingdom, Ireland, Latin America, and internationally. It operates through three segments: Refining, Renewable Diesel, and Ethanol. The company produces California Reformulated Gasoline Blendstock for Oxygenate Blending and Conventional Blendstock for Oxygenate Blending gasolines, CARB diesel, diesel, jet fuel, and asphalt; aromatics; and sulfur crude oils. It sells its refined products through wholesale rack and bulk markets; and through approximately outlets under the Valero, Beacon, Diamond Shamrock, Shamrock, Ultramar, and Texaco brands. The company also produces and sells ethanol, dry distiller grains, syrup, and inedible corn oil primarily to animal feed customers. In addition, it owns and operates crude oil and refined petroleum products pipelines, terminals, tanks, marine docks, truck rack bays, and other logistics assets; and owns and operates a plant that processes animal fats, used cooking oils, and inedible distillers corn oils. The company was formerly known as Valero Refining and Marketing Company and changed its name to Valero Energy Corporation in August 1997. Valero Energy Corporation was founded in 1980 and is headquartered in San Antonio, Texas.</t>
  </si>
  <si>
    <t>One Valero Way, San Antonio, Texas, 78249, United States</t>
  </si>
  <si>
    <t>Phillips 66 operates as an energy manufacturing and logistics company in the United States, the United Kingdom, Germany, and internationally. It operates through four segments: Midstream, Chemicals, Refining, and Marketing and Specialties (M&amp;S). The Midstream segment transports crude oil and other feedstocks; delivers refined petroleum products to market; provides terminaling and storage services for crude oil and refined petroleum products; transports, stores, fractionates, exports, and markets natural gas liquids; provides other fee-based processing services; and gathers, processes, transports, and markets natural gas. The Chemicals segment produces and markets ethylene and other olefin products; aromatics and styrenics products, such as benzene, cyclohexane, styrene, and polystyrene; and various specialty chemical products, including organosulfur chemicals, solvents, catalysts, and chemicals used in drilling and mining. The Refining segment refines crude oil and other feedstocks into petroleum products, such as gasolines, distillates, aviation, and renewable. The M&amp;S segment purchases for resale and markets refined petroleum products, including gasolines, distillates, and aviation fuels. This segment also manufactures and markets specialty products, such as base oils and lubricants. The company was founded in 1875 and is headquartered in Houston, Texas.</t>
  </si>
  <si>
    <t>2331 CityWest Boulevard, Houston, Texas, 77042, United States</t>
  </si>
  <si>
    <t>TotalEnergies SE, a multi-energy company, produces and markets fuels, natural gas, and electricity in France, rest of Europe, North America, Africa, and internationally. It operates through Integrated Gas, Renewables &amp; Power; Exploration &amp; Production; Refining &amp; Chemicals; and Marketing &amp; Services segments. The Integrated Gas, Renewables &amp; Power segment engages in integrated gas, including liquified natural gas (LNG), and low carbon electricity businesses; and upstream and midstream LNG activities. Its Exploration &amp; Production segment offers carbon storage and nature-based solutions. The Refining &amp; Chemicals segment provides refining, petrochemicals, and specialty chemicals; and supply and trading of oil, and marine shipping services. Its Marketing &amp; Services segment engages in the supply and marketing of petroleum products. TotalEnergies SE was formerly known as TOTAL SE and changed its name to TotalEnergies SE in June 2021. The company was founded in 1924 and is headquartered in Courbevoie, France.</t>
  </si>
  <si>
    <t>2, place Jean Millier, La DEfense 6, Courbevoie, Ile-de-France, 92078, France</t>
  </si>
  <si>
    <t>Shell plc operates as an energy and petrochemical company Europe, Asia, Oceania, Africa, the United States, and Rest of the Americas. The company operates through Integrated Gas, Upstream, Marketing, Chemicals and Products, and Renewables and Energy Solutions segments. It explores for and extracts crude oil, natural gas, and natural gas liquids; markets and transports oil and gas; produces gas-to-liquids fuels and other products; and operates upstream and midstream infrastructure necessary to deliver gas to market. The company also markets and trades natural gas, liquefied natural gas (LNG), crude oil, electricity, carbon-emission rights; and markets and sells LNG as a fuel for heavy-duty vehicles. In addition, it trades in and refines crude oil and other feed stocks, such as low-carbon fuels, lubricants, bitumen, sulphur, gasoline, diesel, aviation fuel, and marine fuel; produces and sells petrochemicals for industrial use; and manages oil sands activities. Further, the company produces base chemicals comprising ethylene, propylene, and aromatics, as well as intermediate chemicals, such as styrene monomer, propylene oxide, solvents, detergent alcohols, ethylene oxide, and ethylene glycol. Additionally, it generates electricity through wind and solar resources; produces and sells hydrogen; and provides electric vehicle charging services. The company was formerly known as Royal Dutch Shell plc and changed its name to Shell plc in January 2022. Shell plc was founded in 1907 and is headquartered in London, the United Kingdom.</t>
  </si>
  <si>
    <t>Shell Centre, London, Greater London, SE1 7NA, United Kingdom</t>
  </si>
  <si>
    <t>Occidental Petroleum Corporation, together with its subsidiaries, engages in the acquisition, exploration, and development of oil and gas properties in the United States, the Middle East, North Africa, and Latin America. It operates through three segments: Oil and Gas, Chemical, and Midstream and Marketing. The company’s Oil and Gas segment explores for, develops, and produces oil and condensate, natural gas liquids (NGLs), and natural gas. Its Chemical segment manufactures and markets basic chemicals, including chlorine, caustic soda, chlorinated organics, potassium chemicals, ethylene dichloride, chlorinated isocyanurates, sodium silicates, and calcium chloride; and vinyls comprising vinyl chloride monomer, polyvinyl chloride, and ethylene. The Midstream and Marketing segment gathers, processes, transports, stores, purchases, and markets oil, condensate, NGLs, natural gas, carbon dioxide, and power. This segment also trades around its assets consisting of transportation and storage capacity; and invests in entities. Occidental Petroleum Corporation was founded in 1920 and is headquartered in Houston, Texas.</t>
  </si>
  <si>
    <t>5 Greenway Plaza, Suite 110, Houston, Texas, 77046-0521, United States</t>
  </si>
  <si>
    <t>Eni S.p.A. operates as an integrated energy company worldwide. It engages in exploration, development, extracting, manufacturing, and marketing crude oil and natural gas, oil-based fuels, chemical products, and gas-fired power, as well as energy products from renewable sources. The company operates through Exploration &amp; Production; Global Gas &amp; LNG Portfolio (GGP); Refining &amp; Marketing and Chemicals; Plenitude &amp; Power; and Corporate and Other Activities segments. The Exploration &amp; Production segment engages in research, development, and production of oil, condensates, and natural gas; and forestry conservation and CO2 capture and storage projects. The GGP segment is involved in the supply and sale of wholesale natural gas through pipeline; and international transport, and purchase and marketing of liquefied natural gas. The Refining &amp; Marketing and Chemicals segment supplies, processes, distributes, and markets fuels and chemicals. The Plenitude &amp; Power segment engages in the retail sale of gas, electricity, and related services; production and wholesale sale of electricity from thermoelectric and renewable plants; and provision of services for E-mobility. The Corporate and Other Activities segment is involved in the research and development, new technologies, business digitalization, and environmental activities. The company was founded in 1953 and is headquartered in Rome, Italy.</t>
  </si>
  <si>
    <t>Piazzale Enrico Mattei 1, Rome, Rome, 00144, Italy</t>
  </si>
  <si>
    <t>Hess Corporation, an exploration and production company, explores, develops, produces, purchases, transports, and sells crude oil, natural gas liquids (NGLs), and natural gas. The company operates in two segments, Exploration and Production, and Midstream. It conducts production operations primarily in the United States, Guyana, the Malaysia/Thailand Joint Development Area, and Malaysia; and exploration activities principally offshore Guyana, the U.S. Gulf of Mexico, and offshore Suriname and Canada. The company is also involved in gathering, compressing, and processing natural gas; fractionating NGLs; gathering, terminaling, loading, and transporting crude oil and NGL through rail car; and storing and terminaling propane, as well as providing water handling services primarily in the Bakken Shale plays in the Williston Basin area of North Dakota. The company was incorporated in 1920 and is headquartered in New York, New York.</t>
  </si>
  <si>
    <t>1185 Avenue of the Americas, 40th Floor, New York, New York, 10036, United States</t>
  </si>
  <si>
    <t>Chevron Corporation, through its subsidiaries, engages in the integrated energy and chemicals operations in the United States and internationally. The company operates in two segments, Upstream and Downstream. The Upstream segment is involved in the exploration, development, production, and transportation of crude oil and natural gas; liquefaction, transportation, and regasification associated with liquefied natural gas; transportation of crude oil through pipelines; and processing, transportation, storage, and marketing of natural gas, as well as a gas-to-liquids plant. The Downstream segment refines crude oil into petroleum products; markets crude oil, refined products, and lubricants; manufactures and markets renewable fuels; transports crude oil and refined products by pipeline, marine vessel, motor equipment, and rail car; and manufactures and markets commodity petrochemicals, plastics for industrial uses, and fuel and lubricant additives. The company was formerly known as ChevronTexaco Corporation and changed its name to Chevron Corporation in 2005. Chevron Corporation was founded in 1879 and is headquartered in San Ramon, California.</t>
  </si>
  <si>
    <t>6001 Bollinger Canyon Road, San Ramon, California, 94583-2324, United States</t>
  </si>
  <si>
    <t>Chevron Corporation (NYSE:CVX) &gt;  Quick Comparable Analysis &gt; Implied Valuation</t>
  </si>
  <si>
    <t>Template:</t>
  </si>
  <si>
    <t>Currency:</t>
  </si>
  <si>
    <t>As-Of Date:</t>
  </si>
  <si>
    <t xml:space="preserve">LTM Basic EPS </t>
  </si>
  <si>
    <t xml:space="preserve"> </t>
  </si>
  <si>
    <t>Total Enterprise Value Multiples</t>
  </si>
  <si>
    <t>Pricing Multiples</t>
  </si>
  <si>
    <t xml:space="preserve">NTM TEV/Forward Total Revenue </t>
  </si>
  <si>
    <t xml:space="preserve">NTM TEV/Forward EBITDA </t>
  </si>
  <si>
    <t xml:space="preserve">NTM Forward P/E </t>
  </si>
  <si>
    <t>NM</t>
  </si>
  <si>
    <t>Implied Enterprise Value</t>
  </si>
  <si>
    <t>NA</t>
  </si>
  <si>
    <t>+ Total Cash &amp; ST Investments</t>
  </si>
  <si>
    <t>- Total Debt</t>
  </si>
  <si>
    <t>- Total Pref. Equity</t>
  </si>
  <si>
    <t>- Minority Interest</t>
  </si>
  <si>
    <t>= Implied Equity Value</t>
  </si>
  <si>
    <t>/ Shares Outstanding</t>
  </si>
  <si>
    <t>= Implied Price per Share</t>
  </si>
  <si>
    <t>Mean Equity Value Across Multiples</t>
  </si>
  <si>
    <t>Equity Value</t>
  </si>
  <si>
    <t>Price Per Share</t>
  </si>
  <si>
    <t>Chevron Corporation (NYSE:CVX) &gt;  Quick Comparable Analysis &gt; Valuation Chart</t>
  </si>
  <si>
    <t>Template:</t>
  </si>
  <si>
    <t>Currency:</t>
  </si>
  <si>
    <t>As-Of Date:</t>
  </si>
  <si>
    <t>Chevron Corporation (NYSE:CVX) &gt;  Quick Comparable Analysis &gt; Credit Health Panel</t>
  </si>
  <si>
    <t>Template:</t>
  </si>
  <si>
    <t>Currency:</t>
  </si>
  <si>
    <t>As-Of Date:</t>
  </si>
  <si>
    <t>Overall</t>
  </si>
  <si>
    <t>Operational</t>
  </si>
  <si>
    <t>Solvency</t>
  </si>
  <si>
    <t>Liquidity</t>
  </si>
  <si>
    <t>LTM Period Ending</t>
  </si>
  <si>
    <t>Financials Updated</t>
  </si>
  <si>
    <t>S&amp;P Issuer Credit Rating Foreign Currency LT Rating</t>
  </si>
  <si>
    <t>CreditModel Score</t>
  </si>
  <si>
    <t>Market Signal Probability of Default %</t>
  </si>
  <si>
    <t>Country/Region</t>
  </si>
  <si>
    <t>Primary Industry Classification</t>
  </si>
  <si>
    <t>AA-</t>
  </si>
  <si>
    <t>a+</t>
  </si>
  <si>
    <t>0.1833%</t>
  </si>
  <si>
    <t>United States</t>
  </si>
  <si>
    <t>Integrated Oil and Gas</t>
  </si>
  <si>
    <t>BBB</t>
  </si>
  <si>
    <t>a-</t>
  </si>
  <si>
    <t>0.9189%</t>
  </si>
  <si>
    <t>Oil and Gas Refining and Marketing</t>
  </si>
  <si>
    <t>0.6733%</t>
  </si>
  <si>
    <t>A+</t>
  </si>
  <si>
    <t>0.3731%</t>
  </si>
  <si>
    <t>United Kingdom</t>
  </si>
  <si>
    <t>0.5638%</t>
  </si>
  <si>
    <t>France</t>
  </si>
  <si>
    <t>BB+</t>
  </si>
  <si>
    <t>0.8057%</t>
  </si>
  <si>
    <t>BBB+</t>
  </si>
  <si>
    <t>bbb+</t>
  </si>
  <si>
    <t>0.9987%</t>
  </si>
  <si>
    <t>A-</t>
  </si>
  <si>
    <t>a</t>
  </si>
  <si>
    <t>0.4957%</t>
  </si>
  <si>
    <t>0.7953%</t>
  </si>
  <si>
    <t>Italy</t>
  </si>
  <si>
    <t>BBB-</t>
  </si>
  <si>
    <t>bbb</t>
  </si>
  <si>
    <t>0.4383%</t>
  </si>
  <si>
    <t>Oil and Gas Exploration and Production</t>
  </si>
  <si>
    <t>0.1942%</t>
  </si>
  <si>
    <t>Credit Health Panel metric values are calculated by converting all currencies to USD based on yesterday’s spot rate. Currencies displayed on the page are converted at today’s spot rate from yesterday’s USD value.</t>
  </si>
  <si>
    <t>S&amp;P Credit Ratings and Research provided by</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</si>
  <si>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S&amp;P Global Market Intelligence or its affiliates (collectively, S&amp;P Global). The Content shall not be used for any unlawful or unauthorized purposes. S&amp;P Global and any third-party providers, as well as their directors, officers, shareholders, employees or agents (collectively S&amp;P Global Parties) do not guarantee the accuracy, completeness, timeliness or availability of the Content. S&amp;P Global Parties are not responsible for any errors or omissions (negligent or otherwise), regardless of the cause, for the results obtained from the use of the Content, or for the security or maintenance of any data input by the user. The Content is provided on an "as is" basis. S&amp;P GLOBAL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Global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damages.Credit-related and other analyses, including ratings, and statements in the Content are statements of opinion as of the date they are expressed and not statements of fact. S&amp;P Global Market Intelligence’s opinions, analyses and rating acknowledgment decisions (described below) are not recommendations to purchase, hold, or sell any securities or to make any investment decisions, and do not address the suitability of any security. S&amp;P Global Market Intelligence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Global Market Intelligence does not act as a fiduciary or an investment advisor except where registered as such. While S&amp;P Global Market Intelligence has obtained information from sources it believes to be reliable, S&amp;P Global Market Intelligence does not perform an audit and undertakes no duty of due diligence or independent verification of any information it receives.S&amp;P Global keeps certain activities of its divisions separate from each other in order to preserve the independence and objectivity of their respective activities. As a result, certain divisions of S&amp;P Global may have information that is not available to other S&amp;P Global divisions. S&amp;P Global has established policies and procedures to maintain the confidentiality of certain non-public information received in connection with each analytical process.S&amp;P Global Ratings does not contribute to or participate in the creation of credit scores generated by S&amp;P Global Market Intelligence. Lowercase nomenclature is used to differentiate S&amp;P Global Market Intelligence PD credit model scores from the credit ratings issued by S&amp;P Global Ratings.S&amp;P Global may receive compensation for its ratings and certain analyses, normally from issuers or underwriters of securities or from obligors. S&amp;P Global reserves the right to disseminate its opinions and analyses. S&amp;P Global's public ratings and analyses are made available on its Web sites, http://www.standardandpoors.com (free of charge), and http://www.capitaliq.com (subscription), and may be distributed through other means, including via S&amp;P Global publications and third-party redistributors. Additional information about our ratings fees is available at http://www.standardandpoors.com/usratingsfees..</t>
  </si>
  <si>
    <t>Chevron Corporation (NYSE:CVX) &gt; Credit Health Panel &gt; Disclaimer</t>
  </si>
  <si>
    <t>Copyright © 2023 by Standard &amp; Poor’s Financial Services LLC. All rights reserved.</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</si>
  <si>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Standard &amp; Poor’s Financial Services LLC or its affiliates (collectively, S&amp;P). The Content shall not be used for any unlawful or unauthorized purposes. S&amp;P and any third-party providers, as well as their directors, officers, shareholders, employees or agents (collectively S&amp;P Parties) do not guarantee the accuracy, completeness, timeliness or availability of the Content. S&amp;P Parties are not responsible for any errors or omissions (negligent or otherwise), regardless of the cause, for the results obtained from the use of the Content, or for the security or maintenance of any data input by the user. The Content is provided on an “as is” basis. S&amp;P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t>
  </si>
  <si>
    <t>Credit-related and other analyses, including ratings, and statements in the Content are statements of opinion as of the date they are expressed and not statements of fact. S&amp;P’s opinions, analyses and rating acknowledgment decisions (described below) are not recommendations to purchase, hold, or sell any securities or to make any investment decisions, and do not address the suitability of any security. S&amp;P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does not act as a fiduciary or an investment advisor except where registered as such.  While S&amp;P has obtained information from sources it believes to be reliable, S&amp;P does not perform an audit and undertakes no duty of due diligence or independent verification of any information it receives.</t>
  </si>
  <si>
    <t>To the extent that regulatory authorities allow a rating agency to acknowledge in one jurisdiction a rating issued in another jurisdiction for certain regulatory purposes, S&amp;P reserves the right to assign, withdraw or suspend such acknowledgement at any time and in its sole discretion. S&amp;P Parties disclaim any duty whatsoever arising out of the assignment, withdrawal or suspension of an acknowledgment as well as any liability for any damage alleged to have been suffered on account thereof.</t>
  </si>
  <si>
    <t>S&amp;P keeps certain activities of its business units separate from each other in order to preserve the independence and objectivity of their respective activities. As a result, certain business units of S&amp;P may have information that is not available to other S&amp;P business units. S&amp;P has established policies and procedures to maintain the confidentiality of certain non-public information received in connection with each analytical process.</t>
  </si>
  <si>
    <t>S&amp;P may receive compensation for its ratings and certain analyses, normally from issuers or underwriters of securities or from obligors. S&amp;P reserves the right to disseminate its opinions and analyses. S&amp;P’s public ratings and analyses are made available on its Web sites, www.standardandpoors.com (free of charge), and www.ratingsdirect.com and www.globalcreditportal.com (subscription), and may be distributed through other means, including via S&amp;P publications and third-party redistributors. Additional information about our ratings fees is available at www.standardandpoors.com/usratingsfees.</t>
  </si>
  <si>
    <t>You are using a functionality that permits you to export content from the S&amp;P Capital IQ Platform. You are permitted to provide limited excerpts of information from this export to others provided you: (1) do so solely in the ordinary course of your internal business; (2) do not provide S&amp;P Capital IQ information in any manner that may obviate the need for the individuals who receive such excerpts to obtain their own S&amp;P Capital IQ Platform password/license; and, (3) provide S&amp;P with appropriate attribution and a disclaimer on S&amp;P’s behalf.</t>
  </si>
  <si>
    <t>To reprint, translate, or use the data or information other than as provided herein, contact Client Services, 55 Water Street, New York, NY 10041; (1) 877-773-4732 or by e-mail to: research_request@standardandpoors.com.</t>
  </si>
  <si>
    <t>Any Passwords/user IDs issued by S&amp;P Capital IQ to users are single user dedicated and may ONLY be used by the individual to whom they have been assigned. No sharing of passwords/user IDs and no simultaneous access via the same password/user ID is permitted.</t>
  </si>
  <si>
    <t>Standard &amp; Poor’s, S&amp;P, and Credit Health Panel are registered trademarks of Standard &amp; Poor’s Financial Services LLC.  Capital IQ is a registered trademark of Capital IQ, Excel is a registered trademark of Microsoft.</t>
  </si>
  <si>
    <t>Evaluation Only. Created with Aspose.Cells for .NET.Copyright 2003 - 2023 Aspose Pty Ltd.</t>
  </si>
  <si>
    <t>Percentile Average</t>
  </si>
  <si>
    <t>Company vs Peers</t>
  </si>
  <si>
    <t>Percentiles</t>
  </si>
  <si>
    <t>Applied Percentile</t>
  </si>
  <si>
    <t>NTM EV/REV</t>
  </si>
  <si>
    <t>NTM EV/EBITDA</t>
  </si>
  <si>
    <t>NTM P/E</t>
  </si>
  <si>
    <t>Weighting %</t>
  </si>
  <si>
    <t>Applied Multiple</t>
  </si>
  <si>
    <t>Company Metric</t>
  </si>
  <si>
    <t>EV</t>
  </si>
  <si>
    <t>Net Debt</t>
  </si>
  <si>
    <t>Shares Outstanding</t>
  </si>
  <si>
    <t>Implied Price / Share</t>
  </si>
  <si>
    <t>Weighted Price</t>
  </si>
  <si>
    <t>Current Price</t>
  </si>
  <si>
    <t>Implied Market Upside(Downside)</t>
  </si>
  <si>
    <t>Based on Benchmarking Analysis the Target Company Vs its Comps is Under(Overvalued) by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</si>
</sst>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mmm\-dd\-yyyy"/>
    <numFmt numFmtId="165" formatCode="_(\ #,##0.0#_);_(\(\ #,##0.0#\)_);_(\ &quot; - &quot;_)"/>
    <numFmt numFmtId="166" formatCode="_(\ #,##0.0_);_(\ \(#,##0.0\)_);_(\ &quot; - &quot;_)"/>
    <numFmt numFmtId="167" formatCode="#,##0.0\x"/>
    <numFmt numFmtId="168" formatCode="#,##0.00\x"/>
    <numFmt numFmtId="169" formatCode="_(#,##0.0%_);_(\(#,##0.0%\)_);_(#,##0.0%_)"/>
    <numFmt numFmtId="170" formatCode="_(#,##0.00%_);_(\(#,##0.00%\)_);_(#,##0.00%_)"/>
    <numFmt numFmtId="171" formatCode="_(\ #,##0_);_(\ \(#,##0\)_);_(\ &quot; - &quot;_)"/>
  </numFmts>
  <fonts count="22" x14ac:knownFonts="1">
    <font>
      <sz val="10"/>
      <name val="Arial"/>
    </font>
    <font>
      <sz val="8"/>
      <name val="Arial"/>
    </font>
    <font>
      <b/>
      <sz val="13"/>
      <color indexed="8"/>
      <name val="Verdana"/>
    </font>
    <font>
      <b/>
      <sz val="12"/>
      <color indexed="8"/>
      <name val="Verdana"/>
    </font>
    <font>
      <b/>
      <sz val="10"/>
      <color indexed="9"/>
      <name val="Arial"/>
    </font>
    <font>
      <b/>
      <u val="singleAccounting"/>
      <sz val="8"/>
      <color indexed="8"/>
      <name val="Verdana"/>
    </font>
    <font>
      <b/>
      <sz val="8"/>
      <color indexed="9"/>
      <name val="Verdana"/>
    </font>
    <font>
      <b/>
      <u val="singleAccounting"/>
      <sz val="8"/>
      <color indexed="8"/>
      <name val="Arial"/>
    </font>
    <font>
      <sz val="8"/>
      <color indexed="8"/>
      <name val="Arial"/>
    </font>
    <font>
      <vertAlign val="superscript"/>
      <sz val="8"/>
      <color indexed="8"/>
      <name val="Arial"/>
    </font>
    <font>
      <vertAlign val="subscript"/>
      <sz val="8"/>
      <color indexed="8"/>
      <name val="Arial"/>
    </font>
    <font>
      <b/>
      <sz val="8"/>
      <color indexed="8"/>
      <name val="Arial"/>
    </font>
    <font>
      <i/>
      <sz val="8"/>
      <color indexed="8"/>
      <name val="Arial"/>
    </font>
    <font>
      <sz val="1"/>
      <color indexed="9"/>
      <name val="Symbol"/>
    </font>
    <font>
      <sz val="10"/>
      <color indexed="8"/>
      <name val="Arial"/>
    </font>
    <font>
      <b/>
      <sz val="8"/>
      <color indexed="8"/>
      <name val="Verdana"/>
    </font>
    <font>
      <b/>
      <sz val="8"/>
      <name val="Arial"/>
    </font>
    <font>
      <b/>
      <sz val="8"/>
      <color indexed="9"/>
      <name val="Arial"/>
    </font>
    <font>
      <b/>
      <i/>
      <sz val="18"/>
      <color rgb="FF0000FF"/>
      <name val="Arial"/>
    </font>
    <font>
      <sz val="10"/>
      <name val="Arial"/>
    </font>
    <font>
      <sz val="8"/>
      <color rgb="FFFF0000"/>
      <name val="Arial"/>
    </font>
    <font>
      <sz val="10"/>
      <color rgb="FFFF0000"/>
      <name val="Arial"/>
    </font>
  </fonts>
  <fills count="10">
    <fill>
      <patternFill patternType="none"/>
    </fill>
    <fill>
      <patternFill patternType="gray125"/>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0"/>
        <bgColor indexed="64"/>
      </patternFill>
    </fill>
    <fill>
      <patternFill patternType="solid">
        <fgColor indexed="55"/>
        <bgColor indexed="64"/>
      </patternFill>
    </fill>
    <fill>
      <patternFill patternType="solid">
        <fgColor indexed="54"/>
        <bgColor indexed="64"/>
      </patternFill>
    </fill>
    <fill>
      <patternFill patternType="solid">
        <fgColor indexed="53"/>
        <bgColor indexed="64"/>
      </patternFill>
    </fill>
    <fill>
      <patternFill patternType="solid">
        <fgColor indexed="52"/>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s>
  <cellStyleXfs count="19">
    <xf numFmtId="0" fontId="0"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2" fillId="0" borderId="0" applyAlignment="0"/>
    <xf numFmtId="0" fontId="3" fillId="0" borderId="0" applyAlignment="0"/>
    <xf numFmtId="0" fontId="4" fillId="2" borderId="0" applyAlignment="0"/>
    <xf numFmtId="0" fontId="5" fillId="3" borderId="0" applyAlignment="0"/>
    <xf numFmtId="0" fontId="6" fillId="4" borderId="0" applyAlignment="0"/>
    <xf numFmtId="0" fontId="7" fillId="5" borderId="0" applyAlignment="0"/>
    <xf numFmtId="0" fontId="8" fillId="0" borderId="0" applyAlignment="0"/>
    <xf numFmtId="0" fontId="9" fillId="0" borderId="0" applyAlignment="0"/>
    <xf numFmtId="0" fontId="10" fillId="0" borderId="0" applyAlignment="0"/>
    <xf numFmtId="0" fontId="11" fillId="0" borderId="0" applyAlignment="0"/>
    <xf numFmtId="0" fontId="12" fillId="0" borderId="0" applyAlignment="0"/>
    <xf numFmtId="0" fontId="11" fillId="0" borderId="0" applyAlignment="0"/>
    <xf numFmtId="0" fontId="13" fillId="0" borderId="0" applyAlignment="0"/>
    <xf numFmtId="0" fontId="14" fillId="0" borderId="0" applyAlignment="0"/>
    <xf numFmtId="0" fontId="15" fillId="0" borderId="0" applyAlignment="0"/>
  </cellStyleXfs>
  <cellXfs count="130">
    <xf numFmtId="0" fontId="1" fillId="0" borderId="0" xfId="0" applyFont="1" applyAlignment="1"/>
    <xf numFmtId="0" fontId="2" fillId="0" borderId="0" xfId="0" applyNumberFormat="1" applyFont="1" applyAlignment="1"/>
    <xf numFmtId="0" fontId="6" fillId="4" borderId="0" xfId="0" applyFont="1" applyFill="1" applyAlignment="1"/>
    <xf numFmtId="0" fontId="16" fillId="0" borderId="0" xfId="0" applyFont="1" applyAlignment="1"/>
    <xf numFmtId="0" fontId="1" fillId="0" borderId="0" xfId="0" applyFont="1" applyAlignment="1">
      <alignment horizontal="left"/>
    </xf>
    <xf numFmtId="164" fontId="1" fillId="0" borderId="0" xfId="0" applyNumberFormat="1" applyFont="1" applyAlignment="1">
      <alignment horizontal="left"/>
    </xf>
    <xf numFmtId="0" fontId="8" fillId="0" borderId="0" xfId="0" applyNumberFormat="1" applyFont="1" applyAlignment="1">
      <alignment horizontal="left" vertical="top"/>
    </xf>
    <xf numFmtId="0" fontId="11" fillId="5" borderId="0" xfId="0" applyFont="1" applyFill="1" applyAlignment="1">
      <alignment horizontal="left" vertical="top" wrapText="1"/>
    </xf>
    <xf numFmtId="0" fontId="11" fillId="0" borderId="0" xfId="0" applyFont="1" applyAlignment="1">
      <alignment vertical="top" wrapText="1"/>
    </xf>
    <xf numFmtId="0" fontId="11" fillId="5" borderId="0" xfId="0" applyFont="1" applyFill="1" applyAlignment="1">
      <alignment vertical="top" wrapText="1"/>
    </xf>
    <xf numFmtId="0" fontId="1" fillId="0" borderId="0" xfId="0" applyFont="1" applyAlignment="1">
      <alignment vertical="top" wrapText="1"/>
    </xf>
    <xf numFmtId="0" fontId="11" fillId="5" borderId="0" xfId="0" applyFont="1" applyFill="1" applyAlignment="1">
      <alignment horizontal="right" vertical="top" wrapText="1"/>
    </xf>
    <xf numFmtId="165" fontId="8" fillId="0" borderId="0" xfId="0" applyNumberFormat="1" applyFont="1" applyAlignment="1">
      <alignment horizontal="right" vertical="top" wrapText="1"/>
    </xf>
    <xf numFmtId="166" fontId="8" fillId="0" borderId="0" xfId="0" applyNumberFormat="1" applyFont="1" applyAlignment="1">
      <alignment horizontal="right" vertical="top" wrapText="1"/>
    </xf>
    <xf numFmtId="0" fontId="8" fillId="0" borderId="0" xfId="0" applyNumberFormat="1" applyFont="1" applyAlignment="1">
      <alignment horizontal="right" vertical="top" wrapText="1"/>
    </xf>
    <xf numFmtId="0" fontId="11" fillId="5" borderId="0" xfId="0" applyFont="1" applyFill="1" applyAlignment="1">
      <alignment horizontal="center" vertical="top" wrapText="1"/>
    </xf>
    <xf numFmtId="164" fontId="8" fillId="0" borderId="0" xfId="0" applyNumberFormat="1" applyFont="1" applyAlignment="1">
      <alignment horizontal="center" vertical="top" wrapText="1"/>
    </xf>
    <xf numFmtId="0" fontId="8" fillId="0" borderId="0" xfId="0" applyNumberFormat="1" applyFont="1" applyAlignment="1">
      <alignment horizontal="center" vertical="top" wrapText="1"/>
    </xf>
    <xf numFmtId="0" fontId="1" fillId="0" borderId="0" xfId="0" applyFont="1" applyAlignment="1">
      <alignment horizontal="right" wrapText="1"/>
    </xf>
    <xf numFmtId="168" fontId="8" fillId="0" borderId="0" xfId="0" applyNumberFormat="1" applyFont="1" applyAlignment="1">
      <alignment horizontal="right" vertical="top" wrapText="1"/>
    </xf>
    <xf numFmtId="169" fontId="8" fillId="0" borderId="0" xfId="0" applyNumberFormat="1" applyFont="1" applyAlignment="1">
      <alignment horizontal="right" vertical="top" wrapText="1"/>
    </xf>
    <xf numFmtId="170" fontId="8" fillId="0" borderId="0" xfId="0" applyNumberFormat="1" applyFont="1" applyAlignment="1">
      <alignment horizontal="right" vertical="top" wrapText="1"/>
    </xf>
    <xf numFmtId="167" fontId="8" fillId="0" borderId="0" xfId="0" applyNumberFormat="1" applyFont="1" applyAlignment="1">
      <alignment horizontal="right" vertical="top" wrapText="1"/>
    </xf>
    <xf numFmtId="0" fontId="8" fillId="0" borderId="0" xfId="0" applyNumberFormat="1" applyFont="1" applyAlignment="1">
      <alignment horizontal="left" vertical="top" wrapText="1"/>
    </xf>
    <xf numFmtId="165" fontId="8" fillId="0" borderId="0" xfId="0" applyNumberFormat="1" applyFont="1" applyAlignment="1">
      <alignment vertical="top" wrapText="1"/>
    </xf>
    <xf numFmtId="0" fontId="11" fillId="0" borderId="0" xfId="0" applyNumberFormat="1" applyFont="1" applyAlignment="1">
      <alignment vertical="top" wrapText="1"/>
    </xf>
    <xf numFmtId="0" fontId="1" fillId="0" borderId="0" xfId="0" applyFont="1" applyAlignment="1">
      <alignment horizontal="center" vertical="top" wrapText="1"/>
    </xf>
    <xf numFmtId="0" fontId="8" fillId="0" borderId="0" xfId="0" applyNumberFormat="1" applyFont="1" applyAlignment="1">
      <alignment vertical="top" wrapText="1"/>
    </xf>
    <xf numFmtId="0" fontId="11" fillId="5" borderId="1" xfId="0" applyFont="1" applyFill="1" applyBorder="1" applyAlignment="1">
      <alignment horizontal="left" vertical="top" wrapText="1"/>
    </xf>
    <xf numFmtId="0" fontId="11" fillId="5" borderId="1" xfId="0" applyFont="1" applyFill="1" applyBorder="1" applyAlignment="1">
      <alignment horizontal="center" vertical="center" wrapText="1"/>
    </xf>
    <xf numFmtId="171" fontId="17" fillId="6" borderId="1" xfId="0" applyNumberFormat="1" applyFont="1" applyFill="1" applyBorder="1" applyAlignment="1">
      <alignment horizontal="center" vertical="top" wrapText="1"/>
    </xf>
    <xf numFmtId="171" fontId="17" fillId="7" borderId="1" xfId="0" applyNumberFormat="1" applyFont="1" applyFill="1" applyBorder="1" applyAlignment="1">
      <alignment horizontal="center" vertical="top" wrapText="1"/>
    </xf>
    <xf numFmtId="171" fontId="17" fillId="8" borderId="1" xfId="0" applyNumberFormat="1" applyFont="1" applyFill="1" applyBorder="1" applyAlignment="1">
      <alignment horizontal="center" vertical="top" wrapText="1"/>
    </xf>
    <xf numFmtId="171" fontId="17" fillId="9" borderId="1" xfId="0" applyNumberFormat="1" applyFont="1" applyFill="1" applyBorder="1" applyAlignment="1">
      <alignment horizontal="center" vertical="top" wrapText="1"/>
    </xf>
    <xf numFmtId="0" fontId="11" fillId="5" borderId="1" xfId="0" applyFont="1" applyFill="1" applyBorder="1" applyAlignment="1">
      <alignment horizontal="center" vertical="top" wrapText="1"/>
    </xf>
    <xf numFmtId="164" fontId="8" fillId="0" borderId="1" xfId="0" applyNumberFormat="1" applyFont="1" applyBorder="1" applyAlignment="1">
      <alignment horizontal="center" vertical="top" wrapText="1"/>
    </xf>
    <xf numFmtId="0" fontId="8" fillId="0" borderId="1" xfId="0" applyNumberFormat="1" applyFont="1" applyBorder="1" applyAlignment="1">
      <alignment horizontal="center" vertical="top" wrapText="1"/>
    </xf>
    <xf numFmtId="0" fontId="8" fillId="0" borderId="1" xfId="0" applyNumberFormat="1" applyFont="1" applyBorder="1" applyAlignment="1">
      <alignment horizontal="left" vertical="top" wrapText="1"/>
    </xf>
    <xf numFmtId="0" fontId="1" fillId="0" borderId="0" xfId="0" applyFont="1" applyAlignment="1">
      <alignment horizontal="left" wrapText="1"/>
    </xf>
    <xf numFmtId="0" fontId="1" fillId="0" borderId="0" xfId="0" applyFont="1" applyAlignment="1">
      <alignment vertical="center" wrapText="1"/>
    </xf>
    <xf numFmtId="0" fontId="1" fillId="0" borderId="0" xfId="0" applyFont="1" applyAlignment="1">
      <alignment wrapText="1"/>
    </xf>
    <xf numFmtId="0" fontId="13" fillId="0" borderId="0" xfId="16" applyFont="1" applyAlignment="1"/>
    <xf numFmtId="0" fontId="18" fillId="0" borderId="0" xfId="0" applyNumberFormat="1" applyFont="1" applyFill="1" applyBorder="1" applyAlignment="1" applyProtection="1"/>
    <xf numFmtId="0" fontId="1" fillId="0" borderId="0" xfId="0" applyFont="1" applyFill="1" applyBorder="1" applyAlignment="1"/>
    <xf numFmtId="9" fontId="1" fillId="0" borderId="4" xfId="0" applyNumberFormat="1" applyFont="1" applyFill="1" applyBorder="1" applyAlignment="1"/>
    <xf numFmtId="9" fontId="1" fillId="0" borderId="5" xfId="0" applyNumberFormat="1" applyFont="1" applyFill="1" applyBorder="1" applyAlignment="1"/>
    <xf numFmtId="9" fontId="1" fillId="0" borderId="8" xfId="0" applyNumberFormat="1" applyFont="1" applyFill="1" applyBorder="1" applyAlignment="1"/>
    <xf numFmtId="9" fontId="1" fillId="0" borderId="14" xfId="0" applyNumberFormat="1" applyFont="1" applyFill="1" applyBorder="1" applyAlignment="1"/>
    <xf numFmtId="9" fontId="1" fillId="0" borderId="15" xfId="0" applyNumberFormat="1" applyFont="1" applyFill="1" applyBorder="1" applyAlignment="1"/>
    <xf numFmtId="9" fontId="20" fillId="0" borderId="15" xfId="0" applyNumberFormat="1" applyFont="1" applyFill="1" applyBorder="1" applyAlignment="1"/>
    <xf numFmtId="9" fontId="1" fillId="0" borderId="17" xfId="0" applyNumberFormat="1" applyFont="1" applyFill="1" applyBorder="1" applyAlignment="1"/>
    <xf numFmtId="0" fontId="1" fillId="0" borderId="18" xfId="0" applyFont="1" applyFill="1" applyBorder="1" applyAlignment="1"/>
    <xf numFmtId="0" fontId="1" fillId="0" borderId="10" xfId="0" applyFont="1" applyFill="1" applyBorder="1" applyAlignment="1"/>
    <xf numFmtId="169" fontId="1" fillId="0" borderId="2" xfId="0" applyNumberFormat="1" applyFont="1" applyFill="1" applyBorder="1" applyAlignment="1">
      <alignment horizontal="right" vertical="top" wrapText="1"/>
    </xf>
    <xf numFmtId="170" fontId="1" fillId="0" borderId="2" xfId="0" applyNumberFormat="1" applyFont="1" applyFill="1" applyBorder="1" applyAlignment="1">
      <alignment horizontal="right" vertical="top" wrapText="1"/>
    </xf>
    <xf numFmtId="167" fontId="1" fillId="0" borderId="2" xfId="0" applyNumberFormat="1" applyFont="1" applyFill="1" applyBorder="1" applyAlignment="1">
      <alignment horizontal="right" vertical="top" wrapText="1"/>
    </xf>
    <xf numFmtId="0" fontId="1" fillId="0" borderId="2" xfId="0" applyNumberFormat="1" applyFont="1" applyFill="1" applyBorder="1" applyAlignment="1">
      <alignment horizontal="right" vertical="top" wrapText="1"/>
    </xf>
    <xf numFmtId="0" fontId="16" fillId="0" borderId="5" xfId="0" applyFont="1" applyFill="1" applyBorder="1" applyAlignment="1">
      <alignment horizontal="left" vertical="top" wrapText="1"/>
    </xf>
    <xf numFmtId="169" fontId="1" fillId="0" borderId="9" xfId="0" applyNumberFormat="1" applyFont="1" applyFill="1" applyBorder="1" applyAlignment="1">
      <alignment horizontal="right" vertical="top" wrapText="1"/>
    </xf>
    <xf numFmtId="170" fontId="1" fillId="0" borderId="9" xfId="0" applyNumberFormat="1" applyFont="1" applyFill="1" applyBorder="1" applyAlignment="1">
      <alignment horizontal="right" vertical="top" wrapText="1"/>
    </xf>
    <xf numFmtId="167" fontId="1" fillId="0" borderId="9" xfId="0" applyNumberFormat="1" applyFont="1" applyFill="1" applyBorder="1" applyAlignment="1">
      <alignment horizontal="right" vertical="top" wrapText="1"/>
    </xf>
    <xf numFmtId="165" fontId="1" fillId="0" borderId="12" xfId="0" applyNumberFormat="1" applyFont="1" applyFill="1" applyBorder="1" applyAlignment="1">
      <alignment horizontal="right" vertical="top" wrapText="1"/>
    </xf>
    <xf numFmtId="165" fontId="1" fillId="0" borderId="13" xfId="0" applyNumberFormat="1" applyFont="1" applyFill="1" applyBorder="1" applyAlignment="1">
      <alignment horizontal="right" vertical="top" wrapText="1"/>
    </xf>
    <xf numFmtId="0" fontId="16" fillId="0" borderId="19" xfId="0" applyFont="1" applyFill="1" applyBorder="1" applyAlignment="1">
      <alignment horizontal="left" vertical="top" wrapText="1"/>
    </xf>
    <xf numFmtId="0" fontId="16" fillId="0" borderId="20" xfId="0" applyFont="1" applyFill="1" applyBorder="1" applyAlignment="1">
      <alignment horizontal="left" vertical="top" wrapText="1"/>
    </xf>
    <xf numFmtId="0" fontId="16" fillId="0" borderId="21" xfId="0" applyFont="1" applyFill="1" applyBorder="1" applyAlignment="1">
      <alignment horizontal="right" vertical="top" wrapText="1"/>
    </xf>
    <xf numFmtId="0" fontId="16" fillId="0" borderId="16" xfId="0" applyFont="1" applyFill="1" applyBorder="1" applyAlignment="1">
      <alignment horizontal="right" vertical="top" wrapText="1"/>
    </xf>
    <xf numFmtId="169" fontId="1" fillId="0" borderId="4" xfId="0" applyNumberFormat="1" applyFont="1" applyFill="1" applyBorder="1" applyAlignment="1">
      <alignment horizontal="right" vertical="top" wrapText="1"/>
    </xf>
    <xf numFmtId="169" fontId="1" fillId="0" borderId="8" xfId="0" applyNumberFormat="1" applyFont="1" applyFill="1" applyBorder="1" applyAlignment="1">
      <alignment horizontal="right" vertical="top" wrapText="1"/>
    </xf>
    <xf numFmtId="169" fontId="1" fillId="0" borderId="5" xfId="0" applyNumberFormat="1" applyFont="1" applyFill="1" applyBorder="1" applyAlignment="1">
      <alignment horizontal="right" vertical="top" wrapText="1"/>
    </xf>
    <xf numFmtId="169" fontId="1" fillId="0" borderId="6" xfId="0" applyNumberFormat="1" applyFont="1" applyFill="1" applyBorder="1" applyAlignment="1">
      <alignment horizontal="right" vertical="top" wrapText="1"/>
    </xf>
    <xf numFmtId="170" fontId="1" fillId="0" borderId="6" xfId="0" applyNumberFormat="1" applyFont="1" applyFill="1" applyBorder="1" applyAlignment="1">
      <alignment horizontal="right" vertical="top" wrapText="1"/>
    </xf>
    <xf numFmtId="167" fontId="1" fillId="0" borderId="6" xfId="0" applyNumberFormat="1" applyFont="1" applyFill="1" applyBorder="1" applyAlignment="1">
      <alignment horizontal="right" vertical="top" wrapText="1"/>
    </xf>
    <xf numFmtId="165" fontId="1" fillId="0" borderId="11" xfId="0" applyNumberFormat="1" applyFont="1" applyFill="1" applyBorder="1" applyAlignment="1">
      <alignment horizontal="right" vertical="top" wrapText="1"/>
    </xf>
    <xf numFmtId="9" fontId="1" fillId="0" borderId="6" xfId="3" applyFont="1" applyFill="1" applyBorder="1" applyAlignment="1"/>
    <xf numFmtId="9" fontId="1" fillId="0" borderId="2" xfId="3" applyFont="1" applyFill="1" applyBorder="1" applyAlignment="1"/>
    <xf numFmtId="9" fontId="1" fillId="0" borderId="9" xfId="3" applyFont="1" applyFill="1" applyBorder="1" applyAlignment="1"/>
    <xf numFmtId="168" fontId="1" fillId="0" borderId="6" xfId="3" applyNumberFormat="1" applyFont="1" applyFill="1" applyBorder="1" applyAlignment="1"/>
    <xf numFmtId="168" fontId="1" fillId="0" borderId="2" xfId="3" applyNumberFormat="1" applyFont="1" applyFill="1" applyBorder="1" applyAlignment="1"/>
    <xf numFmtId="168" fontId="1" fillId="0" borderId="9" xfId="3" applyNumberFormat="1" applyFont="1" applyFill="1" applyBorder="1" applyAlignment="1"/>
    <xf numFmtId="43" fontId="1" fillId="0" borderId="11" xfId="1" applyFont="1" applyFill="1" applyBorder="1" applyAlignment="1"/>
    <xf numFmtId="43" fontId="1" fillId="0" borderId="12" xfId="1" applyFont="1" applyFill="1" applyBorder="1" applyAlignment="1"/>
    <xf numFmtId="43" fontId="1" fillId="0" borderId="13" xfId="1" applyFont="1" applyFill="1" applyBorder="1" applyAlignment="1"/>
    <xf numFmtId="0" fontId="0" fillId="0" borderId="0" xfId="0"/>
    <xf numFmtId="0" fontId="0" fillId="0" borderId="4" xfId="0" applyBorder="1"/>
    <xf numFmtId="0" fontId="0" fillId="0" borderId="5" xfId="0" applyBorder="1"/>
    <xf numFmtId="0" fontId="0" fillId="0" borderId="6" xfId="0" applyBorder="1"/>
    <xf numFmtId="0" fontId="0" fillId="0" borderId="8" xfId="0" applyBorder="1"/>
    <xf numFmtId="0" fontId="0" fillId="0" borderId="11" xfId="0" applyBorder="1"/>
    <xf numFmtId="0" fontId="0" fillId="0" borderId="5" xfId="0" applyBorder="1" applyAlignment="1">
      <alignment wrapText="1"/>
    </xf>
    <xf numFmtId="0" fontId="0" fillId="0" borderId="6" xfId="0" applyBorder="1" applyAlignment="1">
      <alignment wrapText="1"/>
    </xf>
    <xf numFmtId="0" fontId="0" fillId="0" borderId="11" xfId="0" applyBorder="1" applyAlignment="1">
      <alignment wrapText="1"/>
    </xf>
    <xf numFmtId="0" fontId="0" fillId="0" borderId="4" xfId="0" applyBorder="1" applyAlignment="1">
      <alignment wrapText="1"/>
    </xf>
    <xf numFmtId="0" fontId="0" fillId="0" borderId="8" xfId="0" applyBorder="1" applyAlignment="1">
      <alignment wrapText="1"/>
    </xf>
    <xf numFmtId="168" fontId="0" fillId="0" borderId="6" xfId="0" applyNumberFormat="1" applyBorder="1"/>
    <xf numFmtId="168" fontId="0" fillId="0" borderId="11" xfId="0" applyNumberFormat="1" applyBorder="1"/>
    <xf numFmtId="168" fontId="0" fillId="0" borderId="2" xfId="0" applyNumberFormat="1" applyBorder="1"/>
    <xf numFmtId="168" fontId="0" fillId="0" borderId="12" xfId="0" applyNumberFormat="1" applyBorder="1"/>
    <xf numFmtId="168" fontId="0" fillId="0" borderId="9" xfId="0" applyNumberFormat="1" applyBorder="1"/>
    <xf numFmtId="168" fontId="0" fillId="0" borderId="13" xfId="0" applyNumberFormat="1" applyBorder="1"/>
    <xf numFmtId="0" fontId="0" fillId="0" borderId="7" xfId="0" applyBorder="1"/>
    <xf numFmtId="0" fontId="0" fillId="0" borderId="22" xfId="0" applyBorder="1"/>
    <xf numFmtId="0" fontId="0" fillId="0" borderId="0" xfId="0" applyBorder="1" applyAlignment="1">
      <alignment wrapText="1"/>
    </xf>
    <xf numFmtId="9" fontId="21" fillId="0" borderId="0" xfId="3" applyFont="1"/>
    <xf numFmtId="44" fontId="0" fillId="0" borderId="2" xfId="2" applyFont="1" applyBorder="1" applyAlignment="1">
      <alignment wrapText="1"/>
    </xf>
    <xf numFmtId="44" fontId="0" fillId="0" borderId="9" xfId="2" applyFont="1" applyBorder="1" applyAlignment="1">
      <alignment wrapText="1"/>
    </xf>
    <xf numFmtId="43" fontId="0" fillId="0" borderId="2" xfId="1" applyFont="1" applyBorder="1" applyAlignment="1">
      <alignment wrapText="1"/>
    </xf>
    <xf numFmtId="43" fontId="0" fillId="0" borderId="9" xfId="1" applyFont="1" applyBorder="1" applyAlignment="1">
      <alignment wrapText="1"/>
    </xf>
    <xf numFmtId="168" fontId="0" fillId="0" borderId="2" xfId="2" applyNumberFormat="1" applyFont="1" applyBorder="1" applyAlignment="1">
      <alignment wrapText="1"/>
    </xf>
    <xf numFmtId="168" fontId="0" fillId="0" borderId="12" xfId="2" applyNumberFormat="1" applyFont="1" applyBorder="1" applyAlignment="1">
      <alignment wrapText="1"/>
    </xf>
    <xf numFmtId="168" fontId="0" fillId="0" borderId="9" xfId="2" applyNumberFormat="1" applyFont="1" applyBorder="1" applyAlignment="1">
      <alignment wrapText="1"/>
    </xf>
    <xf numFmtId="168" fontId="0" fillId="0" borderId="13" xfId="2" applyNumberFormat="1" applyFont="1" applyBorder="1" applyAlignment="1">
      <alignment wrapText="1"/>
    </xf>
    <xf numFmtId="9" fontId="0" fillId="0" borderId="5" xfId="3" applyFont="1" applyBorder="1"/>
    <xf numFmtId="9" fontId="0" fillId="0" borderId="4" xfId="3" applyFont="1" applyBorder="1"/>
    <xf numFmtId="9" fontId="0" fillId="0" borderId="8" xfId="3" applyFont="1" applyBorder="1"/>
    <xf numFmtId="44" fontId="0" fillId="0" borderId="2" xfId="2" applyFont="1" applyBorder="1"/>
    <xf numFmtId="44" fontId="0" fillId="0" borderId="12" xfId="2" applyFont="1" applyBorder="1"/>
    <xf numFmtId="44" fontId="0" fillId="0" borderId="3" xfId="2" applyFont="1" applyBorder="1"/>
    <xf numFmtId="44" fontId="0" fillId="0" borderId="9" xfId="2" applyFont="1" applyBorder="1"/>
    <xf numFmtId="44" fontId="0" fillId="0" borderId="13" xfId="2" applyFont="1" applyBorder="1"/>
    <xf numFmtId="44" fontId="0" fillId="0" borderId="11" xfId="2" applyFont="1" applyBorder="1"/>
    <xf numFmtId="44" fontId="0" fillId="0" borderId="0" xfId="2" applyFont="1"/>
    <xf numFmtId="9" fontId="0" fillId="0" borderId="2" xfId="3" applyFont="1" applyBorder="1"/>
    <xf numFmtId="9" fontId="0" fillId="0" borderId="12" xfId="3" applyFont="1" applyBorder="1"/>
    <xf numFmtId="168" fontId="0" fillId="0" borderId="2" xfId="2" applyNumberFormat="1" applyFont="1" applyBorder="1"/>
    <xf numFmtId="168" fontId="0" fillId="0" borderId="12" xfId="2" applyNumberFormat="1" applyFont="1" applyBorder="1"/>
    <xf numFmtId="43" fontId="0" fillId="0" borderId="2" xfId="1" applyFont="1" applyBorder="1"/>
    <xf numFmtId="43" fontId="0" fillId="0" borderId="12" xfId="1" applyFont="1" applyBorder="1"/>
    <xf numFmtId="9" fontId="0" fillId="0" borderId="13" xfId="3" applyFont="1" applyBorder="1"/>
    <xf numFmtId="9" fontId="21" fillId="0" borderId="15" xfId="3" applyFont="1" applyBorder="1"/>
  </cellXfs>
  <cellStyles count="19">
    <cellStyle name="ChartingText" xfId="17" xr:uid="{00000000-0005-0000-0000-000013000000}"/>
    <cellStyle name="CHPTop" xfId="18" xr:uid="{00000000-0005-0000-0000-000014000000}"/>
    <cellStyle name="ColumnHeaderNormal" xfId="9" xr:uid="{00000000-0005-0000-0000-00000B000000}"/>
    <cellStyle name="Comma" xfId="1" builtinId="3"/>
    <cellStyle name="Currency" xfId="2" builtinId="4"/>
    <cellStyle name="Invisible" xfId="16" xr:uid="{00000000-0005-0000-0000-000012000000}"/>
    <cellStyle name="NewColumnHeaderNormal" xfId="7" xr:uid="{00000000-0005-0000-0000-000009000000}"/>
    <cellStyle name="NewSectionHeaderNormal" xfId="6" xr:uid="{00000000-0005-0000-0000-000008000000}"/>
    <cellStyle name="NewTitleNormal" xfId="5" xr:uid="{00000000-0005-0000-0000-000007000000}"/>
    <cellStyle name="Normal" xfId="0" builtinId="0"/>
    <cellStyle name="Percent" xfId="3" builtinId="5"/>
    <cellStyle name="SectionHeaderNormal" xfId="8" xr:uid="{00000000-0005-0000-0000-00000A000000}"/>
    <cellStyle name="SubScript" xfId="12" xr:uid="{00000000-0005-0000-0000-00000E000000}"/>
    <cellStyle name="SuperScript" xfId="11" xr:uid="{00000000-0005-0000-0000-00000D000000}"/>
    <cellStyle name="TextBold" xfId="13" xr:uid="{00000000-0005-0000-0000-00000F000000}"/>
    <cellStyle name="TextItalic" xfId="14" xr:uid="{00000000-0005-0000-0000-000010000000}"/>
    <cellStyle name="TextNormal" xfId="10" xr:uid="{00000000-0005-0000-0000-00000C000000}"/>
    <cellStyle name="TitleNormal" xfId="4" xr:uid="{00000000-0005-0000-0000-000006000000}"/>
    <cellStyle name="Total" xfId="15" xr:uid="{00000000-0005-0000-0000-000011000000}"/>
  </cellStyles>
  <dxfs count="4">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C1302E"/>
      <rgbColor rgb="00F1C671"/>
      <rgbColor rgb="008AC37F"/>
      <rgbColor rgb="00009933"/>
      <rgbColor rgb="00002060"/>
      <rgbColor rgb="00FA4040"/>
      <rgbColor rgb="00FFFFEB"/>
      <rgbColor rgb="00EEEEEE"/>
      <rgbColor rgb="00F0F0DC"/>
      <rgbColor rgb="00993366"/>
      <rgbColor rgb="00F5F5E1"/>
      <rgbColor rgb="0000408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2C3E24A6-B8EF-4650-A5D7-5601E20425D5}"/>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47</xdr:row>
      <xdr:rowOff>0</xdr:rowOff>
    </xdr:from>
    <xdr:to>
      <xdr:col>3</xdr:col>
      <xdr:colOff>764586</xdr:colOff>
      <xdr:row>49</xdr:row>
      <xdr:rowOff>122709</xdr:rowOff>
    </xdr:to>
    <xdr:pic>
      <xdr:nvPicPr>
        <xdr:cNvPr id="3" name="Picture 3">
          <a:extLst>
            <a:ext uri="{FF2B5EF4-FFF2-40B4-BE49-F238E27FC236}">
              <a16:creationId xmlns:a16="http://schemas.microsoft.com/office/drawing/2014/main" id="{FF0160E1-B734-446E-94D0-227B2107925F}"/>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C4A743C5-3D45-4E9C-B84F-44BD3E3A05FD}"/>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CE9BCC89-DB00-45A7-BF56-FE1852284934}"/>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44C0CFFF-AAB7-4AAB-ACAD-C330027A3376}"/>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299AC84F-14EB-4262-999C-788CD5E8F186}"/>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BEA302F3-F979-4D77-A255-C8C04E4892F0}"/>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4</xdr:col>
      <xdr:colOff>146921</xdr:colOff>
      <xdr:row>45</xdr:row>
      <xdr:rowOff>122709</xdr:rowOff>
    </xdr:to>
    <xdr:pic>
      <xdr:nvPicPr>
        <xdr:cNvPr id="3" name="Picture 3">
          <a:extLst>
            <a:ext uri="{FF2B5EF4-FFF2-40B4-BE49-F238E27FC236}">
              <a16:creationId xmlns:a16="http://schemas.microsoft.com/office/drawing/2014/main" id="{A1C4F3BB-736B-46B8-9C9A-EF6B119CD799}"/>
            </a:ext>
          </a:extLst>
        </xdr:cNvPr>
        <xdr:cNvPicPr>
          <a:picLocks noChangeAspect="1"/>
        </xdr:cNvPicPr>
      </xdr:nvPicPr>
      <xdr:blipFill>
        <a:blip xmlns:r="http://schemas.openxmlformats.org/officeDocument/2006/relationships" r:embed="rId2"/>
        <a:stretch>
          <a:fillRect/>
        </a:stretch>
      </xdr:blipFill>
      <xdr:spPr>
        <a:xfrm>
          <a:off x="6638925" y="6858000"/>
          <a:ext cx="762000"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CB6F9923-E9E3-4396-816E-220678E61253}"/>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68</xdr:row>
      <xdr:rowOff>0</xdr:rowOff>
    </xdr:from>
    <xdr:to>
      <xdr:col>3</xdr:col>
      <xdr:colOff>764363</xdr:colOff>
      <xdr:row>70</xdr:row>
      <xdr:rowOff>122709</xdr:rowOff>
    </xdr:to>
    <xdr:pic>
      <xdr:nvPicPr>
        <xdr:cNvPr id="3" name="Picture 3">
          <a:extLst>
            <a:ext uri="{FF2B5EF4-FFF2-40B4-BE49-F238E27FC236}">
              <a16:creationId xmlns:a16="http://schemas.microsoft.com/office/drawing/2014/main" id="{FBD8E746-C856-469E-BCCE-C73689ECA763}"/>
            </a:ext>
          </a:extLst>
        </xdr:cNvPr>
        <xdr:cNvPicPr>
          <a:picLocks noChangeAspect="1"/>
        </xdr:cNvPicPr>
      </xdr:nvPicPr>
      <xdr:blipFill>
        <a:blip xmlns:r="http://schemas.openxmlformats.org/officeDocument/2006/relationships" r:embed="rId2"/>
        <a:stretch>
          <a:fillRect/>
        </a:stretch>
      </xdr:blipFill>
      <xdr:spPr>
        <a:xfrm>
          <a:off x="4505325" y="10953750"/>
          <a:ext cx="7620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FABA352F-0D04-4FED-999B-BDD821A53239}"/>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0</xdr:col>
      <xdr:colOff>8418</xdr:colOff>
      <xdr:row>14</xdr:row>
      <xdr:rowOff>0</xdr:rowOff>
    </xdr:from>
    <xdr:to>
      <xdr:col>3</xdr:col>
      <xdr:colOff>218266</xdr:colOff>
      <xdr:row>14</xdr:row>
      <xdr:rowOff>3807619</xdr:rowOff>
    </xdr:to>
    <xdr:pic>
      <xdr:nvPicPr>
        <xdr:cNvPr id="3" name="Picture 3">
          <a:extLst>
            <a:ext uri="{FF2B5EF4-FFF2-40B4-BE49-F238E27FC236}">
              <a16:creationId xmlns:a16="http://schemas.microsoft.com/office/drawing/2014/main" id="{7FBE4FBD-71D1-49F4-A60C-8EA9DA81C11F}"/>
            </a:ext>
          </a:extLst>
        </xdr:cNvPr>
        <xdr:cNvPicPr>
          <a:picLocks noChangeAspect="1"/>
        </xdr:cNvPicPr>
      </xdr:nvPicPr>
      <xdr:blipFill>
        <a:blip xmlns:r="http://schemas.openxmlformats.org/officeDocument/2006/relationships" r:embed="rId2"/>
        <a:stretch>
          <a:fillRect/>
        </a:stretch>
      </xdr:blipFill>
      <xdr:spPr>
        <a:xfrm>
          <a:off x="9525" y="2266950"/>
          <a:ext cx="7610475" cy="3810000"/>
        </a:xfrm>
        <a:prstGeom prst="rect">
          <a:avLst/>
        </a:prstGeom>
      </xdr:spPr>
    </xdr:pic>
    <xdr:clientData/>
  </xdr:twoCellAnchor>
  <xdr:twoCellAnchor>
    <xdr:from>
      <xdr:col>3</xdr:col>
      <xdr:colOff>0</xdr:colOff>
      <xdr:row>31</xdr:row>
      <xdr:rowOff>0</xdr:rowOff>
    </xdr:from>
    <xdr:to>
      <xdr:col>4</xdr:col>
      <xdr:colOff>146921</xdr:colOff>
      <xdr:row>33</xdr:row>
      <xdr:rowOff>122709</xdr:rowOff>
    </xdr:to>
    <xdr:pic>
      <xdr:nvPicPr>
        <xdr:cNvPr id="4" name="Picture 4">
          <a:extLst>
            <a:ext uri="{FF2B5EF4-FFF2-40B4-BE49-F238E27FC236}">
              <a16:creationId xmlns:a16="http://schemas.microsoft.com/office/drawing/2014/main" id="{88331773-A58D-4EF1-81F9-ABE367287C09}"/>
            </a:ext>
          </a:extLst>
        </xdr:cNvPr>
        <xdr:cNvPicPr>
          <a:picLocks noChangeAspect="1"/>
        </xdr:cNvPicPr>
      </xdr:nvPicPr>
      <xdr:blipFill>
        <a:blip xmlns:r="http://schemas.openxmlformats.org/officeDocument/2006/relationships" r:embed="rId3"/>
        <a:stretch>
          <a:fillRect/>
        </a:stretch>
      </xdr:blipFill>
      <xdr:spPr>
        <a:xfrm>
          <a:off x="7400925" y="9934575"/>
          <a:ext cx="762000" cy="6000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D0523382-A85F-48AE-B101-5F5373AE642B}"/>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44</xdr:row>
      <xdr:rowOff>0</xdr:rowOff>
    </xdr:from>
    <xdr:to>
      <xdr:col>4</xdr:col>
      <xdr:colOff>49625</xdr:colOff>
      <xdr:row>46</xdr:row>
      <xdr:rowOff>151172</xdr:rowOff>
    </xdr:to>
    <xdr:pic>
      <xdr:nvPicPr>
        <xdr:cNvPr id="3" name="Picture 3">
          <a:extLst>
            <a:ext uri="{FF2B5EF4-FFF2-40B4-BE49-F238E27FC236}">
              <a16:creationId xmlns:a16="http://schemas.microsoft.com/office/drawing/2014/main" id="{88860A76-7F51-4E21-9809-56F89B91763D}"/>
            </a:ext>
          </a:extLst>
        </xdr:cNvPr>
        <xdr:cNvPicPr>
          <a:picLocks noChangeAspect="1"/>
        </xdr:cNvPicPr>
      </xdr:nvPicPr>
      <xdr:blipFill>
        <a:blip xmlns:r="http://schemas.openxmlformats.org/officeDocument/2006/relationships" r:embed="rId2"/>
        <a:stretch>
          <a:fillRect/>
        </a:stretch>
      </xdr:blipFill>
      <xdr:spPr>
        <a:xfrm>
          <a:off x="5038725" y="7019925"/>
          <a:ext cx="971550" cy="628650"/>
        </a:xfrm>
        <a:prstGeom prst="rect">
          <a:avLst/>
        </a:prstGeom>
      </xdr:spPr>
    </xdr:pic>
    <xdr:clientData/>
  </xdr:twoCellAnchor>
  <xdr:twoCellAnchor>
    <xdr:from>
      <xdr:col>0</xdr:col>
      <xdr:colOff>0</xdr:colOff>
      <xdr:row>10</xdr:row>
      <xdr:rowOff>0</xdr:rowOff>
    </xdr:from>
    <xdr:to>
      <xdr:col>1</xdr:col>
      <xdr:colOff>761516</xdr:colOff>
      <xdr:row>11</xdr:row>
      <xdr:rowOff>71475</xdr:rowOff>
    </xdr:to>
    <xdr:pic>
      <xdr:nvPicPr>
        <xdr:cNvPr id="4" name="Picture 4">
          <a:extLst>
            <a:ext uri="{FF2B5EF4-FFF2-40B4-BE49-F238E27FC236}">
              <a16:creationId xmlns:a16="http://schemas.microsoft.com/office/drawing/2014/main" id="{5EA57F13-416D-4BE4-A2E0-D8F099E753EA}"/>
            </a:ext>
          </a:extLst>
        </xdr:cNvPr>
        <xdr:cNvPicPr>
          <a:picLocks noChangeAspect="1"/>
        </xdr:cNvPicPr>
      </xdr:nvPicPr>
      <xdr:blipFill>
        <a:blip xmlns:r="http://schemas.openxmlformats.org/officeDocument/2006/relationships" r:embed="rId3"/>
        <a:stretch>
          <a:fillRect/>
        </a:stretch>
      </xdr:blipFill>
      <xdr:spPr>
        <a:xfrm>
          <a:off x="0" y="1619250"/>
          <a:ext cx="3952875" cy="2381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913507</xdr:colOff>
      <xdr:row>2</xdr:row>
      <xdr:rowOff>113854</xdr:rowOff>
    </xdr:to>
    <xdr:pic>
      <xdr:nvPicPr>
        <xdr:cNvPr id="2" name="Picture 2">
          <a:extLst>
            <a:ext uri="{FF2B5EF4-FFF2-40B4-BE49-F238E27FC236}">
              <a16:creationId xmlns:a16="http://schemas.microsoft.com/office/drawing/2014/main" id="{E5EDF78B-7D25-4C30-9ACF-9CF90780B461}"/>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53EA3-0027-41BB-9AAC-6F01B75F5E3D}">
  <sheetPr codeName="Sheet1"/>
  <dimension ref="C5:S44"/>
  <sheetViews>
    <sheetView showGridLines="0" tabSelected="1" workbookViewId="0"/>
  </sheetViews>
  <sheetFormatPr defaultRowHeight="13.2" x14ac:dyDescent="0.25"/>
  <cols>
    <col min="1" max="2" width="8.88671875" style="83"/>
    <col min="3" max="3" width="40.21875" style="83" bestFit="1" customWidth="1"/>
    <col min="4" max="4" width="19.88671875" style="83" bestFit="1" customWidth="1"/>
    <col min="5" max="5" width="22.5546875" style="83" bestFit="1" customWidth="1"/>
    <col min="6" max="6" width="23.44140625" style="83" bestFit="1" customWidth="1"/>
    <col min="7" max="7" width="12.5546875" style="83" bestFit="1" customWidth="1"/>
    <col min="8" max="8" width="24.44140625" style="83" bestFit="1" customWidth="1"/>
    <col min="9" max="9" width="23" style="83" bestFit="1" customWidth="1"/>
    <col min="10" max="10" width="22.5546875" style="83" bestFit="1" customWidth="1"/>
    <col min="11" max="11" width="19.5546875" style="83" bestFit="1" customWidth="1"/>
    <col min="12" max="12" width="39" style="83" bestFit="1" customWidth="1"/>
    <col min="13" max="13" width="34.109375" style="83" bestFit="1" customWidth="1"/>
    <col min="14" max="14" width="26.33203125" style="83" bestFit="1" customWidth="1"/>
    <col min="15" max="15" width="8.88671875" style="83"/>
    <col min="16" max="16" width="28.5546875" style="83" bestFit="1" customWidth="1"/>
    <col min="17" max="19" width="12.44140625" style="83" bestFit="1" customWidth="1"/>
    <col min="20" max="16384" width="8.88671875" style="83"/>
  </cols>
  <sheetData>
    <row r="5" spans="3:19" ht="13.8" thickBot="1" x14ac:dyDescent="0.3"/>
    <row r="6" spans="3:19" x14ac:dyDescent="0.25">
      <c r="C6" s="89" t="s">
        <v>8</v>
      </c>
      <c r="D6" s="90" t="s">
        <v>9</v>
      </c>
      <c r="E6" s="90" t="s">
        <v>10</v>
      </c>
      <c r="F6" s="90" t="s">
        <v>11</v>
      </c>
      <c r="G6" s="90" t="s">
        <v>12</v>
      </c>
      <c r="H6" s="90" t="s">
        <v>15</v>
      </c>
      <c r="I6" s="90" t="s">
        <v>22</v>
      </c>
      <c r="J6" s="90" t="s">
        <v>23</v>
      </c>
      <c r="K6" s="90" t="s">
        <v>24</v>
      </c>
      <c r="L6" s="90" t="s">
        <v>55</v>
      </c>
      <c r="M6" s="90" t="s">
        <v>56</v>
      </c>
      <c r="N6" s="91" t="s">
        <v>57</v>
      </c>
      <c r="P6" s="85"/>
      <c r="Q6" s="86" t="s">
        <v>194</v>
      </c>
      <c r="R6" s="86" t="s">
        <v>195</v>
      </c>
      <c r="S6" s="88" t="s">
        <v>196</v>
      </c>
    </row>
    <row r="7" spans="3:19" x14ac:dyDescent="0.25">
      <c r="C7" s="92" t="s">
        <v>25</v>
      </c>
      <c r="D7" s="104">
        <v>116.83</v>
      </c>
      <c r="E7" s="106">
        <v>4059.3</v>
      </c>
      <c r="F7" s="104">
        <v>474247.4</v>
      </c>
      <c r="G7" s="104">
        <v>17278</v>
      </c>
      <c r="H7" s="104">
        <v>498949.4</v>
      </c>
      <c r="I7" s="104">
        <v>386601.25</v>
      </c>
      <c r="J7" s="104">
        <v>82090.87</v>
      </c>
      <c r="K7" s="104">
        <v>10.08</v>
      </c>
      <c r="L7" s="108">
        <v>1.29</v>
      </c>
      <c r="M7" s="108">
        <v>6.08</v>
      </c>
      <c r="N7" s="109">
        <v>11.59</v>
      </c>
      <c r="P7" s="84" t="s">
        <v>197</v>
      </c>
      <c r="Q7" s="122">
        <v>0.33333333333333331</v>
      </c>
      <c r="R7" s="122">
        <v>0.33333333333333331</v>
      </c>
      <c r="S7" s="123">
        <v>0.33333333333333331</v>
      </c>
    </row>
    <row r="8" spans="3:19" x14ac:dyDescent="0.25">
      <c r="C8" s="92" t="s">
        <v>27</v>
      </c>
      <c r="D8" s="104">
        <v>6.54</v>
      </c>
      <c r="E8" s="106">
        <v>17650.8</v>
      </c>
      <c r="F8" s="104">
        <v>115456.8</v>
      </c>
      <c r="G8" s="104">
        <v>14530</v>
      </c>
      <c r="H8" s="104">
        <v>146549.20000000001</v>
      </c>
      <c r="I8" s="104">
        <v>234727.33</v>
      </c>
      <c r="J8" s="104">
        <v>45961.11</v>
      </c>
      <c r="K8" s="104">
        <v>1.05</v>
      </c>
      <c r="L8" s="108">
        <v>0.62</v>
      </c>
      <c r="M8" s="108">
        <v>3.19</v>
      </c>
      <c r="N8" s="109">
        <v>6.23</v>
      </c>
      <c r="P8" s="84" t="s">
        <v>198</v>
      </c>
      <c r="Q8" s="124">
        <f>INDEX(L24:L44,MATCH($L$22,$K$24:$K$44))</f>
        <v>0.7659999999999999</v>
      </c>
      <c r="R8" s="124">
        <f>INDEX(M24:M44,MATCH($L$22,$K$24:$K$44))</f>
        <v>4.4060000000000006</v>
      </c>
      <c r="S8" s="125">
        <f>INDEX(N24:N44,MATCH($L$22,$K$24:$K$44))</f>
        <v>6.5579999999999998</v>
      </c>
    </row>
    <row r="9" spans="3:19" x14ac:dyDescent="0.25">
      <c r="C9" s="92" t="s">
        <v>28</v>
      </c>
      <c r="D9" s="104">
        <v>121.43</v>
      </c>
      <c r="E9" s="106">
        <v>441.6</v>
      </c>
      <c r="F9" s="104">
        <v>53626.6</v>
      </c>
      <c r="G9" s="104">
        <v>16139</v>
      </c>
      <c r="H9" s="104">
        <v>77137.600000000006</v>
      </c>
      <c r="I9" s="104">
        <v>145005.70000000001</v>
      </c>
      <c r="J9" s="104">
        <v>17162.8</v>
      </c>
      <c r="K9" s="104">
        <v>21.1</v>
      </c>
      <c r="L9" s="108">
        <v>0.53</v>
      </c>
      <c r="M9" s="108">
        <v>4.49</v>
      </c>
      <c r="N9" s="109">
        <v>5.76</v>
      </c>
      <c r="P9" s="84" t="s">
        <v>199</v>
      </c>
      <c r="Q9" s="115">
        <v>203141.28</v>
      </c>
      <c r="R9" s="115">
        <v>54690.9</v>
      </c>
      <c r="S9" s="116">
        <v>14.37</v>
      </c>
    </row>
    <row r="10" spans="3:19" x14ac:dyDescent="0.25">
      <c r="C10" s="92" t="s">
        <v>29</v>
      </c>
      <c r="D10" s="104">
        <v>114.64</v>
      </c>
      <c r="E10" s="106">
        <v>367.8</v>
      </c>
      <c r="F10" s="104">
        <v>42169.2</v>
      </c>
      <c r="G10" s="104">
        <v>7860</v>
      </c>
      <c r="H10" s="104">
        <v>51936.2</v>
      </c>
      <c r="I10" s="104">
        <v>153817.21</v>
      </c>
      <c r="J10" s="104">
        <v>12746.72</v>
      </c>
      <c r="K10" s="104">
        <v>19.79</v>
      </c>
      <c r="L10" s="108">
        <v>0.34</v>
      </c>
      <c r="M10" s="108">
        <v>4.07</v>
      </c>
      <c r="N10" s="109">
        <v>5.79</v>
      </c>
      <c r="P10" s="84" t="s">
        <v>200</v>
      </c>
      <c r="Q10" s="115">
        <f>Q9*Q8</f>
        <v>155606.22047999999</v>
      </c>
      <c r="R10" s="115">
        <f>R9*R8</f>
        <v>240968.10540000003</v>
      </c>
      <c r="S10" s="116">
        <f>S12+S11</f>
        <v>188013.18631599998</v>
      </c>
    </row>
    <row r="11" spans="3:19" x14ac:dyDescent="0.25">
      <c r="C11" s="92" t="s">
        <v>30</v>
      </c>
      <c r="D11" s="104">
        <v>97.74</v>
      </c>
      <c r="E11" s="106">
        <v>460.9</v>
      </c>
      <c r="F11" s="104">
        <v>45049.599999999999</v>
      </c>
      <c r="G11" s="104">
        <v>12084</v>
      </c>
      <c r="H11" s="104">
        <v>61745.599999999999</v>
      </c>
      <c r="I11" s="104">
        <v>147068.24</v>
      </c>
      <c r="J11" s="104">
        <v>11246.68</v>
      </c>
      <c r="K11" s="104">
        <v>14.47</v>
      </c>
      <c r="L11" s="108">
        <v>0.42</v>
      </c>
      <c r="M11" s="108">
        <v>5.49</v>
      </c>
      <c r="N11" s="109">
        <v>6.75</v>
      </c>
      <c r="P11" s="84" t="s">
        <v>201</v>
      </c>
      <c r="Q11" s="115">
        <v>9469</v>
      </c>
      <c r="R11" s="115">
        <v>9469</v>
      </c>
      <c r="S11" s="116">
        <v>9469</v>
      </c>
    </row>
    <row r="12" spans="3:19" x14ac:dyDescent="0.25">
      <c r="C12" s="92" t="s">
        <v>31</v>
      </c>
      <c r="D12" s="104">
        <v>62.68</v>
      </c>
      <c r="E12" s="106">
        <v>2447.4</v>
      </c>
      <c r="F12" s="104">
        <v>153401.70000000001</v>
      </c>
      <c r="G12" s="104">
        <v>32814</v>
      </c>
      <c r="H12" s="104">
        <v>181950</v>
      </c>
      <c r="I12" s="104">
        <v>220955.64</v>
      </c>
      <c r="J12" s="104">
        <v>56966.68</v>
      </c>
      <c r="K12" s="104">
        <v>10.49</v>
      </c>
      <c r="L12" s="108">
        <v>0.82</v>
      </c>
      <c r="M12" s="108">
        <v>3.19</v>
      </c>
      <c r="N12" s="109">
        <v>5.97</v>
      </c>
      <c r="P12" s="84" t="s">
        <v>124</v>
      </c>
      <c r="Q12" s="115">
        <f>Q10-Q11</f>
        <v>146137.22047999999</v>
      </c>
      <c r="R12" s="115">
        <f>R10-R11</f>
        <v>231499.10540000003</v>
      </c>
      <c r="S12" s="116">
        <f>S13*S14</f>
        <v>178544.18631599998</v>
      </c>
    </row>
    <row r="13" spans="3:19" x14ac:dyDescent="0.25">
      <c r="C13" s="92" t="s">
        <v>32</v>
      </c>
      <c r="D13" s="104">
        <v>29.99</v>
      </c>
      <c r="E13" s="106">
        <v>6845</v>
      </c>
      <c r="F13" s="104">
        <v>205314.1</v>
      </c>
      <c r="G13" s="104">
        <v>43549</v>
      </c>
      <c r="H13" s="104">
        <v>252670.2</v>
      </c>
      <c r="I13" s="104">
        <v>345214.61</v>
      </c>
      <c r="J13" s="104">
        <v>70118.22</v>
      </c>
      <c r="K13" s="104">
        <v>4.5199999999999996</v>
      </c>
      <c r="L13" s="108">
        <v>0.73</v>
      </c>
      <c r="M13" s="108">
        <v>3.6</v>
      </c>
      <c r="N13" s="109">
        <v>6.64</v>
      </c>
      <c r="P13" s="84" t="s">
        <v>202</v>
      </c>
      <c r="Q13" s="126">
        <v>1894.6</v>
      </c>
      <c r="R13" s="126">
        <v>1894.6</v>
      </c>
      <c r="S13" s="127">
        <v>1894.6</v>
      </c>
    </row>
    <row r="14" spans="3:19" ht="13.8" thickBot="1" x14ac:dyDescent="0.3">
      <c r="C14" s="92" t="s">
        <v>33</v>
      </c>
      <c r="D14" s="104">
        <v>60.58</v>
      </c>
      <c r="E14" s="106">
        <v>898.1</v>
      </c>
      <c r="F14" s="104">
        <v>54407.8</v>
      </c>
      <c r="G14" s="104">
        <v>19781</v>
      </c>
      <c r="H14" s="104">
        <v>83950.8</v>
      </c>
      <c r="I14" s="104">
        <v>29977.69</v>
      </c>
      <c r="J14" s="104">
        <v>15327.88</v>
      </c>
      <c r="K14" s="104">
        <v>5.44</v>
      </c>
      <c r="L14" s="108">
        <v>2.8</v>
      </c>
      <c r="M14" s="108">
        <v>5.48</v>
      </c>
      <c r="N14" s="109">
        <v>11.13</v>
      </c>
      <c r="P14" s="101" t="s">
        <v>203</v>
      </c>
      <c r="Q14" s="117">
        <f>Q12/Q13</f>
        <v>77.133548231816746</v>
      </c>
      <c r="R14" s="118">
        <f>R12/R13</f>
        <v>122.1889081600338</v>
      </c>
      <c r="S14" s="119">
        <f>S8*S9</f>
        <v>94.238459999999989</v>
      </c>
    </row>
    <row r="15" spans="3:19" x14ac:dyDescent="0.25">
      <c r="C15" s="92" t="s">
        <v>34</v>
      </c>
      <c r="D15" s="104">
        <v>14.86</v>
      </c>
      <c r="E15" s="106">
        <v>3345.4</v>
      </c>
      <c r="F15" s="104">
        <v>49710.7</v>
      </c>
      <c r="G15" s="104">
        <v>14837.4</v>
      </c>
      <c r="H15" s="104">
        <v>65067.3</v>
      </c>
      <c r="I15" s="104">
        <v>121789.23</v>
      </c>
      <c r="J15" s="104">
        <v>24339.25</v>
      </c>
      <c r="K15" s="104">
        <v>2.87</v>
      </c>
      <c r="L15" s="108">
        <v>0.53</v>
      </c>
      <c r="M15" s="108">
        <v>2.67</v>
      </c>
      <c r="N15" s="109">
        <v>5.18</v>
      </c>
      <c r="P15" s="85" t="s">
        <v>204</v>
      </c>
      <c r="Q15" s="120">
        <f>SUMPRODUCT(Q14:S14,Q7:S7)</f>
        <v>97.853638797283509</v>
      </c>
      <c r="R15" s="121"/>
      <c r="S15" s="121"/>
    </row>
    <row r="16" spans="3:19" x14ac:dyDescent="0.25">
      <c r="C16" s="92" t="s">
        <v>35</v>
      </c>
      <c r="D16" s="104">
        <v>141.47999999999999</v>
      </c>
      <c r="E16" s="106">
        <v>305.7</v>
      </c>
      <c r="F16" s="104">
        <v>43255.9</v>
      </c>
      <c r="G16" s="104">
        <v>7120</v>
      </c>
      <c r="H16" s="104">
        <v>50963.9</v>
      </c>
      <c r="I16" s="104">
        <v>10910.81</v>
      </c>
      <c r="J16" s="104" t="s">
        <v>26</v>
      </c>
      <c r="K16" s="104" t="s">
        <v>26</v>
      </c>
      <c r="L16" s="108">
        <v>4.67</v>
      </c>
      <c r="M16" s="108" t="s">
        <v>26</v>
      </c>
      <c r="N16" s="109" t="s">
        <v>26</v>
      </c>
      <c r="P16" s="84" t="s">
        <v>205</v>
      </c>
      <c r="Q16" s="116">
        <v>166.95</v>
      </c>
      <c r="R16" s="121"/>
      <c r="S16" s="121"/>
    </row>
    <row r="17" spans="3:19" ht="13.8" thickBot="1" x14ac:dyDescent="0.3">
      <c r="C17" s="93" t="s">
        <v>36</v>
      </c>
      <c r="D17" s="105">
        <v>166.95</v>
      </c>
      <c r="E17" s="107">
        <v>1894.6</v>
      </c>
      <c r="F17" s="105">
        <v>316310.7</v>
      </c>
      <c r="G17" s="105">
        <v>9469</v>
      </c>
      <c r="H17" s="105">
        <v>326739.7</v>
      </c>
      <c r="I17" s="105">
        <v>203141.28</v>
      </c>
      <c r="J17" s="105">
        <v>54690.9</v>
      </c>
      <c r="K17" s="105">
        <v>14.37</v>
      </c>
      <c r="L17" s="110">
        <v>1.61</v>
      </c>
      <c r="M17" s="110">
        <v>5.97</v>
      </c>
      <c r="N17" s="111">
        <v>11.62</v>
      </c>
      <c r="P17" s="87" t="s">
        <v>206</v>
      </c>
      <c r="Q17" s="128">
        <f>Q15/Q16-1</f>
        <v>-0.41387458042956859</v>
      </c>
      <c r="R17" s="121"/>
      <c r="S17" s="121"/>
    </row>
    <row r="20" spans="3:19" ht="39.6" x14ac:dyDescent="0.25">
      <c r="C20" s="102" t="s">
        <v>207</v>
      </c>
      <c r="D20" s="103">
        <f>Q17</f>
        <v>-0.41387458042956859</v>
      </c>
    </row>
    <row r="21" spans="3:19" ht="13.8" thickBot="1" x14ac:dyDescent="0.3"/>
    <row r="22" spans="3:19" ht="13.8" thickBot="1" x14ac:dyDescent="0.3">
      <c r="K22" s="100" t="s">
        <v>193</v>
      </c>
      <c r="L22" s="129">
        <f>BENCHMARKING!D28</f>
        <v>0.61499999999999999</v>
      </c>
    </row>
    <row r="23" spans="3:19" ht="13.8" thickBot="1" x14ac:dyDescent="0.3">
      <c r="K23" s="83" t="s">
        <v>192</v>
      </c>
    </row>
    <row r="24" spans="3:19" x14ac:dyDescent="0.25">
      <c r="K24" s="112">
        <v>0</v>
      </c>
      <c r="L24" s="94">
        <f>PERCENTILE(L7:L16,K24)</f>
        <v>0.34</v>
      </c>
      <c r="M24" s="94">
        <f>PERCENTILE(M7:M16,K24)</f>
        <v>2.67</v>
      </c>
      <c r="N24" s="95">
        <f>PERCENTILE(N7:N16,K24)</f>
        <v>5.18</v>
      </c>
    </row>
    <row r="25" spans="3:19" x14ac:dyDescent="0.25">
      <c r="K25" s="113">
        <v>0.05</v>
      </c>
      <c r="L25" s="96">
        <f>PERCENTILE(L7:L16,K25)</f>
        <v>0.376</v>
      </c>
      <c r="M25" s="96">
        <f>PERCENTILE(M7:M16,K25)</f>
        <v>2.8780000000000001</v>
      </c>
      <c r="N25" s="97">
        <f>PERCENTILE(N7:N16,K25)</f>
        <v>5.4119999999999999</v>
      </c>
    </row>
    <row r="26" spans="3:19" x14ac:dyDescent="0.25">
      <c r="K26" s="113">
        <v>0.1</v>
      </c>
      <c r="L26" s="96">
        <f>PERCENTILE(L7:L16,K26)</f>
        <v>0.41199999999999998</v>
      </c>
      <c r="M26" s="96">
        <f>PERCENTILE(M7:M16,K26)</f>
        <v>3.0859999999999999</v>
      </c>
      <c r="N26" s="97">
        <f>PERCENTILE(N7:N16,K26)</f>
        <v>5.6440000000000001</v>
      </c>
    </row>
    <row r="27" spans="3:19" x14ac:dyDescent="0.25">
      <c r="K27" s="113">
        <v>0.15</v>
      </c>
      <c r="L27" s="96">
        <f>PERCENTILE(L7:L16,K27)</f>
        <v>0.45849999999999996</v>
      </c>
      <c r="M27" s="96">
        <f>PERCENTILE(M7:M16,K27)</f>
        <v>3.19</v>
      </c>
      <c r="N27" s="97">
        <f>PERCENTILE(N7:N16,K27)</f>
        <v>5.766</v>
      </c>
    </row>
    <row r="28" spans="3:19" x14ac:dyDescent="0.25">
      <c r="K28" s="113">
        <v>0.2</v>
      </c>
      <c r="L28" s="96">
        <f>PERCENTILE(L7:L16,K28)</f>
        <v>0.50800000000000001</v>
      </c>
      <c r="M28" s="96">
        <f>PERCENTILE(M7:M16,K28)</f>
        <v>3.19</v>
      </c>
      <c r="N28" s="97">
        <f>PERCENTILE(N7:N16,K28)</f>
        <v>5.7779999999999996</v>
      </c>
    </row>
    <row r="29" spans="3:19" x14ac:dyDescent="0.25">
      <c r="K29" s="113">
        <v>0.25</v>
      </c>
      <c r="L29" s="96">
        <f>PERCENTILE(L7:L16,K29)</f>
        <v>0.53</v>
      </c>
      <c r="M29" s="96">
        <f>PERCENTILE(M7:M16,K29)</f>
        <v>3.19</v>
      </c>
      <c r="N29" s="97">
        <f>PERCENTILE(N7:N16,K29)</f>
        <v>5.79</v>
      </c>
    </row>
    <row r="30" spans="3:19" x14ac:dyDescent="0.25">
      <c r="K30" s="113">
        <v>0.3</v>
      </c>
      <c r="L30" s="96">
        <f>PERCENTILE(L7:L16,K30)</f>
        <v>0.53</v>
      </c>
      <c r="M30" s="96">
        <f>PERCENTILE(M7:M16,K30)</f>
        <v>3.3540000000000001</v>
      </c>
      <c r="N30" s="97">
        <f>PERCENTILE(N7:N16,K30)</f>
        <v>5.8620000000000001</v>
      </c>
    </row>
    <row r="31" spans="3:19" x14ac:dyDescent="0.25">
      <c r="K31" s="113">
        <v>0.35</v>
      </c>
      <c r="L31" s="96">
        <f>PERCENTILE(L7:L16,K31)</f>
        <v>0.54350000000000009</v>
      </c>
      <c r="M31" s="96">
        <f>PERCENTILE(M7:M16,K31)</f>
        <v>3.5179999999999998</v>
      </c>
      <c r="N31" s="97">
        <f>PERCENTILE(N7:N16,K31)</f>
        <v>5.9340000000000002</v>
      </c>
    </row>
    <row r="32" spans="3:19" x14ac:dyDescent="0.25">
      <c r="K32" s="113">
        <v>0.4</v>
      </c>
      <c r="L32" s="96">
        <f>PERCENTILE(L7:L16,K32)</f>
        <v>0.58399999999999996</v>
      </c>
      <c r="M32" s="96">
        <f>PERCENTILE(M7:M16,K32)</f>
        <v>3.6940000000000004</v>
      </c>
      <c r="N32" s="97">
        <f>PERCENTILE(N7:N16,K32)</f>
        <v>6.0220000000000002</v>
      </c>
    </row>
    <row r="33" spans="11:14" x14ac:dyDescent="0.25">
      <c r="K33" s="113">
        <v>0.45</v>
      </c>
      <c r="L33" s="96">
        <f>PERCENTILE(L7:L16,K33)</f>
        <v>0.62549999999999994</v>
      </c>
      <c r="M33" s="96">
        <f>PERCENTILE(M7:M16,K33)</f>
        <v>3.8820000000000001</v>
      </c>
      <c r="N33" s="97">
        <f>PERCENTILE(N7:N16,K33)</f>
        <v>6.1260000000000003</v>
      </c>
    </row>
    <row r="34" spans="11:14" x14ac:dyDescent="0.25">
      <c r="K34" s="113">
        <v>0.5</v>
      </c>
      <c r="L34" s="96">
        <f>PERCENTILE(L7:L16,K34)</f>
        <v>0.67500000000000004</v>
      </c>
      <c r="M34" s="96">
        <f>PERCENTILE(M7:M16,K34)</f>
        <v>4.07</v>
      </c>
      <c r="N34" s="97">
        <f>PERCENTILE(N7:N16,K34)</f>
        <v>6.23</v>
      </c>
    </row>
    <row r="35" spans="11:14" x14ac:dyDescent="0.25">
      <c r="K35" s="113">
        <v>0.55000000000000004</v>
      </c>
      <c r="L35" s="96">
        <f>PERCENTILE(L7:L16,K35)</f>
        <v>0.72450000000000003</v>
      </c>
      <c r="M35" s="96">
        <f>PERCENTILE(M7:M16,K35)</f>
        <v>4.2380000000000004</v>
      </c>
      <c r="N35" s="97">
        <f>PERCENTILE(N7:N16,K35)</f>
        <v>6.3940000000000001</v>
      </c>
    </row>
    <row r="36" spans="11:14" x14ac:dyDescent="0.25">
      <c r="K36" s="113">
        <v>0.6</v>
      </c>
      <c r="L36" s="96">
        <f>PERCENTILE(L7:L16,K36)</f>
        <v>0.7659999999999999</v>
      </c>
      <c r="M36" s="96">
        <f>PERCENTILE(M7:M16,K36)</f>
        <v>4.4060000000000006</v>
      </c>
      <c r="N36" s="97">
        <f>PERCENTILE(N7:N16,K36)</f>
        <v>6.5579999999999998</v>
      </c>
    </row>
    <row r="37" spans="11:14" x14ac:dyDescent="0.25">
      <c r="K37" s="113">
        <v>0.65</v>
      </c>
      <c r="L37" s="96">
        <f>PERCENTILE(L7:L16,K37)</f>
        <v>0.80649999999999999</v>
      </c>
      <c r="M37" s="96">
        <f>PERCENTILE(M7:M16,K37)</f>
        <v>4.6880000000000006</v>
      </c>
      <c r="N37" s="97">
        <f>PERCENTILE(N7:N16,K37)</f>
        <v>6.6619999999999999</v>
      </c>
    </row>
    <row r="38" spans="11:14" x14ac:dyDescent="0.25">
      <c r="K38" s="113">
        <v>0.7</v>
      </c>
      <c r="L38" s="96">
        <f>PERCENTILE(L7:L16,K38)</f>
        <v>0.96099999999999985</v>
      </c>
      <c r="M38" s="96">
        <f>PERCENTILE(M7:M16,K38)</f>
        <v>5.0839999999999996</v>
      </c>
      <c r="N38" s="97">
        <f>PERCENTILE(N7:N16,K38)</f>
        <v>6.7059999999999995</v>
      </c>
    </row>
    <row r="39" spans="11:14" x14ac:dyDescent="0.25">
      <c r="K39" s="113">
        <v>0.75</v>
      </c>
      <c r="L39" s="96">
        <f>PERCENTILE(L7:L16,K39)</f>
        <v>1.1724999999999999</v>
      </c>
      <c r="M39" s="96">
        <f>PERCENTILE(M7:M16,K39)</f>
        <v>5.48</v>
      </c>
      <c r="N39" s="97">
        <f>PERCENTILE(N7:N16,K39)</f>
        <v>6.75</v>
      </c>
    </row>
    <row r="40" spans="11:14" x14ac:dyDescent="0.25">
      <c r="K40" s="113">
        <v>0.8</v>
      </c>
      <c r="L40" s="96">
        <f>PERCENTILE(L7:L16,K40)</f>
        <v>1.591999999999999</v>
      </c>
      <c r="M40" s="96">
        <f>PERCENTILE(M7:M16,K40)</f>
        <v>5.484</v>
      </c>
      <c r="N40" s="97">
        <f>PERCENTILE(N7:N16,K40)</f>
        <v>8.5020000000000024</v>
      </c>
    </row>
    <row r="41" spans="11:14" x14ac:dyDescent="0.25">
      <c r="K41" s="113">
        <v>0.85</v>
      </c>
      <c r="L41" s="96">
        <f>PERCENTILE(L7:L16,K41)</f>
        <v>2.2714999999999979</v>
      </c>
      <c r="M41" s="96">
        <f>PERCENTILE(M7:M16,K41)</f>
        <v>5.4880000000000004</v>
      </c>
      <c r="N41" s="97">
        <f>PERCENTILE(N7:N16,K41)</f>
        <v>10.254</v>
      </c>
    </row>
    <row r="42" spans="11:14" x14ac:dyDescent="0.25">
      <c r="K42" s="113">
        <v>0.9</v>
      </c>
      <c r="L42" s="96">
        <f>PERCENTILE(L7:L16,K42)</f>
        <v>2.9869999999999992</v>
      </c>
      <c r="M42" s="96">
        <f>PERCENTILE(M7:M16,K42)</f>
        <v>5.6079999999999997</v>
      </c>
      <c r="N42" s="97">
        <f>PERCENTILE(N7:N16,K42)</f>
        <v>11.222</v>
      </c>
    </row>
    <row r="43" spans="11:14" x14ac:dyDescent="0.25">
      <c r="K43" s="113">
        <v>0.95</v>
      </c>
      <c r="L43" s="96">
        <f>PERCENTILE(L7:L16,K43)</f>
        <v>3.8284999999999978</v>
      </c>
      <c r="M43" s="96">
        <f>PERCENTILE(M7:M16,K43)</f>
        <v>5.8440000000000003</v>
      </c>
      <c r="N43" s="97">
        <f>PERCENTILE(N7:N16,K43)</f>
        <v>11.406000000000001</v>
      </c>
    </row>
    <row r="44" spans="11:14" ht="13.8" thickBot="1" x14ac:dyDescent="0.3">
      <c r="K44" s="114">
        <v>1</v>
      </c>
      <c r="L44" s="98">
        <f>PERCENTILE(L7:L16,K44)</f>
        <v>4.67</v>
      </c>
      <c r="M44" s="98">
        <f>PERCENTILE(M7:M16,K44)</f>
        <v>6.08</v>
      </c>
      <c r="N44" s="99">
        <f>PERCENTILE(N7:N16,K44)</f>
        <v>11.59</v>
      </c>
    </row>
  </sheetData>
  <conditionalFormatting sqref="Q17">
    <cfRule type="cellIs" dxfId="3" priority="4" operator="greaterThan">
      <formula>0</formula>
    </cfRule>
    <cfRule type="cellIs" dxfId="2" priority="3" operator="lessThan">
      <formula>0</formula>
    </cfRule>
    <cfRule type="cellIs" dxfId="1" priority="2" operator="greaterThan">
      <formula>0</formula>
    </cfRule>
    <cfRule type="cellIs" dxfId="0" priority="1" operator="less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1CDC-AF3A-4EC5-BC62-7948BD6A40B2}">
  <sheetPr codeName="Sheet2"/>
  <dimension ref="C5:O51"/>
  <sheetViews>
    <sheetView showGridLines="0" workbookViewId="0"/>
  </sheetViews>
  <sheetFormatPr defaultRowHeight="10.199999999999999" x14ac:dyDescent="0.2"/>
  <cols>
    <col min="1" max="2" width="8.88671875" style="43"/>
    <col min="3" max="3" width="13" style="43" bestFit="1" customWidth="1"/>
    <col min="4" max="4" width="8.109375" style="43" bestFit="1" customWidth="1"/>
    <col min="5" max="5" width="7.21875" style="43" bestFit="1" customWidth="1"/>
    <col min="6" max="6" width="7.44140625" style="43" bestFit="1" customWidth="1"/>
    <col min="7" max="7" width="7.21875" style="43" bestFit="1" customWidth="1"/>
    <col min="8" max="8" width="8.109375" style="43" bestFit="1" customWidth="1"/>
    <col min="9" max="9" width="7.77734375" style="43" bestFit="1" customWidth="1"/>
    <col min="10" max="10" width="7.88671875" style="43" bestFit="1" customWidth="1"/>
    <col min="11" max="11" width="7.77734375" style="43" bestFit="1" customWidth="1"/>
    <col min="12" max="12" width="8.109375" style="43" bestFit="1" customWidth="1"/>
    <col min="13" max="14" width="8.6640625" style="43" bestFit="1" customWidth="1"/>
    <col min="15" max="16384" width="8.88671875" style="43"/>
  </cols>
  <sheetData>
    <row r="5" spans="3:15" ht="10.8" thickBot="1" x14ac:dyDescent="0.25"/>
    <row r="6" spans="3:15" ht="51.6" thickBot="1" x14ac:dyDescent="0.25">
      <c r="C6" s="57" t="s">
        <v>8</v>
      </c>
      <c r="D6" s="65" t="s">
        <v>62</v>
      </c>
      <c r="E6" s="65" t="s">
        <v>63</v>
      </c>
      <c r="F6" s="65" t="s">
        <v>64</v>
      </c>
      <c r="G6" s="65" t="s">
        <v>65</v>
      </c>
      <c r="H6" s="65" t="s">
        <v>66</v>
      </c>
      <c r="I6" s="65" t="s">
        <v>67</v>
      </c>
      <c r="J6" s="65" t="s">
        <v>68</v>
      </c>
      <c r="K6" s="65" t="s">
        <v>69</v>
      </c>
      <c r="L6" s="65" t="s">
        <v>70</v>
      </c>
      <c r="M6" s="65" t="s">
        <v>71</v>
      </c>
      <c r="N6" s="65" t="s">
        <v>72</v>
      </c>
      <c r="O6" s="66" t="s">
        <v>73</v>
      </c>
    </row>
    <row r="7" spans="3:15" ht="30.6" x14ac:dyDescent="0.2">
      <c r="C7" s="63" t="s">
        <v>25</v>
      </c>
      <c r="D7" s="69">
        <v>0.33200000000000002</v>
      </c>
      <c r="E7" s="70">
        <v>0.22700000000000001</v>
      </c>
      <c r="F7" s="70">
        <v>0.17799999999999999</v>
      </c>
      <c r="G7" s="71">
        <v>0.1386</v>
      </c>
      <c r="H7" s="71">
        <v>0.44169999999999998</v>
      </c>
      <c r="I7" s="71">
        <v>0.97299999999999998</v>
      </c>
      <c r="J7" s="71">
        <v>1.6732</v>
      </c>
      <c r="K7" s="71">
        <v>1.4193</v>
      </c>
      <c r="L7" s="71">
        <v>0.18809999999999999</v>
      </c>
      <c r="M7" s="72">
        <v>0.5</v>
      </c>
      <c r="N7" s="71">
        <v>-0.11</v>
      </c>
      <c r="O7" s="73">
        <v>1.07</v>
      </c>
    </row>
    <row r="8" spans="3:15" ht="20.399999999999999" x14ac:dyDescent="0.2">
      <c r="C8" s="63" t="s">
        <v>27</v>
      </c>
      <c r="D8" s="67">
        <v>0.29299999999999998</v>
      </c>
      <c r="E8" s="53">
        <v>0.22600000000000001</v>
      </c>
      <c r="F8" s="53">
        <v>0.17699999999999999</v>
      </c>
      <c r="G8" s="54">
        <v>-1.04E-2</v>
      </c>
      <c r="H8" s="54">
        <v>0.52910000000000001</v>
      </c>
      <c r="I8" s="54">
        <v>1.3056000000000001</v>
      </c>
      <c r="J8" s="54">
        <v>2.2696999999999998</v>
      </c>
      <c r="K8" s="56" t="s">
        <v>26</v>
      </c>
      <c r="L8" s="54">
        <v>0.4007</v>
      </c>
      <c r="M8" s="55">
        <v>1</v>
      </c>
      <c r="N8" s="54">
        <v>-3.5799999999999998E-2</v>
      </c>
      <c r="O8" s="61">
        <v>0.59</v>
      </c>
    </row>
    <row r="9" spans="3:15" ht="40.799999999999997" x14ac:dyDescent="0.2">
      <c r="C9" s="63" t="s">
        <v>28</v>
      </c>
      <c r="D9" s="67">
        <v>0.14899999999999999</v>
      </c>
      <c r="E9" s="53">
        <v>0.129</v>
      </c>
      <c r="F9" s="53">
        <v>0.111</v>
      </c>
      <c r="G9" s="54">
        <v>8.14E-2</v>
      </c>
      <c r="H9" s="54">
        <v>0.47970000000000002</v>
      </c>
      <c r="I9" s="54">
        <v>2.2250000000000001</v>
      </c>
      <c r="J9" s="54">
        <v>4.2568999999999999</v>
      </c>
      <c r="K9" s="54">
        <v>0.49070000000000003</v>
      </c>
      <c r="L9" s="54">
        <v>0.443</v>
      </c>
      <c r="M9" s="55">
        <v>1.1000000000000001</v>
      </c>
      <c r="N9" s="54">
        <v>-0.25</v>
      </c>
      <c r="O9" s="61">
        <v>1.63</v>
      </c>
    </row>
    <row r="10" spans="3:15" ht="30.6" x14ac:dyDescent="0.2">
      <c r="C10" s="63" t="s">
        <v>29</v>
      </c>
      <c r="D10" s="67">
        <v>0.13</v>
      </c>
      <c r="E10" s="53">
        <v>0.124</v>
      </c>
      <c r="F10" s="53">
        <v>0.109</v>
      </c>
      <c r="G10" s="54">
        <v>8.1000000000000003E-2</v>
      </c>
      <c r="H10" s="54">
        <v>0.3412</v>
      </c>
      <c r="I10" s="54">
        <v>2.1368999999999998</v>
      </c>
      <c r="J10" s="54">
        <v>3.3088000000000002</v>
      </c>
      <c r="K10" s="54">
        <v>4.3918999999999997</v>
      </c>
      <c r="L10" s="54">
        <v>0.33310000000000001</v>
      </c>
      <c r="M10" s="55">
        <v>0.6</v>
      </c>
      <c r="N10" s="54">
        <v>-0.23</v>
      </c>
      <c r="O10" s="61">
        <v>1.66</v>
      </c>
    </row>
    <row r="11" spans="3:15" ht="20.399999999999999" x14ac:dyDescent="0.2">
      <c r="C11" s="63" t="s">
        <v>30</v>
      </c>
      <c r="D11" s="67">
        <v>0.11799999999999999</v>
      </c>
      <c r="E11" s="53">
        <v>6.7000000000000004E-2</v>
      </c>
      <c r="F11" s="53">
        <v>5.7000000000000002E-2</v>
      </c>
      <c r="G11" s="54">
        <v>6.4899999999999999E-2</v>
      </c>
      <c r="H11" s="54">
        <v>0.52490000000000003</v>
      </c>
      <c r="I11" s="54">
        <v>4.4272999999999998</v>
      </c>
      <c r="J11" s="54">
        <v>19.242699999999999</v>
      </c>
      <c r="K11" s="54">
        <v>7.3704999999999998</v>
      </c>
      <c r="L11" s="54">
        <v>0.34820000000000001</v>
      </c>
      <c r="M11" s="55">
        <v>1.5</v>
      </c>
      <c r="N11" s="54">
        <v>0.14000000000000001</v>
      </c>
      <c r="O11" s="61">
        <v>1.38</v>
      </c>
    </row>
    <row r="12" spans="3:15" ht="20.399999999999999" x14ac:dyDescent="0.2">
      <c r="C12" s="63" t="s">
        <v>31</v>
      </c>
      <c r="D12" s="67">
        <v>0.34100000000000003</v>
      </c>
      <c r="E12" s="53">
        <v>0.22500000000000001</v>
      </c>
      <c r="F12" s="53">
        <v>0.18</v>
      </c>
      <c r="G12" s="54">
        <v>8.2100000000000006E-2</v>
      </c>
      <c r="H12" s="54">
        <v>0.22689999999999999</v>
      </c>
      <c r="I12" s="54">
        <v>0.25280000000000002</v>
      </c>
      <c r="J12" s="54">
        <v>0.41789999999999999</v>
      </c>
      <c r="K12" s="54">
        <v>0.19889999999999999</v>
      </c>
      <c r="L12" s="54">
        <v>0.3392</v>
      </c>
      <c r="M12" s="55">
        <v>1</v>
      </c>
      <c r="N12" s="54">
        <v>-0.1144</v>
      </c>
      <c r="O12" s="61">
        <v>0.92</v>
      </c>
    </row>
    <row r="13" spans="3:15" ht="20.399999999999999" x14ac:dyDescent="0.2">
      <c r="C13" s="63" t="s">
        <v>32</v>
      </c>
      <c r="D13" s="67">
        <v>0.255</v>
      </c>
      <c r="E13" s="53">
        <v>0.20599999999999999</v>
      </c>
      <c r="F13" s="53">
        <v>0.16900000000000001</v>
      </c>
      <c r="G13" s="54">
        <v>0.111</v>
      </c>
      <c r="H13" s="54">
        <v>0.4582</v>
      </c>
      <c r="I13" s="54">
        <v>0.71799999999999997</v>
      </c>
      <c r="J13" s="54">
        <v>1.5953999999999999</v>
      </c>
      <c r="K13" s="54">
        <v>1.1048</v>
      </c>
      <c r="L13" s="54">
        <v>0.30320000000000003</v>
      </c>
      <c r="M13" s="55">
        <v>1</v>
      </c>
      <c r="N13" s="54">
        <v>3.9300000000000002E-2</v>
      </c>
      <c r="O13" s="61">
        <v>0.62</v>
      </c>
    </row>
    <row r="14" spans="3:15" ht="40.799999999999997" x14ac:dyDescent="0.2">
      <c r="C14" s="63" t="s">
        <v>33</v>
      </c>
      <c r="D14" s="67">
        <v>0.67100000000000004</v>
      </c>
      <c r="E14" s="53">
        <v>0.56200000000000006</v>
      </c>
      <c r="F14" s="53">
        <v>0.373</v>
      </c>
      <c r="G14" s="54">
        <v>0.36320000000000002</v>
      </c>
      <c r="H14" s="54">
        <v>0.41139999999999999</v>
      </c>
      <c r="I14" s="54">
        <v>0.57040000000000002</v>
      </c>
      <c r="J14" s="54">
        <v>2.1335000000000002</v>
      </c>
      <c r="K14" s="54">
        <v>4.7294999999999998</v>
      </c>
      <c r="L14" s="54">
        <v>0.40839999999999999</v>
      </c>
      <c r="M14" s="55">
        <v>1</v>
      </c>
      <c r="N14" s="54">
        <v>-0.19</v>
      </c>
      <c r="O14" s="61">
        <v>1.81</v>
      </c>
    </row>
    <row r="15" spans="3:15" ht="20.399999999999999" x14ac:dyDescent="0.2">
      <c r="C15" s="63" t="s">
        <v>34</v>
      </c>
      <c r="D15" s="67">
        <v>0.23899999999999999</v>
      </c>
      <c r="E15" s="53">
        <v>0.192</v>
      </c>
      <c r="F15" s="53">
        <v>0.13700000000000001</v>
      </c>
      <c r="G15" s="54">
        <v>0.10390000000000001</v>
      </c>
      <c r="H15" s="54">
        <v>0.72070000000000001</v>
      </c>
      <c r="I15" s="54">
        <v>0.37359999999999999</v>
      </c>
      <c r="J15" s="54">
        <v>0.35799999999999998</v>
      </c>
      <c r="K15" s="54">
        <v>1.3856999999999999</v>
      </c>
      <c r="L15" s="54">
        <v>0.3659</v>
      </c>
      <c r="M15" s="55">
        <v>1.2</v>
      </c>
      <c r="N15" s="54">
        <v>-0.14860000000000001</v>
      </c>
      <c r="O15" s="61">
        <v>1.1599999999999999</v>
      </c>
    </row>
    <row r="16" spans="3:15" ht="20.399999999999999" x14ac:dyDescent="0.2">
      <c r="C16" s="63" t="s">
        <v>35</v>
      </c>
      <c r="D16" s="67">
        <v>0.71299999999999997</v>
      </c>
      <c r="E16" s="53">
        <v>0.50700000000000001</v>
      </c>
      <c r="F16" s="53">
        <v>0.34100000000000003</v>
      </c>
      <c r="G16" s="54">
        <v>0.17879999999999999</v>
      </c>
      <c r="H16" s="54">
        <v>0.47260000000000002</v>
      </c>
      <c r="I16" s="54">
        <v>0.5696</v>
      </c>
      <c r="J16" s="54">
        <v>0.78390000000000004</v>
      </c>
      <c r="K16" s="54">
        <v>1.7969999999999999</v>
      </c>
      <c r="L16" s="54">
        <v>0.51390000000000002</v>
      </c>
      <c r="M16" s="55">
        <v>1.5</v>
      </c>
      <c r="N16" s="54">
        <v>7.0000000000000007E-2</v>
      </c>
      <c r="O16" s="61">
        <v>1.58</v>
      </c>
    </row>
    <row r="17" spans="3:15" ht="31.2" thickBot="1" x14ac:dyDescent="0.25">
      <c r="C17" s="64" t="s">
        <v>36</v>
      </c>
      <c r="D17" s="68">
        <v>0.40500000000000003</v>
      </c>
      <c r="E17" s="58">
        <v>0.26500000000000001</v>
      </c>
      <c r="F17" s="58">
        <v>0.20100000000000001</v>
      </c>
      <c r="G17" s="59">
        <v>0.1452</v>
      </c>
      <c r="H17" s="59">
        <v>0.51490000000000002</v>
      </c>
      <c r="I17" s="59">
        <v>0.65490000000000004</v>
      </c>
      <c r="J17" s="59">
        <v>1.2866</v>
      </c>
      <c r="K17" s="59">
        <v>1.2698</v>
      </c>
      <c r="L17" s="59">
        <v>0.1459</v>
      </c>
      <c r="M17" s="60">
        <v>0.4</v>
      </c>
      <c r="N17" s="59">
        <v>8.7599999999999997E-2</v>
      </c>
      <c r="O17" s="62">
        <v>1.1599999999999999</v>
      </c>
    </row>
    <row r="27" spans="3:15" ht="10.8" thickBot="1" x14ac:dyDescent="0.25"/>
    <row r="28" spans="3:15" ht="10.8" thickBot="1" x14ac:dyDescent="0.25">
      <c r="C28" s="51" t="s">
        <v>190</v>
      </c>
      <c r="D28" s="49">
        <f>AVERAGE(D29:O29)</f>
        <v>0.61499999999999999</v>
      </c>
    </row>
    <row r="29" spans="3:15" ht="10.8" thickBot="1" x14ac:dyDescent="0.25">
      <c r="C29" s="52" t="s">
        <v>191</v>
      </c>
      <c r="D29" s="50">
        <f>IFERROR(INDEX(C31:C51,MATCH(D17,D31:D51)),"NA")</f>
        <v>0.75</v>
      </c>
      <c r="E29" s="47">
        <f>IFERROR(INDEX(C31:C51,MATCH(E17,E31:E51)),"NA")</f>
        <v>0.75</v>
      </c>
      <c r="F29" s="47">
        <f>IFERROR(INDEX(C31:C51,MATCH(F17,F31:F51)),"NA")</f>
        <v>0.75</v>
      </c>
      <c r="G29" s="47">
        <f>IFERROR(INDEX(C31:C51,MATCH(G17,G31:G51)),"NA")</f>
        <v>0.75</v>
      </c>
      <c r="H29" s="47">
        <f>IFERROR(INDEX(C31:C51,MATCH(H17,H31:H51)),"NA")</f>
        <v>0.75</v>
      </c>
      <c r="I29" s="47">
        <f>IFERROR(INDEX(C31:C51,MATCH(I17,I31:I51)),"NA")</f>
        <v>0.35</v>
      </c>
      <c r="J29" s="47">
        <f>IFERROR(INDEX(C31:C51,MATCH(J17,J31:J51)),"NA")</f>
        <v>0.25</v>
      </c>
      <c r="K29" s="47">
        <f>IFERROR(INDEX(C31:C51,MATCH(K17,K31:K51)),"NA")</f>
        <v>0.3</v>
      </c>
      <c r="L29" s="47" t="str">
        <f>IFERROR(INDEX(C31:C51,MATCH(L17,L31:L51)),"NA")</f>
        <v>NA</v>
      </c>
      <c r="M29" s="47" t="str">
        <f>IFERROR((1-INDEX(C31:C51,MATCH(M17,M31:M51))),"NA")</f>
        <v>NA</v>
      </c>
      <c r="N29" s="47">
        <f>IFERROR(INDEX(C31:C51,MATCH(N17,N31:N51)),"NA")</f>
        <v>0.9</v>
      </c>
      <c r="O29" s="48">
        <f>IFERROR((1-INDEX(C31:C51,MATCH(O17,O31:O51))),"NA")</f>
        <v>0.6</v>
      </c>
    </row>
    <row r="30" spans="3:15" ht="10.8" thickBot="1" x14ac:dyDescent="0.25">
      <c r="C30" s="43" t="s">
        <v>192</v>
      </c>
    </row>
    <row r="31" spans="3:15" x14ac:dyDescent="0.2">
      <c r="C31" s="45">
        <v>0</v>
      </c>
      <c r="D31" s="74">
        <f>PERCENTILE(D7:D16,C31)</f>
        <v>0.11799999999999999</v>
      </c>
      <c r="E31" s="74">
        <f>PERCENTILE(E7:E16,C31)</f>
        <v>6.7000000000000004E-2</v>
      </c>
      <c r="F31" s="74">
        <f>PERCENTILE(F7:F16,C31)</f>
        <v>5.7000000000000002E-2</v>
      </c>
      <c r="G31" s="74">
        <f>PERCENTILE(G7:G16,C31)</f>
        <v>-1.04E-2</v>
      </c>
      <c r="H31" s="74">
        <f>PERCENTILE(H7:H16,C31)</f>
        <v>0.22689999999999999</v>
      </c>
      <c r="I31" s="74">
        <f>PERCENTILE(I7:I16,C31)</f>
        <v>0.25280000000000002</v>
      </c>
      <c r="J31" s="74">
        <f>PERCENTILE(J7:J16,C31)</f>
        <v>0.35799999999999998</v>
      </c>
      <c r="K31" s="74">
        <f>PERCENTILE(K7:K16,C31)</f>
        <v>0.19889999999999999</v>
      </c>
      <c r="L31" s="74">
        <f>PERCENTILE(L7:L16,C31)</f>
        <v>0.18809999999999999</v>
      </c>
      <c r="M31" s="77">
        <f>PERCENTILE(M7:M16,C31)</f>
        <v>0.5</v>
      </c>
      <c r="N31" s="74">
        <f>PERCENTILE(N7:N16,C31)</f>
        <v>-0.25</v>
      </c>
      <c r="O31" s="80">
        <f>PERCENTILE(O7:O16,C31)</f>
        <v>0.59</v>
      </c>
    </row>
    <row r="32" spans="3:15" x14ac:dyDescent="0.2">
      <c r="C32" s="44">
        <v>0.05</v>
      </c>
      <c r="D32" s="75">
        <f>PERCENTILE(D7:D16,C32)</f>
        <v>0.1234</v>
      </c>
      <c r="E32" s="75">
        <f>PERCENTILE(E7:E16,C32)</f>
        <v>9.2649999999999996E-2</v>
      </c>
      <c r="F32" s="75">
        <f>PERCENTILE(F7:F16,C32)</f>
        <v>8.0399999999999999E-2</v>
      </c>
      <c r="G32" s="75">
        <f>PERCENTILE(G7:G16,C32)</f>
        <v>2.3484999999999999E-2</v>
      </c>
      <c r="H32" s="75">
        <f>PERCENTILE(H7:H16,C32)</f>
        <v>0.278335</v>
      </c>
      <c r="I32" s="75">
        <f>PERCENTILE(I7:I16,C32)</f>
        <v>0.30715999999999999</v>
      </c>
      <c r="J32" s="75">
        <f>PERCENTILE(J7:J16,C32)</f>
        <v>0.38495499999999999</v>
      </c>
      <c r="K32" s="75">
        <f>PERCENTILE(K7:K16,C32)</f>
        <v>0.31562000000000001</v>
      </c>
      <c r="L32" s="75">
        <f>PERCENTILE(L7:L16,C32)</f>
        <v>0.239895</v>
      </c>
      <c r="M32" s="78">
        <f>PERCENTILE(M7:M16,C32)</f>
        <v>0.54499999999999993</v>
      </c>
      <c r="N32" s="75">
        <f>PERCENTILE(N7:N16,C32)</f>
        <v>-0.24099999999999999</v>
      </c>
      <c r="O32" s="81">
        <f>PERCENTILE(O7:O16,C32)</f>
        <v>0.60349999999999993</v>
      </c>
    </row>
    <row r="33" spans="3:15" x14ac:dyDescent="0.2">
      <c r="C33" s="44">
        <v>0.1</v>
      </c>
      <c r="D33" s="75">
        <f>PERCENTILE(D7:D16,C33)</f>
        <v>0.1288</v>
      </c>
      <c r="E33" s="75">
        <f>PERCENTILE(E7:E16,C33)</f>
        <v>0.11829999999999999</v>
      </c>
      <c r="F33" s="75">
        <f>PERCENTILE(F7:F16,C33)</f>
        <v>0.1038</v>
      </c>
      <c r="G33" s="75">
        <f>PERCENTILE(G7:G16,C33)</f>
        <v>5.7369999999999997E-2</v>
      </c>
      <c r="H33" s="75">
        <f>PERCENTILE(H7:H16,C33)</f>
        <v>0.32977000000000001</v>
      </c>
      <c r="I33" s="75">
        <f>PERCENTILE(I7:I16,C33)</f>
        <v>0.36151999999999995</v>
      </c>
      <c r="J33" s="75">
        <f>PERCENTILE(J7:J16,C33)</f>
        <v>0.41191</v>
      </c>
      <c r="K33" s="75">
        <f>PERCENTILE(K7:K16,C33)</f>
        <v>0.43234000000000006</v>
      </c>
      <c r="L33" s="75">
        <f>PERCENTILE(L7:L16,C33)</f>
        <v>0.29169</v>
      </c>
      <c r="M33" s="78">
        <f>PERCENTILE(M7:M16,C33)</f>
        <v>0.59</v>
      </c>
      <c r="N33" s="75">
        <f>PERCENTILE(N7:N16,C33)</f>
        <v>-0.23200000000000001</v>
      </c>
      <c r="O33" s="81">
        <f>PERCENTILE(O7:O16,C33)</f>
        <v>0.61699999999999999</v>
      </c>
    </row>
    <row r="34" spans="3:15" x14ac:dyDescent="0.2">
      <c r="C34" s="44">
        <v>0.15</v>
      </c>
      <c r="D34" s="75">
        <f>PERCENTILE(D7:D16,C34)</f>
        <v>0.13664999999999999</v>
      </c>
      <c r="E34" s="75">
        <f>PERCENTILE(E7:E16,C34)</f>
        <v>0.12575</v>
      </c>
      <c r="F34" s="75">
        <f>PERCENTILE(F7:F16,C34)</f>
        <v>0.10970000000000001</v>
      </c>
      <c r="G34" s="75">
        <f>PERCENTILE(G7:G16,C34)</f>
        <v>7.0535E-2</v>
      </c>
      <c r="H34" s="75">
        <f>PERCENTILE(H7:H16,C34)</f>
        <v>0.36576999999999998</v>
      </c>
      <c r="I34" s="75">
        <f>PERCENTILE(I7:I16,C34)</f>
        <v>0.44219999999999993</v>
      </c>
      <c r="J34" s="75">
        <f>PERCENTILE(J7:J16,C34)</f>
        <v>0.54599999999999982</v>
      </c>
      <c r="K34" s="75">
        <f>PERCENTILE(K7:K16,C34)</f>
        <v>0.61352000000000018</v>
      </c>
      <c r="L34" s="75">
        <f>PERCENTILE(L7:L16,C34)</f>
        <v>0.31366500000000003</v>
      </c>
      <c r="M34" s="78">
        <f>PERCENTILE(M7:M16,C34)</f>
        <v>0.73999999999999988</v>
      </c>
      <c r="N34" s="75">
        <f>PERCENTILE(N7:N16,C34)</f>
        <v>-0.21600000000000003</v>
      </c>
      <c r="O34" s="81">
        <f>PERCENTILE(O7:O16,C34)</f>
        <v>0.72499999999999987</v>
      </c>
    </row>
    <row r="35" spans="3:15" x14ac:dyDescent="0.2">
      <c r="C35" s="44">
        <v>0.2</v>
      </c>
      <c r="D35" s="75">
        <f>PERCENTILE(D7:D16,C35)</f>
        <v>0.1452</v>
      </c>
      <c r="E35" s="75">
        <f>PERCENTILE(E7:E16,C35)</f>
        <v>0.128</v>
      </c>
      <c r="F35" s="75">
        <f>PERCENTILE(F7:F16,C35)</f>
        <v>0.1106</v>
      </c>
      <c r="G35" s="75">
        <f>PERCENTILE(G7:G16,C35)</f>
        <v>7.7780000000000002E-2</v>
      </c>
      <c r="H35" s="75">
        <f>PERCENTILE(H7:H16,C35)</f>
        <v>0.39735999999999999</v>
      </c>
      <c r="I35" s="75">
        <f>PERCENTILE(I7:I16,C35)</f>
        <v>0.53039999999999998</v>
      </c>
      <c r="J35" s="75">
        <f>PERCENTILE(J7:J16,C35)</f>
        <v>0.71069999999999989</v>
      </c>
      <c r="K35" s="75">
        <f>PERCENTILE(K7:K16,C35)</f>
        <v>0.85916000000000015</v>
      </c>
      <c r="L35" s="75">
        <f>PERCENTILE(L7:L16,C35)</f>
        <v>0.32712000000000002</v>
      </c>
      <c r="M35" s="78">
        <f>PERCENTILE(M7:M16,C35)</f>
        <v>0.91999999999999993</v>
      </c>
      <c r="N35" s="75">
        <f>PERCENTILE(N7:N16,C35)</f>
        <v>-0.19800000000000001</v>
      </c>
      <c r="O35" s="81">
        <f>PERCENTILE(O7:O16,C35)</f>
        <v>0.86</v>
      </c>
    </row>
    <row r="36" spans="3:15" x14ac:dyDescent="0.2">
      <c r="C36" s="44">
        <v>0.25</v>
      </c>
      <c r="D36" s="75">
        <f>PERCENTILE(D7:D16,C36)</f>
        <v>0.17149999999999999</v>
      </c>
      <c r="E36" s="75">
        <f>PERCENTILE(E7:E16,C36)</f>
        <v>0.14474999999999999</v>
      </c>
      <c r="F36" s="75">
        <f>PERCENTILE(F7:F16,C36)</f>
        <v>0.11750000000000001</v>
      </c>
      <c r="G36" s="75">
        <f>PERCENTILE(G7:G16,C36)</f>
        <v>8.1100000000000005E-2</v>
      </c>
      <c r="H36" s="75">
        <f>PERCENTILE(H7:H16,C36)</f>
        <v>0.41897499999999999</v>
      </c>
      <c r="I36" s="75">
        <f>PERCENTILE(I7:I16,C36)</f>
        <v>0.56979999999999997</v>
      </c>
      <c r="J36" s="75">
        <f>PERCENTILE(J7:J16,C36)</f>
        <v>0.98677499999999996</v>
      </c>
      <c r="K36" s="75">
        <f>PERCENTILE(K7:K16,C36)</f>
        <v>1.1048</v>
      </c>
      <c r="L36" s="75">
        <f>PERCENTILE(L7:L16,C36)</f>
        <v>0.33462500000000001</v>
      </c>
      <c r="M36" s="78">
        <f>PERCENTILE(M7:M16,C36)</f>
        <v>1</v>
      </c>
      <c r="N36" s="75">
        <f>PERCENTILE(N7:N16,C36)</f>
        <v>-0.17965</v>
      </c>
      <c r="O36" s="81">
        <f>PERCENTILE(O7:O16,C36)</f>
        <v>0.95750000000000002</v>
      </c>
    </row>
    <row r="37" spans="3:15" x14ac:dyDescent="0.2">
      <c r="C37" s="44">
        <v>0.3</v>
      </c>
      <c r="D37" s="75">
        <f>PERCENTILE(D7:D16,C37)</f>
        <v>0.21199999999999997</v>
      </c>
      <c r="E37" s="75">
        <f>PERCENTILE(E7:E16,C37)</f>
        <v>0.17309999999999998</v>
      </c>
      <c r="F37" s="75">
        <f>PERCENTILE(F7:F16,C37)</f>
        <v>0.12920000000000001</v>
      </c>
      <c r="G37" s="75">
        <f>PERCENTILE(G7:G16,C37)</f>
        <v>8.1280000000000005E-2</v>
      </c>
      <c r="H37" s="75">
        <f>PERCENTILE(H7:H16,C37)</f>
        <v>0.43260999999999999</v>
      </c>
      <c r="I37" s="75">
        <f>PERCENTILE(I7:I16,C37)</f>
        <v>0.57016</v>
      </c>
      <c r="J37" s="75">
        <f>PERCENTILE(J7:J16,C37)</f>
        <v>1.3519499999999998</v>
      </c>
      <c r="K37" s="75">
        <f>PERCENTILE(K7:K16,C37)</f>
        <v>1.21716</v>
      </c>
      <c r="L37" s="75">
        <f>PERCENTILE(L7:L16,C37)</f>
        <v>0.33737</v>
      </c>
      <c r="M37" s="78">
        <f>PERCENTILE(M7:M16,C37)</f>
        <v>1</v>
      </c>
      <c r="N37" s="75">
        <f>PERCENTILE(N7:N16,C37)</f>
        <v>-0.16102000000000002</v>
      </c>
      <c r="O37" s="81">
        <f>PERCENTILE(O7:O16,C37)</f>
        <v>1.0249999999999999</v>
      </c>
    </row>
    <row r="38" spans="3:15" x14ac:dyDescent="0.2">
      <c r="C38" s="44">
        <v>0.35</v>
      </c>
      <c r="D38" s="75">
        <f>PERCENTILE(D7:D16,C38)</f>
        <v>0.2414</v>
      </c>
      <c r="E38" s="75">
        <f>PERCENTILE(E7:E16,C38)</f>
        <v>0.19409999999999999</v>
      </c>
      <c r="F38" s="75">
        <f>PERCENTILE(F7:F16,C38)</f>
        <v>0.14180000000000001</v>
      </c>
      <c r="G38" s="75">
        <f>PERCENTILE(G7:G16,C38)</f>
        <v>8.1505000000000008E-2</v>
      </c>
      <c r="H38" s="75">
        <f>PERCENTILE(H7:H16,C38)</f>
        <v>0.44417499999999999</v>
      </c>
      <c r="I38" s="75">
        <f>PERCENTILE(I7:I16,C38)</f>
        <v>0.59254000000000007</v>
      </c>
      <c r="J38" s="75">
        <f>PERCENTILE(J7:J16,C38)</f>
        <v>1.60707</v>
      </c>
      <c r="K38" s="75">
        <f>PERCENTILE(K7:K16,C38)</f>
        <v>1.3295199999999998</v>
      </c>
      <c r="L38" s="75">
        <f>PERCENTILE(L7:L16,C38)</f>
        <v>0.34055000000000002</v>
      </c>
      <c r="M38" s="78">
        <f>PERCENTILE(M7:M16,C38)</f>
        <v>1</v>
      </c>
      <c r="N38" s="75">
        <f>PERCENTILE(N7:N16,C38)</f>
        <v>-0.14346999999999999</v>
      </c>
      <c r="O38" s="81">
        <f>PERCENTILE(O7:O16,C38)</f>
        <v>1.0835000000000001</v>
      </c>
    </row>
    <row r="39" spans="3:15" x14ac:dyDescent="0.2">
      <c r="C39" s="44">
        <v>0.4</v>
      </c>
      <c r="D39" s="75">
        <f>PERCENTILE(D7:D16,C39)</f>
        <v>0.24859999999999999</v>
      </c>
      <c r="E39" s="75">
        <f>PERCENTILE(E7:E16,C39)</f>
        <v>0.20039999999999999</v>
      </c>
      <c r="F39" s="75">
        <f>PERCENTILE(F7:F16,C39)</f>
        <v>0.15620000000000001</v>
      </c>
      <c r="G39" s="75">
        <f>PERCENTILE(G7:G16,C39)</f>
        <v>8.1820000000000004E-2</v>
      </c>
      <c r="H39" s="75">
        <f>PERCENTILE(H7:H16,C39)</f>
        <v>0.4516</v>
      </c>
      <c r="I39" s="75">
        <f>PERCENTILE(I7:I16,C39)</f>
        <v>0.65895999999999999</v>
      </c>
      <c r="J39" s="75">
        <f>PERCENTILE(J7:J16,C39)</f>
        <v>1.64208</v>
      </c>
      <c r="K39" s="75">
        <f>PERCENTILE(K7:K16,C39)</f>
        <v>1.39242</v>
      </c>
      <c r="L39" s="75">
        <f>PERCENTILE(L7:L16,C39)</f>
        <v>0.34460000000000002</v>
      </c>
      <c r="M39" s="78">
        <f>PERCENTILE(M7:M16,C39)</f>
        <v>1</v>
      </c>
      <c r="N39" s="75">
        <f>PERCENTILE(N7:N16,C39)</f>
        <v>-0.12808000000000003</v>
      </c>
      <c r="O39" s="81">
        <f>PERCENTILE(O7:O16,C39)</f>
        <v>1.1239999999999999</v>
      </c>
    </row>
    <row r="40" spans="3:15" x14ac:dyDescent="0.2">
      <c r="C40" s="44">
        <v>0.45</v>
      </c>
      <c r="D40" s="75">
        <f>PERCENTILE(D7:D16,C40)</f>
        <v>0.25690000000000002</v>
      </c>
      <c r="E40" s="75">
        <f>PERCENTILE(E7:E16,C40)</f>
        <v>0.20695</v>
      </c>
      <c r="F40" s="75">
        <f>PERCENTILE(F7:F16,C40)</f>
        <v>0.1694</v>
      </c>
      <c r="G40" s="75">
        <f>PERCENTILE(G7:G16,C40)</f>
        <v>8.319E-2</v>
      </c>
      <c r="H40" s="75">
        <f>PERCENTILE(H7:H16,C40)</f>
        <v>0.45891999999999999</v>
      </c>
      <c r="I40" s="75">
        <f>PERCENTILE(I7:I16,C40)</f>
        <v>0.7307499999999999</v>
      </c>
      <c r="J40" s="75">
        <f>PERCENTILE(J7:J16,C40)</f>
        <v>1.696215</v>
      </c>
      <c r="K40" s="75">
        <f>PERCENTILE(K7:K16,C40)</f>
        <v>1.4058599999999999</v>
      </c>
      <c r="L40" s="75">
        <f>PERCENTILE(L7:L16,C40)</f>
        <v>0.34908499999999998</v>
      </c>
      <c r="M40" s="78">
        <f>PERCENTILE(M7:M16,C40)</f>
        <v>1</v>
      </c>
      <c r="N40" s="75">
        <f>PERCENTILE(N7:N16,C40)</f>
        <v>-0.11418</v>
      </c>
      <c r="O40" s="81">
        <f>PERCENTILE(O7:O16,C40)</f>
        <v>1.1709999999999998</v>
      </c>
    </row>
    <row r="41" spans="3:15" x14ac:dyDescent="0.2">
      <c r="C41" s="44">
        <v>0.5</v>
      </c>
      <c r="D41" s="75">
        <f>PERCENTILE(D7:D16,C41)</f>
        <v>0.27400000000000002</v>
      </c>
      <c r="E41" s="75">
        <f>PERCENTILE(E7:E16,C41)</f>
        <v>0.2155</v>
      </c>
      <c r="F41" s="75">
        <f>PERCENTILE(F7:F16,C41)</f>
        <v>0.17299999999999999</v>
      </c>
      <c r="G41" s="75">
        <f>PERCENTILE(G7:G16,C41)</f>
        <v>9.2999999999999999E-2</v>
      </c>
      <c r="H41" s="75">
        <f>PERCENTILE(H7:H16,C41)</f>
        <v>0.46540000000000004</v>
      </c>
      <c r="I41" s="75">
        <f>PERCENTILE(I7:I16,C41)</f>
        <v>0.84549999999999992</v>
      </c>
      <c r="J41" s="75">
        <f>PERCENTILE(J7:J16,C41)</f>
        <v>1.9033500000000001</v>
      </c>
      <c r="K41" s="75">
        <f>PERCENTILE(K7:K16,C41)</f>
        <v>1.4193</v>
      </c>
      <c r="L41" s="75">
        <f>PERCENTILE(L7:L16,C41)</f>
        <v>0.35704999999999998</v>
      </c>
      <c r="M41" s="78">
        <f>PERCENTILE(M7:M16,C41)</f>
        <v>1</v>
      </c>
      <c r="N41" s="75">
        <f>PERCENTILE(N7:N16,C41)</f>
        <v>-0.11219999999999999</v>
      </c>
      <c r="O41" s="81">
        <f>PERCENTILE(O7:O16,C41)</f>
        <v>1.27</v>
      </c>
    </row>
    <row r="42" spans="3:15" x14ac:dyDescent="0.2">
      <c r="C42" s="44">
        <v>0.55000000000000004</v>
      </c>
      <c r="D42" s="75">
        <f>PERCENTILE(D7:D16,C42)</f>
        <v>0.29109999999999997</v>
      </c>
      <c r="E42" s="75">
        <f>PERCENTILE(E7:E16,C42)</f>
        <v>0.22405</v>
      </c>
      <c r="F42" s="75">
        <f>PERCENTILE(F7:F16,C42)</f>
        <v>0.17659999999999998</v>
      </c>
      <c r="G42" s="75">
        <f>PERCENTILE(G7:G16,C42)</f>
        <v>0.10281000000000001</v>
      </c>
      <c r="H42" s="75">
        <f>PERCENTILE(H7:H16,C42)</f>
        <v>0.47188000000000002</v>
      </c>
      <c r="I42" s="75">
        <f>PERCENTILE(I7:I16,C42)</f>
        <v>0.96025000000000005</v>
      </c>
      <c r="J42" s="75">
        <f>PERCENTILE(J7:J16,C42)</f>
        <v>2.1104850000000002</v>
      </c>
      <c r="K42" s="75">
        <f>PERCENTILE(K7:K16,C42)</f>
        <v>1.5703800000000001</v>
      </c>
      <c r="L42" s="75">
        <f>PERCENTILE(L7:L16,C42)</f>
        <v>0.36501499999999998</v>
      </c>
      <c r="M42" s="78">
        <f>PERCENTILE(M7:M16,C42)</f>
        <v>1</v>
      </c>
      <c r="N42" s="75">
        <f>PERCENTILE(N7:N16,C42)</f>
        <v>-0.11022</v>
      </c>
      <c r="O42" s="81">
        <f>PERCENTILE(O7:O16,C42)</f>
        <v>1.369</v>
      </c>
    </row>
    <row r="43" spans="3:15" x14ac:dyDescent="0.2">
      <c r="C43" s="44">
        <v>0.6</v>
      </c>
      <c r="D43" s="75">
        <f>PERCENTILE(D7:D16,C43)</f>
        <v>0.30859999999999999</v>
      </c>
      <c r="E43" s="75">
        <f>PERCENTILE(E7:E16,C43)</f>
        <v>0.22540000000000002</v>
      </c>
      <c r="F43" s="75">
        <f>PERCENTILE(F7:F16,C43)</f>
        <v>0.1774</v>
      </c>
      <c r="G43" s="75">
        <f>PERCENTILE(G7:G16,C43)</f>
        <v>0.10674</v>
      </c>
      <c r="H43" s="75">
        <f>PERCENTILE(H7:H16,C43)</f>
        <v>0.47544000000000003</v>
      </c>
      <c r="I43" s="75">
        <f>PERCENTILE(I7:I16,C43)</f>
        <v>1.1060399999999999</v>
      </c>
      <c r="J43" s="75">
        <f>PERCENTILE(J7:J16,C43)</f>
        <v>2.18798</v>
      </c>
      <c r="K43" s="75">
        <f>PERCENTILE(K7:K16,C43)</f>
        <v>1.72146</v>
      </c>
      <c r="L43" s="75">
        <f>PERCENTILE(L7:L16,C43)</f>
        <v>0.37981999999999999</v>
      </c>
      <c r="M43" s="78">
        <f>PERCENTILE(M7:M16,C43)</f>
        <v>1.04</v>
      </c>
      <c r="N43" s="75">
        <f>PERCENTILE(N7:N16,C43)</f>
        <v>-8.0320000000000044E-2</v>
      </c>
      <c r="O43" s="81">
        <f>PERCENTILE(O7:O16,C43)</f>
        <v>1.46</v>
      </c>
    </row>
    <row r="44" spans="3:15" x14ac:dyDescent="0.2">
      <c r="C44" s="44">
        <v>0.65</v>
      </c>
      <c r="D44" s="75">
        <f>PERCENTILE(D7:D16,C44)</f>
        <v>0.32615000000000005</v>
      </c>
      <c r="E44" s="75">
        <f>PERCENTILE(E7:E16,C44)</f>
        <v>0.22585</v>
      </c>
      <c r="F44" s="75">
        <f>PERCENTILE(F7:F16,C44)</f>
        <v>0.17784999999999998</v>
      </c>
      <c r="G44" s="75">
        <f>PERCENTILE(G7:G16,C44)</f>
        <v>0.109935</v>
      </c>
      <c r="H44" s="75">
        <f>PERCENTILE(H7:H16,C44)</f>
        <v>0.47863500000000003</v>
      </c>
      <c r="I44" s="75">
        <f>PERCENTILE(I7:I16,C44)</f>
        <v>1.2557100000000003</v>
      </c>
      <c r="J44" s="75">
        <f>PERCENTILE(J7:J16,C44)</f>
        <v>2.2492700000000001</v>
      </c>
      <c r="K44" s="75">
        <f>PERCENTILE(K7:K16,C44)</f>
        <v>2.3159800000000006</v>
      </c>
      <c r="L44" s="75">
        <f>PERCENTILE(L7:L16,C44)</f>
        <v>0.39548</v>
      </c>
      <c r="M44" s="78">
        <f>PERCENTILE(M7:M16,C44)</f>
        <v>1.0850000000000002</v>
      </c>
      <c r="N44" s="75">
        <f>PERCENTILE(N7:N16,C44)</f>
        <v>-4.6929999999999958E-2</v>
      </c>
      <c r="O44" s="81">
        <f>PERCENTILE(O7:O16,C44)</f>
        <v>1.5500000000000003</v>
      </c>
    </row>
    <row r="45" spans="3:15" x14ac:dyDescent="0.2">
      <c r="C45" s="44">
        <v>0.7</v>
      </c>
      <c r="D45" s="75">
        <f>PERCENTILE(D7:D16,C45)</f>
        <v>0.3347</v>
      </c>
      <c r="E45" s="75">
        <f>PERCENTILE(E7:E16,C45)</f>
        <v>0.2263</v>
      </c>
      <c r="F45" s="75">
        <f>PERCENTILE(F7:F16,C45)</f>
        <v>0.17859999999999998</v>
      </c>
      <c r="G45" s="75">
        <f>PERCENTILE(G7:G16,C45)</f>
        <v>0.11928</v>
      </c>
      <c r="H45" s="75">
        <f>PERCENTILE(H7:H16,C45)</f>
        <v>0.49326000000000003</v>
      </c>
      <c r="I45" s="75">
        <f>PERCENTILE(I7:I16,C45)</f>
        <v>1.5549899999999999</v>
      </c>
      <c r="J45" s="75">
        <f>PERCENTILE(J7:J16,C45)</f>
        <v>2.5814299999999997</v>
      </c>
      <c r="K45" s="75">
        <f>PERCENTILE(K7:K16,C45)</f>
        <v>3.3539399999999988</v>
      </c>
      <c r="L45" s="75">
        <f>PERCENTILE(L7:L16,C45)</f>
        <v>0.40300999999999998</v>
      </c>
      <c r="M45" s="78">
        <f>PERCENTILE(M7:M16,C45)</f>
        <v>1.1300000000000001</v>
      </c>
      <c r="N45" s="75">
        <f>PERCENTILE(N7:N16,C45)</f>
        <v>-1.3270000000000011E-2</v>
      </c>
      <c r="O45" s="81">
        <f>PERCENTILE(O7:O16,C45)</f>
        <v>1.595</v>
      </c>
    </row>
    <row r="46" spans="3:15" x14ac:dyDescent="0.2">
      <c r="C46" s="44">
        <v>0.75</v>
      </c>
      <c r="D46" s="75">
        <f>PERCENTILE(D7:D16,C46)</f>
        <v>0.33875</v>
      </c>
      <c r="E46" s="75">
        <f>PERCENTILE(E7:E16,C46)</f>
        <v>0.22675000000000001</v>
      </c>
      <c r="F46" s="75">
        <f>PERCENTILE(F7:F16,C46)</f>
        <v>0.17949999999999999</v>
      </c>
      <c r="G46" s="75">
        <f>PERCENTILE(G7:G16,C46)</f>
        <v>0.13170000000000001</v>
      </c>
      <c r="H46" s="75">
        <f>PERCENTILE(H7:H16,C46)</f>
        <v>0.51360000000000006</v>
      </c>
      <c r="I46" s="75">
        <f>PERCENTILE(I7:I16,C46)</f>
        <v>1.9290749999999999</v>
      </c>
      <c r="J46" s="75">
        <f>PERCENTILE(J7:J16,C46)</f>
        <v>3.0490250000000003</v>
      </c>
      <c r="K46" s="75">
        <f>PERCENTILE(K7:K16,C46)</f>
        <v>4.3918999999999997</v>
      </c>
      <c r="L46" s="75">
        <f>PERCENTILE(L7:L16,C46)</f>
        <v>0.40647499999999998</v>
      </c>
      <c r="M46" s="78">
        <f>PERCENTILE(M7:M16,C46)</f>
        <v>1.175</v>
      </c>
      <c r="N46" s="75">
        <f>PERCENTILE(N7:N16,C46)</f>
        <v>2.0525000000000002E-2</v>
      </c>
      <c r="O46" s="81">
        <f>PERCENTILE(O7:O16,C46)</f>
        <v>1.6174999999999999</v>
      </c>
    </row>
    <row r="47" spans="3:15" x14ac:dyDescent="0.2">
      <c r="C47" s="44">
        <v>0.8</v>
      </c>
      <c r="D47" s="75">
        <f>PERCENTILE(D7:D16,C47)</f>
        <v>0.40699999999999981</v>
      </c>
      <c r="E47" s="75">
        <f>PERCENTILE(E7:E16,C47)</f>
        <v>0.28299999999999981</v>
      </c>
      <c r="F47" s="75">
        <f>PERCENTILE(F7:F16,C47)</f>
        <v>0.21219999999999989</v>
      </c>
      <c r="G47" s="75">
        <f>PERCENTILE(G7:G16,C47)</f>
        <v>0.14663999999999996</v>
      </c>
      <c r="H47" s="75">
        <f>PERCENTILE(H7:H16,C47)</f>
        <v>0.52573999999999999</v>
      </c>
      <c r="I47" s="75">
        <f>PERCENTILE(I7:I16,C47)</f>
        <v>2.1545199999999998</v>
      </c>
      <c r="J47" s="75">
        <f>PERCENTILE(J7:J16,C47)</f>
        <v>3.4984199999999994</v>
      </c>
      <c r="K47" s="75">
        <f>PERCENTILE(K7:K16,C47)</f>
        <v>4.5269399999999997</v>
      </c>
      <c r="L47" s="75">
        <f>PERCENTILE(L7:L16,C47)</f>
        <v>0.41531999999999997</v>
      </c>
      <c r="M47" s="78">
        <f>PERCENTILE(M7:M16,C47)</f>
        <v>1.2599999999999998</v>
      </c>
      <c r="N47" s="75">
        <f>PERCENTILE(N7:N16,C47)</f>
        <v>4.543999999999998E-2</v>
      </c>
      <c r="O47" s="81">
        <f>PERCENTILE(O7:O16,C47)</f>
        <v>1.6359999999999999</v>
      </c>
    </row>
    <row r="48" spans="3:15" x14ac:dyDescent="0.2">
      <c r="C48" s="44">
        <v>0.85</v>
      </c>
      <c r="D48" s="75">
        <f>PERCENTILE(D7:D16,C48)</f>
        <v>0.55549999999999955</v>
      </c>
      <c r="E48" s="75">
        <f>PERCENTILE(E7:E16,C48)</f>
        <v>0.40899999999999959</v>
      </c>
      <c r="F48" s="75">
        <f>PERCENTILE(F7:F16,C48)</f>
        <v>0.28464999999999979</v>
      </c>
      <c r="G48" s="75">
        <f>PERCENTILE(G7:G16,C48)</f>
        <v>0.16472999999999993</v>
      </c>
      <c r="H48" s="75">
        <f>PERCENTILE(H7:H16,C48)</f>
        <v>0.52763000000000004</v>
      </c>
      <c r="I48" s="75">
        <f>PERCENTILE(I7:I16,C48)</f>
        <v>2.1941649999999999</v>
      </c>
      <c r="J48" s="75">
        <f>PERCENTILE(J7:J16,C48)</f>
        <v>3.9250649999999987</v>
      </c>
      <c r="K48" s="75">
        <f>PERCENTILE(K7:K16,C48)</f>
        <v>4.6619799999999998</v>
      </c>
      <c r="L48" s="75">
        <f>PERCENTILE(L7:L16,C48)</f>
        <v>0.43088999999999994</v>
      </c>
      <c r="M48" s="78">
        <f>PERCENTILE(M7:M16,C48)</f>
        <v>1.3949999999999996</v>
      </c>
      <c r="N48" s="75">
        <f>PERCENTILE(N7:N16,C48)</f>
        <v>5.925499999999996E-2</v>
      </c>
      <c r="O48" s="81">
        <f>PERCENTILE(O7:O16,C48)</f>
        <v>1.6495</v>
      </c>
    </row>
    <row r="49" spans="3:15" x14ac:dyDescent="0.2">
      <c r="C49" s="44">
        <v>0.9</v>
      </c>
      <c r="D49" s="75">
        <f>PERCENTILE(D7:D16,C49)</f>
        <v>0.67520000000000002</v>
      </c>
      <c r="E49" s="75">
        <f>PERCENTILE(E7:E16,C49)</f>
        <v>0.51249999999999996</v>
      </c>
      <c r="F49" s="75">
        <f>PERCENTILE(F7:F16,C49)</f>
        <v>0.34420000000000001</v>
      </c>
      <c r="G49" s="75">
        <f>PERCENTILE(G7:G16,C49)</f>
        <v>0.19723999999999992</v>
      </c>
      <c r="H49" s="75">
        <f>PERCENTILE(H7:H16,C49)</f>
        <v>0.54825999999999997</v>
      </c>
      <c r="I49" s="75">
        <f>PERCENTILE(I7:I16,C49)</f>
        <v>2.4452299999999991</v>
      </c>
      <c r="J49" s="75">
        <f>PERCENTILE(J7:J16,C49)</f>
        <v>5.755479999999995</v>
      </c>
      <c r="K49" s="75">
        <f>PERCENTILE(K7:K16,C49)</f>
        <v>5.257699999999998</v>
      </c>
      <c r="L49" s="75">
        <f>PERCENTILE(L7:L16,C49)</f>
        <v>0.45008999999999999</v>
      </c>
      <c r="M49" s="78">
        <f>PERCENTILE(M7:M16,C49)</f>
        <v>1.5</v>
      </c>
      <c r="N49" s="75">
        <f>PERCENTILE(N7:N16,C49)</f>
        <v>7.6999999999999985E-2</v>
      </c>
      <c r="O49" s="81">
        <f>PERCENTILE(O7:O16,C49)</f>
        <v>1.6749999999999998</v>
      </c>
    </row>
    <row r="50" spans="3:15" x14ac:dyDescent="0.2">
      <c r="C50" s="44">
        <v>0.95</v>
      </c>
      <c r="D50" s="75">
        <f>PERCENTILE(D7:D16,C50)</f>
        <v>0.69409999999999994</v>
      </c>
      <c r="E50" s="75">
        <f>PERCENTILE(E7:E16,C50)</f>
        <v>0.53725000000000001</v>
      </c>
      <c r="F50" s="75">
        <f>PERCENTILE(F7:F16,C50)</f>
        <v>0.35859999999999997</v>
      </c>
      <c r="G50" s="75">
        <f>PERCENTILE(G7:G16,C50)</f>
        <v>0.2802199999999998</v>
      </c>
      <c r="H50" s="75">
        <f>PERCENTILE(H7:H16,C50)</f>
        <v>0.63447999999999982</v>
      </c>
      <c r="I50" s="75">
        <f>PERCENTILE(I7:I16,C50)</f>
        <v>3.4362649999999979</v>
      </c>
      <c r="J50" s="75">
        <f>PERCENTILE(J7:J16,C50)</f>
        <v>12.499089999999983</v>
      </c>
      <c r="K50" s="75">
        <f>PERCENTILE(K7:K16,C50)</f>
        <v>6.3140999999999989</v>
      </c>
      <c r="L50" s="75">
        <f>PERCENTILE(L7:L16,C50)</f>
        <v>0.48199499999999995</v>
      </c>
      <c r="M50" s="78">
        <f>PERCENTILE(M7:M16,C50)</f>
        <v>1.5</v>
      </c>
      <c r="N50" s="75">
        <f>PERCENTILE(N7:N16,C50)</f>
        <v>0.10849999999999993</v>
      </c>
      <c r="O50" s="81">
        <f>PERCENTILE(O7:O16,C50)</f>
        <v>1.7424999999999997</v>
      </c>
    </row>
    <row r="51" spans="3:15" ht="10.8" thickBot="1" x14ac:dyDescent="0.25">
      <c r="C51" s="46">
        <v>1</v>
      </c>
      <c r="D51" s="76">
        <f>PERCENTILE(D7:D16,C51)</f>
        <v>0.71299999999999997</v>
      </c>
      <c r="E51" s="76">
        <f>PERCENTILE(E7:E16,C51)</f>
        <v>0.56200000000000006</v>
      </c>
      <c r="F51" s="76">
        <f>PERCENTILE(F7:F16,C51)</f>
        <v>0.373</v>
      </c>
      <c r="G51" s="76">
        <f>PERCENTILE(G7:G16,C51)</f>
        <v>0.36320000000000002</v>
      </c>
      <c r="H51" s="76">
        <f>PERCENTILE(H7:H16,C51)</f>
        <v>0.72070000000000001</v>
      </c>
      <c r="I51" s="76">
        <f>PERCENTILE(I7:I16,C51)</f>
        <v>4.4272999999999998</v>
      </c>
      <c r="J51" s="76">
        <f>PERCENTILE(J7:J16,C51)</f>
        <v>19.242699999999999</v>
      </c>
      <c r="K51" s="76">
        <f>PERCENTILE(K7:K16,C51)</f>
        <v>7.3704999999999998</v>
      </c>
      <c r="L51" s="76">
        <f>PERCENTILE(L7:L16,C51)</f>
        <v>0.51390000000000002</v>
      </c>
      <c r="M51" s="79">
        <f>PERCENTILE(M7:M16,C51)</f>
        <v>1.5</v>
      </c>
      <c r="N51" s="76">
        <f>PERCENTILE(N7:N16,C51)</f>
        <v>0.14000000000000001</v>
      </c>
      <c r="O51" s="82">
        <f>PERCENTILE(O7:O16,C51)</f>
        <v>1.81</v>
      </c>
    </row>
  </sheetData>
  <conditionalFormatting sqref="D29:O2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7E801-DE09-4C94-8BE0-5146290D39F2}">
  <sheetPr codeName="Sheet3">
    <outlinePr summaryBelow="0" summaryRight="0"/>
  </sheetPr>
  <dimension ref="A4:IU50"/>
  <sheetViews>
    <sheetView defaultGridColor="0" colorId="0" workbookViewId="0"/>
  </sheetViews>
  <sheetFormatPr defaultRowHeight="10.199999999999999" x14ac:dyDescent="0.2"/>
  <cols>
    <col min="1" max="1" width="47.88671875" customWidth="1"/>
    <col min="2" max="17" width="20.88671875" customWidth="1"/>
  </cols>
  <sheetData>
    <row r="4" spans="1:255" ht="16.2" x14ac:dyDescent="0.25">
      <c r="A4" s="1" t="s">
        <v>0</v>
      </c>
    </row>
    <row r="7" spans="1:255" x14ac:dyDescent="0.2">
      <c r="A7" s="2" t="s">
        <v>1</v>
      </c>
      <c r="B7" s="2"/>
      <c r="C7" s="2"/>
      <c r="D7" s="2"/>
      <c r="E7" s="2"/>
      <c r="F7" s="2"/>
      <c r="G7" s="2"/>
      <c r="H7" s="2"/>
      <c r="I7" s="2"/>
      <c r="J7" s="2"/>
      <c r="K7" s="2"/>
      <c r="L7" s="2"/>
      <c r="M7" s="2"/>
      <c r="N7" s="2"/>
      <c r="O7" s="2"/>
      <c r="P7" s="2"/>
      <c r="Q7" s="2"/>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2</v>
      </c>
      <c r="B8" s="4" t="s">
        <v>3</v>
      </c>
    </row>
    <row r="9" spans="1:255" x14ac:dyDescent="0.2">
      <c r="A9" s="3" t="s">
        <v>4</v>
      </c>
      <c r="B9" s="4" t="s">
        <v>5</v>
      </c>
    </row>
    <row r="10" spans="1:255" x14ac:dyDescent="0.2">
      <c r="A10" s="3" t="s">
        <v>6</v>
      </c>
      <c r="B10" s="5">
        <v>45043</v>
      </c>
    </row>
    <row r="11" spans="1:255" x14ac:dyDescent="0.2">
      <c r="A11" s="6"/>
    </row>
    <row r="13" spans="1:255" x14ac:dyDescent="0.2">
      <c r="A13" s="2" t="s">
        <v>7</v>
      </c>
      <c r="B13" s="2"/>
      <c r="C13" s="2"/>
      <c r="D13" s="2"/>
      <c r="E13" s="2"/>
      <c r="F13" s="2"/>
      <c r="G13" s="2"/>
      <c r="H13" s="2"/>
      <c r="I13" s="2"/>
      <c r="J13" s="2"/>
      <c r="K13" s="2"/>
      <c r="L13" s="2"/>
      <c r="M13" s="2"/>
      <c r="N13" s="2"/>
      <c r="O13" s="2"/>
      <c r="P13" s="2"/>
      <c r="Q13" s="2"/>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9</v>
      </c>
      <c r="C14" s="11" t="s">
        <v>10</v>
      </c>
      <c r="D14" s="11" t="s">
        <v>11</v>
      </c>
      <c r="E14" s="11" t="s">
        <v>12</v>
      </c>
      <c r="F14" s="11" t="s">
        <v>13</v>
      </c>
      <c r="G14" s="11" t="s">
        <v>14</v>
      </c>
      <c r="H14" s="11" t="s">
        <v>15</v>
      </c>
      <c r="I14" s="11" t="s">
        <v>16</v>
      </c>
      <c r="J14" s="15" t="s">
        <v>17</v>
      </c>
      <c r="K14" s="11" t="s">
        <v>18</v>
      </c>
      <c r="L14" s="11" t="s">
        <v>19</v>
      </c>
      <c r="M14" s="11" t="s">
        <v>20</v>
      </c>
      <c r="N14" s="11" t="s">
        <v>21</v>
      </c>
      <c r="O14" s="11" t="s">
        <v>22</v>
      </c>
      <c r="P14" s="11" t="s">
        <v>23</v>
      </c>
      <c r="Q14" s="11" t="s">
        <v>24</v>
      </c>
    </row>
    <row r="15" spans="1:255" ht="12" customHeight="1" x14ac:dyDescent="0.2">
      <c r="A15" s="7" t="s">
        <v>25</v>
      </c>
      <c r="B15" s="12">
        <v>116.83</v>
      </c>
      <c r="C15" s="13">
        <v>4059.3</v>
      </c>
      <c r="D15" s="13">
        <v>474247.4</v>
      </c>
      <c r="E15" s="13">
        <v>17278</v>
      </c>
      <c r="F15" s="14" t="s">
        <v>26</v>
      </c>
      <c r="G15" s="12">
        <v>7424</v>
      </c>
      <c r="H15" s="13">
        <v>498949.4</v>
      </c>
      <c r="I15" s="12">
        <v>47.78</v>
      </c>
      <c r="J15" s="16">
        <v>44979</v>
      </c>
      <c r="K15" s="13">
        <v>402217</v>
      </c>
      <c r="L15" s="13">
        <v>91128</v>
      </c>
      <c r="M15" s="13">
        <v>71588</v>
      </c>
      <c r="N15" s="12">
        <v>13.26</v>
      </c>
      <c r="O15" s="12">
        <v>386601.25</v>
      </c>
      <c r="P15" s="12">
        <v>82090.87</v>
      </c>
      <c r="Q15" s="12">
        <v>10.08</v>
      </c>
    </row>
    <row r="16" spans="1:255" ht="12" customHeight="1" x14ac:dyDescent="0.2">
      <c r="A16" s="7" t="s">
        <v>27</v>
      </c>
      <c r="B16" s="12">
        <v>6.54</v>
      </c>
      <c r="C16" s="13">
        <v>17650.8</v>
      </c>
      <c r="D16" s="13">
        <v>115456.8</v>
      </c>
      <c r="E16" s="13">
        <v>14530</v>
      </c>
      <c r="F16" s="12">
        <v>21</v>
      </c>
      <c r="G16" s="12">
        <v>15437</v>
      </c>
      <c r="H16" s="13">
        <v>146549.20000000001</v>
      </c>
      <c r="I16" s="12">
        <v>2.52</v>
      </c>
      <c r="J16" s="16">
        <v>44986</v>
      </c>
      <c r="K16" s="13">
        <v>239740</v>
      </c>
      <c r="L16" s="13">
        <v>54253</v>
      </c>
      <c r="M16" s="13">
        <v>42487</v>
      </c>
      <c r="N16" s="12">
        <v>-0.13</v>
      </c>
      <c r="O16" s="12">
        <v>234727.33</v>
      </c>
      <c r="P16" s="12">
        <v>45961.11</v>
      </c>
      <c r="Q16" s="12">
        <v>1.05</v>
      </c>
    </row>
    <row r="17" spans="1:17" ht="12" customHeight="1" x14ac:dyDescent="0.2">
      <c r="A17" s="7" t="s">
        <v>28</v>
      </c>
      <c r="B17" s="12">
        <v>121.43</v>
      </c>
      <c r="C17" s="13">
        <v>441.6</v>
      </c>
      <c r="D17" s="13">
        <v>53626.6</v>
      </c>
      <c r="E17" s="13">
        <v>16139</v>
      </c>
      <c r="F17" s="14" t="s">
        <v>26</v>
      </c>
      <c r="G17" s="12">
        <v>7372</v>
      </c>
      <c r="H17" s="13">
        <v>77137.600000000006</v>
      </c>
      <c r="I17" s="12">
        <v>42.89</v>
      </c>
      <c r="J17" s="16">
        <v>44980</v>
      </c>
      <c r="K17" s="13">
        <v>178236</v>
      </c>
      <c r="L17" s="13">
        <v>22965</v>
      </c>
      <c r="M17" s="13">
        <v>19750</v>
      </c>
      <c r="N17" s="12">
        <v>27.98</v>
      </c>
      <c r="O17" s="12">
        <v>145005.70000000001</v>
      </c>
      <c r="P17" s="12">
        <v>17162.8</v>
      </c>
      <c r="Q17" s="12">
        <v>21.1</v>
      </c>
    </row>
    <row r="18" spans="1:17" ht="12" customHeight="1" x14ac:dyDescent="0.2">
      <c r="A18" s="7" t="s">
        <v>29</v>
      </c>
      <c r="B18" s="12">
        <v>114.64</v>
      </c>
      <c r="C18" s="13">
        <v>367.8</v>
      </c>
      <c r="D18" s="13">
        <v>42169.2</v>
      </c>
      <c r="E18" s="13">
        <v>7860</v>
      </c>
      <c r="F18" s="14" t="s">
        <v>26</v>
      </c>
      <c r="G18" s="14" t="s">
        <v>26</v>
      </c>
      <c r="H18" s="13">
        <v>51936.2</v>
      </c>
      <c r="I18" s="12">
        <v>62.07</v>
      </c>
      <c r="J18" s="16">
        <v>45043</v>
      </c>
      <c r="K18" s="13">
        <v>169086</v>
      </c>
      <c r="L18" s="13">
        <v>20932.5</v>
      </c>
      <c r="M18" s="13">
        <v>18476</v>
      </c>
      <c r="N18" s="12">
        <v>35.36</v>
      </c>
      <c r="O18" s="12">
        <v>153817.21</v>
      </c>
      <c r="P18" s="12">
        <v>12746.72</v>
      </c>
      <c r="Q18" s="12">
        <v>19.79</v>
      </c>
    </row>
    <row r="19" spans="1:17" ht="12" customHeight="1" x14ac:dyDescent="0.2">
      <c r="A19" s="7" t="s">
        <v>30</v>
      </c>
      <c r="B19" s="12">
        <v>97.74</v>
      </c>
      <c r="C19" s="13">
        <v>460.9</v>
      </c>
      <c r="D19" s="13">
        <v>45049.599999999999</v>
      </c>
      <c r="E19" s="13">
        <v>12084</v>
      </c>
      <c r="F19" s="14" t="s">
        <v>26</v>
      </c>
      <c r="G19" s="12">
        <v>4612</v>
      </c>
      <c r="H19" s="13">
        <v>61745.599999999999</v>
      </c>
      <c r="I19" s="12">
        <v>58.34</v>
      </c>
      <c r="J19" s="16">
        <v>44979</v>
      </c>
      <c r="K19" s="13">
        <v>169990</v>
      </c>
      <c r="L19" s="13">
        <v>11305</v>
      </c>
      <c r="M19" s="13">
        <v>9676</v>
      </c>
      <c r="N19" s="12">
        <v>23.27</v>
      </c>
      <c r="O19" s="12">
        <v>147068.24</v>
      </c>
      <c r="P19" s="12">
        <v>11246.68</v>
      </c>
      <c r="Q19" s="12">
        <v>14.47</v>
      </c>
    </row>
    <row r="20" spans="1:17" ht="12" customHeight="1" x14ac:dyDescent="0.2">
      <c r="A20" s="7" t="s">
        <v>31</v>
      </c>
      <c r="B20" s="12">
        <v>62.68</v>
      </c>
      <c r="C20" s="13">
        <v>2447.4</v>
      </c>
      <c r="D20" s="13">
        <v>153401.70000000001</v>
      </c>
      <c r="E20" s="13">
        <v>32814</v>
      </c>
      <c r="F20" s="14" t="s">
        <v>26</v>
      </c>
      <c r="G20" s="12">
        <v>2863</v>
      </c>
      <c r="H20" s="13">
        <v>181950</v>
      </c>
      <c r="I20" s="12">
        <v>33.049999999999997</v>
      </c>
      <c r="J20" s="16">
        <v>45043</v>
      </c>
      <c r="K20" s="13">
        <v>257593</v>
      </c>
      <c r="L20" s="13">
        <v>57949</v>
      </c>
      <c r="M20" s="13">
        <v>46481</v>
      </c>
      <c r="N20" s="12">
        <v>8.2100000000000009</v>
      </c>
      <c r="O20" s="12">
        <v>220955.64</v>
      </c>
      <c r="P20" s="12">
        <v>56966.68</v>
      </c>
      <c r="Q20" s="12">
        <v>10.49</v>
      </c>
    </row>
    <row r="21" spans="1:17" ht="12" customHeight="1" x14ac:dyDescent="0.2">
      <c r="A21" s="7" t="s">
        <v>32</v>
      </c>
      <c r="B21" s="12">
        <v>29.99</v>
      </c>
      <c r="C21" s="13">
        <v>6845</v>
      </c>
      <c r="D21" s="13">
        <v>205314.1</v>
      </c>
      <c r="E21" s="13">
        <v>43549</v>
      </c>
      <c r="F21" s="14" t="s">
        <v>26</v>
      </c>
      <c r="G21" s="12">
        <v>2125</v>
      </c>
      <c r="H21" s="13">
        <v>252670.2</v>
      </c>
      <c r="I21" s="12">
        <v>23.53</v>
      </c>
      <c r="J21" s="16">
        <v>44994</v>
      </c>
      <c r="K21" s="13">
        <v>381314</v>
      </c>
      <c r="L21" s="13">
        <v>78389</v>
      </c>
      <c r="M21" s="13">
        <v>64403</v>
      </c>
      <c r="N21" s="12">
        <v>5.71</v>
      </c>
      <c r="O21" s="12">
        <v>345214.61</v>
      </c>
      <c r="P21" s="12">
        <v>70118.22</v>
      </c>
      <c r="Q21" s="12">
        <v>4.5199999999999996</v>
      </c>
    </row>
    <row r="22" spans="1:17" ht="12" customHeight="1" x14ac:dyDescent="0.2">
      <c r="A22" s="7" t="s">
        <v>33</v>
      </c>
      <c r="B22" s="12">
        <v>60.58</v>
      </c>
      <c r="C22" s="13">
        <v>898.1</v>
      </c>
      <c r="D22" s="13">
        <v>54407.8</v>
      </c>
      <c r="E22" s="13">
        <v>19781</v>
      </c>
      <c r="F22" s="12">
        <v>9762</v>
      </c>
      <c r="G22" s="14" t="s">
        <v>26</v>
      </c>
      <c r="H22" s="13">
        <v>83950.8</v>
      </c>
      <c r="I22" s="12">
        <v>22.58</v>
      </c>
      <c r="J22" s="16">
        <v>44984</v>
      </c>
      <c r="K22" s="13">
        <v>36634</v>
      </c>
      <c r="L22" s="13">
        <v>20591</v>
      </c>
      <c r="M22" s="13">
        <v>13665</v>
      </c>
      <c r="N22" s="12">
        <v>12.4</v>
      </c>
      <c r="O22" s="12">
        <v>29977.69</v>
      </c>
      <c r="P22" s="12">
        <v>15327.88</v>
      </c>
      <c r="Q22" s="12">
        <v>5.44</v>
      </c>
    </row>
    <row r="23" spans="1:17" ht="12" customHeight="1" x14ac:dyDescent="0.2">
      <c r="A23" s="7" t="s">
        <v>34</v>
      </c>
      <c r="B23" s="12">
        <v>14.86</v>
      </c>
      <c r="C23" s="13">
        <v>3345.4</v>
      </c>
      <c r="D23" s="13">
        <v>49710.7</v>
      </c>
      <c r="E23" s="13">
        <v>14837.4</v>
      </c>
      <c r="F23" s="14" t="s">
        <v>26</v>
      </c>
      <c r="G23" s="12">
        <v>519.12</v>
      </c>
      <c r="H23" s="13">
        <v>65067.3</v>
      </c>
      <c r="I23" s="12">
        <v>16.22</v>
      </c>
      <c r="J23" s="16">
        <v>45021</v>
      </c>
      <c r="K23" s="13">
        <v>147293.1</v>
      </c>
      <c r="L23" s="13">
        <v>28331.3</v>
      </c>
      <c r="M23" s="13">
        <v>20141.099999999999</v>
      </c>
      <c r="N23" s="12">
        <v>4.3499999999999996</v>
      </c>
      <c r="O23" s="12">
        <v>121789.23</v>
      </c>
      <c r="P23" s="12">
        <v>24339.25</v>
      </c>
      <c r="Q23" s="12">
        <v>2.87</v>
      </c>
    </row>
    <row r="24" spans="1:17" ht="12" customHeight="1" x14ac:dyDescent="0.2">
      <c r="A24" s="7" t="s">
        <v>35</v>
      </c>
      <c r="B24" s="12">
        <v>141.47999999999999</v>
      </c>
      <c r="C24" s="13">
        <v>305.7</v>
      </c>
      <c r="D24" s="13">
        <v>43255.9</v>
      </c>
      <c r="E24" s="13">
        <v>7120</v>
      </c>
      <c r="F24" s="14" t="s">
        <v>26</v>
      </c>
      <c r="G24" s="12">
        <v>588</v>
      </c>
      <c r="H24" s="13">
        <v>50963.9</v>
      </c>
      <c r="I24" s="12">
        <v>26.47</v>
      </c>
      <c r="J24" s="16">
        <v>45042</v>
      </c>
      <c r="K24" s="13">
        <v>11327</v>
      </c>
      <c r="L24" s="13">
        <v>5740</v>
      </c>
      <c r="M24" s="13">
        <v>3864</v>
      </c>
      <c r="N24" s="12">
        <v>6.56</v>
      </c>
      <c r="O24" s="12">
        <v>10910.81</v>
      </c>
      <c r="P24" s="14" t="s">
        <v>26</v>
      </c>
      <c r="Q24" s="14" t="s">
        <v>26</v>
      </c>
    </row>
    <row r="25" spans="1:17" x14ac:dyDescent="0.2">
      <c r="A25" s="7" t="s">
        <v>36</v>
      </c>
      <c r="B25" s="12">
        <v>166.95</v>
      </c>
      <c r="C25" s="13">
        <v>1894.6</v>
      </c>
      <c r="D25" s="13">
        <v>316310.7</v>
      </c>
      <c r="E25" s="13">
        <v>9469</v>
      </c>
      <c r="F25" s="14" t="s">
        <v>26</v>
      </c>
      <c r="G25" s="12">
        <v>960</v>
      </c>
      <c r="H25" s="13">
        <v>326739.7</v>
      </c>
      <c r="I25" s="12">
        <v>80.7</v>
      </c>
      <c r="J25" s="16">
        <v>44980</v>
      </c>
      <c r="K25" s="13">
        <v>244302</v>
      </c>
      <c r="L25" s="13">
        <v>64642</v>
      </c>
      <c r="M25" s="13">
        <v>49200</v>
      </c>
      <c r="N25" s="12">
        <v>18.28</v>
      </c>
      <c r="O25" s="12">
        <v>203141.28</v>
      </c>
      <c r="P25" s="12">
        <v>54690.9</v>
      </c>
      <c r="Q25" s="12">
        <v>14.37</v>
      </c>
    </row>
    <row r="26" spans="1:17" x14ac:dyDescent="0.2">
      <c r="A26" s="8"/>
      <c r="B26" s="8"/>
      <c r="C26" s="8"/>
      <c r="D26" s="8"/>
      <c r="E26" s="8"/>
      <c r="F26" s="8"/>
      <c r="G26" s="8"/>
      <c r="H26" s="8"/>
      <c r="I26" s="8"/>
      <c r="J26" s="8"/>
      <c r="K26" s="8"/>
      <c r="L26" s="8"/>
      <c r="M26" s="8"/>
      <c r="N26" s="8"/>
      <c r="O26" s="8"/>
      <c r="P26" s="8"/>
      <c r="Q26" s="8"/>
    </row>
    <row r="27" spans="1:17" ht="12" customHeight="1" x14ac:dyDescent="0.2">
      <c r="A27" s="7" t="s">
        <v>37</v>
      </c>
      <c r="B27" s="11" t="s">
        <v>9</v>
      </c>
      <c r="C27" s="11" t="s">
        <v>10</v>
      </c>
      <c r="D27" s="11" t="s">
        <v>11</v>
      </c>
      <c r="E27" s="11" t="s">
        <v>12</v>
      </c>
      <c r="F27" s="11" t="s">
        <v>13</v>
      </c>
      <c r="G27" s="11" t="s">
        <v>14</v>
      </c>
      <c r="H27" s="11" t="s">
        <v>15</v>
      </c>
      <c r="I27" s="11" t="s">
        <v>16</v>
      </c>
      <c r="J27" s="15" t="s">
        <v>17</v>
      </c>
      <c r="K27" s="11" t="s">
        <v>18</v>
      </c>
      <c r="L27" s="11" t="s">
        <v>19</v>
      </c>
      <c r="M27" s="11" t="s">
        <v>20</v>
      </c>
      <c r="N27" s="11" t="s">
        <v>21</v>
      </c>
      <c r="O27" s="11" t="s">
        <v>22</v>
      </c>
      <c r="P27" s="11" t="s">
        <v>23</v>
      </c>
      <c r="Q27" s="11" t="s">
        <v>24</v>
      </c>
    </row>
    <row r="28" spans="1:17" x14ac:dyDescent="0.2">
      <c r="A28" s="7" t="s">
        <v>38</v>
      </c>
      <c r="B28" s="12">
        <v>141.47999999999999</v>
      </c>
      <c r="C28" s="13">
        <v>17650.8</v>
      </c>
      <c r="D28" s="13">
        <v>474247.4</v>
      </c>
      <c r="E28" s="13">
        <v>43549</v>
      </c>
      <c r="F28" s="12">
        <v>9762</v>
      </c>
      <c r="G28" s="12">
        <v>15437</v>
      </c>
      <c r="H28" s="13">
        <v>498949.4</v>
      </c>
      <c r="I28" s="12">
        <v>62.07</v>
      </c>
      <c r="J28" s="17" t="s">
        <v>26</v>
      </c>
      <c r="K28" s="13">
        <v>402217</v>
      </c>
      <c r="L28" s="13">
        <v>91128</v>
      </c>
      <c r="M28" s="13">
        <v>71588</v>
      </c>
      <c r="N28" s="12">
        <v>35.36</v>
      </c>
      <c r="O28" s="12">
        <v>386601.25</v>
      </c>
      <c r="P28" s="12">
        <v>82090.87</v>
      </c>
      <c r="Q28" s="12">
        <v>21.1</v>
      </c>
    </row>
    <row r="29" spans="1:17" x14ac:dyDescent="0.2">
      <c r="A29" s="7" t="s">
        <v>39</v>
      </c>
      <c r="B29" s="12">
        <v>6.54</v>
      </c>
      <c r="C29" s="13">
        <v>305.7</v>
      </c>
      <c r="D29" s="13">
        <v>42169.2</v>
      </c>
      <c r="E29" s="13">
        <v>7120</v>
      </c>
      <c r="F29" s="12">
        <v>21</v>
      </c>
      <c r="G29" s="12">
        <v>519.12</v>
      </c>
      <c r="H29" s="13">
        <v>50963.9</v>
      </c>
      <c r="I29" s="12">
        <v>2.52</v>
      </c>
      <c r="J29" s="17" t="s">
        <v>26</v>
      </c>
      <c r="K29" s="13">
        <v>11327</v>
      </c>
      <c r="L29" s="13">
        <v>5740</v>
      </c>
      <c r="M29" s="13">
        <v>3864</v>
      </c>
      <c r="N29" s="12">
        <v>-0.13</v>
      </c>
      <c r="O29" s="12">
        <v>10910.81</v>
      </c>
      <c r="P29" s="12">
        <v>11246.68</v>
      </c>
      <c r="Q29" s="12">
        <v>1.05</v>
      </c>
    </row>
    <row r="30" spans="1:17" x14ac:dyDescent="0.2">
      <c r="A30" s="7" t="s">
        <v>40</v>
      </c>
      <c r="B30" s="12">
        <v>76.680000000000007</v>
      </c>
      <c r="C30" s="13">
        <v>3682.2</v>
      </c>
      <c r="D30" s="13">
        <v>123664</v>
      </c>
      <c r="E30" s="13">
        <v>18599.2</v>
      </c>
      <c r="F30" s="12">
        <v>4891.5</v>
      </c>
      <c r="G30" s="12">
        <v>5117.5200000000004</v>
      </c>
      <c r="H30" s="13">
        <v>147092</v>
      </c>
      <c r="I30" s="12">
        <v>33.549999999999997</v>
      </c>
      <c r="J30" s="17" t="s">
        <v>26</v>
      </c>
      <c r="K30" s="13">
        <v>199343</v>
      </c>
      <c r="L30" s="13">
        <v>39158.400000000001</v>
      </c>
      <c r="M30" s="13">
        <v>31053.1</v>
      </c>
      <c r="N30" s="12">
        <v>13.7</v>
      </c>
      <c r="O30" s="12">
        <v>179606.77</v>
      </c>
      <c r="P30" s="12">
        <v>37328.910000000003</v>
      </c>
      <c r="Q30" s="12">
        <v>9.98</v>
      </c>
    </row>
    <row r="31" spans="1:17" x14ac:dyDescent="0.2">
      <c r="A31" s="7" t="s">
        <v>41</v>
      </c>
      <c r="B31" s="12">
        <v>80.209999999999994</v>
      </c>
      <c r="C31" s="13">
        <v>1672.7</v>
      </c>
      <c r="D31" s="13">
        <v>54017.2</v>
      </c>
      <c r="E31" s="13">
        <v>15488.2</v>
      </c>
      <c r="F31" s="12">
        <v>4891.5</v>
      </c>
      <c r="G31" s="12">
        <v>3737.5</v>
      </c>
      <c r="H31" s="13">
        <v>80544.2</v>
      </c>
      <c r="I31" s="12">
        <v>29.76</v>
      </c>
      <c r="J31" s="17" t="s">
        <v>26</v>
      </c>
      <c r="K31" s="13">
        <v>174113</v>
      </c>
      <c r="L31" s="13">
        <v>25648.2</v>
      </c>
      <c r="M31" s="13">
        <v>19945.5</v>
      </c>
      <c r="N31" s="12">
        <v>10.31</v>
      </c>
      <c r="O31" s="12">
        <v>150442.72</v>
      </c>
      <c r="P31" s="12">
        <v>24339.25</v>
      </c>
      <c r="Q31" s="12">
        <v>10.08</v>
      </c>
    </row>
    <row r="32" spans="1:17" x14ac:dyDescent="0.2">
      <c r="A32" s="10"/>
      <c r="B32" s="10"/>
      <c r="C32" s="10"/>
      <c r="D32" s="10"/>
      <c r="E32" s="10"/>
      <c r="F32" s="10"/>
      <c r="G32" s="10"/>
      <c r="H32" s="10"/>
      <c r="I32" s="10"/>
      <c r="J32" s="10"/>
      <c r="K32" s="10"/>
      <c r="L32" s="10"/>
      <c r="M32" s="10"/>
      <c r="N32" s="10"/>
      <c r="O32" s="10"/>
      <c r="P32" s="10"/>
      <c r="Q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887C6-6B12-4955-80E3-A6870CBADC3C}">
  <sheetPr codeName="Sheet4">
    <outlinePr summaryBelow="0" summaryRight="0"/>
  </sheetPr>
  <dimension ref="A4:IU50"/>
  <sheetViews>
    <sheetView defaultGridColor="0" colorId="0" workbookViewId="0"/>
  </sheetViews>
  <sheetFormatPr defaultRowHeight="10.199999999999999" x14ac:dyDescent="0.2"/>
  <cols>
    <col min="1" max="1" width="47.88671875" customWidth="1"/>
    <col min="2" max="9" width="20.88671875" customWidth="1"/>
  </cols>
  <sheetData>
    <row r="4" spans="1:255" ht="16.2" x14ac:dyDescent="0.25">
      <c r="A4" s="1" t="s">
        <v>46</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47</v>
      </c>
      <c r="B8" s="4" t="s">
        <v>3</v>
      </c>
    </row>
    <row r="9" spans="1:255" x14ac:dyDescent="0.2">
      <c r="A9" s="3" t="s">
        <v>48</v>
      </c>
      <c r="B9" s="4" t="s">
        <v>5</v>
      </c>
    </row>
    <row r="10" spans="1:255" x14ac:dyDescent="0.2">
      <c r="A10" s="3" t="s">
        <v>49</v>
      </c>
      <c r="B10" s="5">
        <v>45043</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50</v>
      </c>
      <c r="C14" s="11" t="s">
        <v>51</v>
      </c>
      <c r="D14" s="11" t="s">
        <v>52</v>
      </c>
      <c r="E14" s="11" t="s">
        <v>53</v>
      </c>
      <c r="F14" s="11" t="s">
        <v>54</v>
      </c>
      <c r="G14" s="11" t="s">
        <v>55</v>
      </c>
      <c r="H14" s="11" t="s">
        <v>56</v>
      </c>
      <c r="I14" s="11" t="s">
        <v>57</v>
      </c>
    </row>
    <row r="15" spans="1:255" ht="12" customHeight="1" x14ac:dyDescent="0.2">
      <c r="A15" s="7" t="s">
        <v>25</v>
      </c>
      <c r="B15" s="14" t="s">
        <v>26</v>
      </c>
      <c r="C15" s="14" t="s">
        <v>26</v>
      </c>
      <c r="D15" s="14" t="s">
        <v>26</v>
      </c>
      <c r="E15" s="14" t="s">
        <v>26</v>
      </c>
      <c r="F15" s="14" t="s">
        <v>26</v>
      </c>
      <c r="G15" s="19">
        <v>1.29</v>
      </c>
      <c r="H15" s="19">
        <v>6.08</v>
      </c>
      <c r="I15" s="19">
        <v>11.59</v>
      </c>
    </row>
    <row r="16" spans="1:255" ht="12" customHeight="1" x14ac:dyDescent="0.2">
      <c r="A16" s="7" t="s">
        <v>27</v>
      </c>
      <c r="B16" s="14" t="s">
        <v>26</v>
      </c>
      <c r="C16" s="14" t="s">
        <v>26</v>
      </c>
      <c r="D16" s="14" t="s">
        <v>26</v>
      </c>
      <c r="E16" s="14" t="s">
        <v>26</v>
      </c>
      <c r="F16" s="14" t="s">
        <v>26</v>
      </c>
      <c r="G16" s="19">
        <v>0.62</v>
      </c>
      <c r="H16" s="19">
        <v>3.19</v>
      </c>
      <c r="I16" s="19">
        <v>6.23</v>
      </c>
    </row>
    <row r="17" spans="1:9" ht="12" customHeight="1" x14ac:dyDescent="0.2">
      <c r="A17" s="7" t="s">
        <v>28</v>
      </c>
      <c r="B17" s="14" t="s">
        <v>26</v>
      </c>
      <c r="C17" s="14" t="s">
        <v>26</v>
      </c>
      <c r="D17" s="14" t="s">
        <v>26</v>
      </c>
      <c r="E17" s="14" t="s">
        <v>26</v>
      </c>
      <c r="F17" s="14" t="s">
        <v>26</v>
      </c>
      <c r="G17" s="19">
        <v>0.53</v>
      </c>
      <c r="H17" s="19">
        <v>4.49</v>
      </c>
      <c r="I17" s="19">
        <v>5.76</v>
      </c>
    </row>
    <row r="18" spans="1:9" ht="12" customHeight="1" x14ac:dyDescent="0.2">
      <c r="A18" s="7" t="s">
        <v>29</v>
      </c>
      <c r="B18" s="14" t="s">
        <v>26</v>
      </c>
      <c r="C18" s="14" t="s">
        <v>26</v>
      </c>
      <c r="D18" s="14" t="s">
        <v>26</v>
      </c>
      <c r="E18" s="14" t="s">
        <v>26</v>
      </c>
      <c r="F18" s="14" t="s">
        <v>26</v>
      </c>
      <c r="G18" s="19">
        <v>0.34</v>
      </c>
      <c r="H18" s="19">
        <v>4.07</v>
      </c>
      <c r="I18" s="19">
        <v>5.79</v>
      </c>
    </row>
    <row r="19" spans="1:9" ht="12" customHeight="1" x14ac:dyDescent="0.2">
      <c r="A19" s="7" t="s">
        <v>30</v>
      </c>
      <c r="B19" s="14" t="s">
        <v>26</v>
      </c>
      <c r="C19" s="14" t="s">
        <v>26</v>
      </c>
      <c r="D19" s="14" t="s">
        <v>26</v>
      </c>
      <c r="E19" s="14" t="s">
        <v>26</v>
      </c>
      <c r="F19" s="14" t="s">
        <v>26</v>
      </c>
      <c r="G19" s="19">
        <v>0.42</v>
      </c>
      <c r="H19" s="19">
        <v>5.49</v>
      </c>
      <c r="I19" s="19">
        <v>6.75</v>
      </c>
    </row>
    <row r="20" spans="1:9" ht="12" customHeight="1" x14ac:dyDescent="0.2">
      <c r="A20" s="7" t="s">
        <v>31</v>
      </c>
      <c r="B20" s="14" t="s">
        <v>26</v>
      </c>
      <c r="C20" s="14" t="s">
        <v>26</v>
      </c>
      <c r="D20" s="14" t="s">
        <v>26</v>
      </c>
      <c r="E20" s="14" t="s">
        <v>26</v>
      </c>
      <c r="F20" s="14" t="s">
        <v>26</v>
      </c>
      <c r="G20" s="19">
        <v>0.82</v>
      </c>
      <c r="H20" s="19">
        <v>3.19</v>
      </c>
      <c r="I20" s="19">
        <v>5.97</v>
      </c>
    </row>
    <row r="21" spans="1:9" ht="12" customHeight="1" x14ac:dyDescent="0.2">
      <c r="A21" s="7" t="s">
        <v>32</v>
      </c>
      <c r="B21" s="14" t="s">
        <v>26</v>
      </c>
      <c r="C21" s="14" t="s">
        <v>26</v>
      </c>
      <c r="D21" s="14" t="s">
        <v>26</v>
      </c>
      <c r="E21" s="14" t="s">
        <v>26</v>
      </c>
      <c r="F21" s="14" t="s">
        <v>26</v>
      </c>
      <c r="G21" s="19">
        <v>0.73</v>
      </c>
      <c r="H21" s="19">
        <v>3.6</v>
      </c>
      <c r="I21" s="19">
        <v>6.64</v>
      </c>
    </row>
    <row r="22" spans="1:9" ht="12" customHeight="1" x14ac:dyDescent="0.2">
      <c r="A22" s="7" t="s">
        <v>33</v>
      </c>
      <c r="B22" s="14" t="s">
        <v>26</v>
      </c>
      <c r="C22" s="14" t="s">
        <v>26</v>
      </c>
      <c r="D22" s="14" t="s">
        <v>26</v>
      </c>
      <c r="E22" s="14" t="s">
        <v>26</v>
      </c>
      <c r="F22" s="14" t="s">
        <v>26</v>
      </c>
      <c r="G22" s="19">
        <v>2.8</v>
      </c>
      <c r="H22" s="19">
        <v>5.48</v>
      </c>
      <c r="I22" s="19">
        <v>11.13</v>
      </c>
    </row>
    <row r="23" spans="1:9" ht="12" customHeight="1" x14ac:dyDescent="0.2">
      <c r="A23" s="7" t="s">
        <v>34</v>
      </c>
      <c r="B23" s="14" t="s">
        <v>26</v>
      </c>
      <c r="C23" s="14" t="s">
        <v>26</v>
      </c>
      <c r="D23" s="14" t="s">
        <v>26</v>
      </c>
      <c r="E23" s="14" t="s">
        <v>26</v>
      </c>
      <c r="F23" s="14" t="s">
        <v>26</v>
      </c>
      <c r="G23" s="19">
        <v>0.53</v>
      </c>
      <c r="H23" s="19">
        <v>2.67</v>
      </c>
      <c r="I23" s="19">
        <v>5.18</v>
      </c>
    </row>
    <row r="24" spans="1:9" ht="12" customHeight="1" x14ac:dyDescent="0.2">
      <c r="A24" s="7" t="s">
        <v>35</v>
      </c>
      <c r="B24" s="14" t="s">
        <v>26</v>
      </c>
      <c r="C24" s="14" t="s">
        <v>26</v>
      </c>
      <c r="D24" s="14" t="s">
        <v>26</v>
      </c>
      <c r="E24" s="14" t="s">
        <v>26</v>
      </c>
      <c r="F24" s="14" t="s">
        <v>26</v>
      </c>
      <c r="G24" s="19">
        <v>4.67</v>
      </c>
      <c r="H24" s="14" t="s">
        <v>26</v>
      </c>
      <c r="I24" s="14" t="s">
        <v>26</v>
      </c>
    </row>
    <row r="25" spans="1:9" x14ac:dyDescent="0.2">
      <c r="A25" s="7" t="s">
        <v>36</v>
      </c>
      <c r="B25" s="14" t="s">
        <v>26</v>
      </c>
      <c r="C25" s="14" t="s">
        <v>26</v>
      </c>
      <c r="D25" s="14" t="s">
        <v>26</v>
      </c>
      <c r="E25" s="14" t="s">
        <v>26</v>
      </c>
      <c r="F25" s="14" t="s">
        <v>26</v>
      </c>
      <c r="G25" s="19">
        <v>1.61</v>
      </c>
      <c r="H25" s="19">
        <v>5.97</v>
      </c>
      <c r="I25" s="19">
        <v>11.62</v>
      </c>
    </row>
    <row r="26" spans="1:9" x14ac:dyDescent="0.2">
      <c r="A26" s="8"/>
      <c r="B26" s="8"/>
      <c r="C26" s="8"/>
      <c r="D26" s="8"/>
      <c r="E26" s="8"/>
      <c r="F26" s="8"/>
      <c r="G26" s="8"/>
      <c r="H26" s="8"/>
      <c r="I26" s="8"/>
    </row>
    <row r="27" spans="1:9" ht="12" customHeight="1" x14ac:dyDescent="0.2">
      <c r="A27" s="7" t="s">
        <v>37</v>
      </c>
      <c r="B27" s="11" t="s">
        <v>50</v>
      </c>
      <c r="C27" s="11" t="s">
        <v>51</v>
      </c>
      <c r="D27" s="11" t="s">
        <v>52</v>
      </c>
      <c r="E27" s="11" t="s">
        <v>53</v>
      </c>
      <c r="F27" s="11" t="s">
        <v>54</v>
      </c>
      <c r="G27" s="11" t="s">
        <v>55</v>
      </c>
      <c r="H27" s="11" t="s">
        <v>56</v>
      </c>
      <c r="I27" s="11" t="s">
        <v>57</v>
      </c>
    </row>
    <row r="28" spans="1:9" x14ac:dyDescent="0.2">
      <c r="A28" s="7" t="s">
        <v>38</v>
      </c>
      <c r="B28" s="14" t="s">
        <v>26</v>
      </c>
      <c r="C28" s="14" t="s">
        <v>26</v>
      </c>
      <c r="D28" s="14" t="s">
        <v>26</v>
      </c>
      <c r="E28" s="14" t="s">
        <v>26</v>
      </c>
      <c r="F28" s="14" t="s">
        <v>26</v>
      </c>
      <c r="G28" s="19">
        <v>4.67</v>
      </c>
      <c r="H28" s="19">
        <v>6.08</v>
      </c>
      <c r="I28" s="19">
        <v>11.59</v>
      </c>
    </row>
    <row r="29" spans="1:9" x14ac:dyDescent="0.2">
      <c r="A29" s="7" t="s">
        <v>39</v>
      </c>
      <c r="B29" s="14" t="s">
        <v>26</v>
      </c>
      <c r="C29" s="14" t="s">
        <v>26</v>
      </c>
      <c r="D29" s="14" t="s">
        <v>26</v>
      </c>
      <c r="E29" s="14" t="s">
        <v>26</v>
      </c>
      <c r="F29" s="14" t="s">
        <v>26</v>
      </c>
      <c r="G29" s="19">
        <v>0.34</v>
      </c>
      <c r="H29" s="19">
        <v>2.67</v>
      </c>
      <c r="I29" s="19">
        <v>5.18</v>
      </c>
    </row>
    <row r="30" spans="1:9" x14ac:dyDescent="0.2">
      <c r="A30" s="7" t="s">
        <v>40</v>
      </c>
      <c r="B30" s="14" t="s">
        <v>26</v>
      </c>
      <c r="C30" s="14" t="s">
        <v>26</v>
      </c>
      <c r="D30" s="14" t="s">
        <v>26</v>
      </c>
      <c r="E30" s="14" t="s">
        <v>26</v>
      </c>
      <c r="F30" s="14" t="s">
        <v>26</v>
      </c>
      <c r="G30" s="19">
        <v>1.28</v>
      </c>
      <c r="H30" s="19">
        <v>4.25</v>
      </c>
      <c r="I30" s="19">
        <v>7.23</v>
      </c>
    </row>
    <row r="31" spans="1:9" x14ac:dyDescent="0.2">
      <c r="A31" s="7" t="s">
        <v>41</v>
      </c>
      <c r="B31" s="14" t="s">
        <v>26</v>
      </c>
      <c r="C31" s="14" t="s">
        <v>26</v>
      </c>
      <c r="D31" s="14" t="s">
        <v>26</v>
      </c>
      <c r="E31" s="14" t="s">
        <v>26</v>
      </c>
      <c r="F31" s="14" t="s">
        <v>26</v>
      </c>
      <c r="G31" s="19">
        <v>0.68</v>
      </c>
      <c r="H31" s="19">
        <v>4.07</v>
      </c>
      <c r="I31" s="19">
        <v>6.23</v>
      </c>
    </row>
    <row r="32" spans="1:9" x14ac:dyDescent="0.2">
      <c r="A32" s="10"/>
      <c r="B32" s="10"/>
      <c r="C32" s="10"/>
      <c r="D32" s="10"/>
      <c r="E32" s="10"/>
      <c r="F32" s="10"/>
      <c r="G32" s="10"/>
      <c r="H32" s="10"/>
      <c r="I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29980-6EBF-4232-ABC7-B24501ED7317}">
  <sheetPr codeName="Sheet5">
    <outlinePr summaryBelow="0" summaryRight="0"/>
  </sheetPr>
  <dimension ref="A4:IU50"/>
  <sheetViews>
    <sheetView defaultGridColor="0" colorId="0" workbookViewId="0"/>
  </sheetViews>
  <sheetFormatPr defaultRowHeight="10.199999999999999" x14ac:dyDescent="0.2"/>
  <cols>
    <col min="1" max="1" width="47.88671875" customWidth="1"/>
    <col min="2" max="13" width="20.88671875" customWidth="1"/>
  </cols>
  <sheetData>
    <row r="4" spans="1:255" ht="16.2" x14ac:dyDescent="0.25">
      <c r="A4" s="1" t="s">
        <v>58</v>
      </c>
    </row>
    <row r="7" spans="1:255" x14ac:dyDescent="0.2">
      <c r="A7" s="2" t="s">
        <v>1</v>
      </c>
      <c r="B7" s="2"/>
      <c r="C7" s="2"/>
      <c r="D7" s="2"/>
      <c r="E7" s="2"/>
      <c r="F7" s="2"/>
      <c r="G7" s="2"/>
      <c r="H7" s="2"/>
      <c r="I7" s="2"/>
      <c r="J7" s="2"/>
      <c r="K7" s="2"/>
      <c r="L7" s="2"/>
      <c r="M7" s="2"/>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59</v>
      </c>
      <c r="B8" s="4" t="s">
        <v>3</v>
      </c>
    </row>
    <row r="9" spans="1:255" x14ac:dyDescent="0.2">
      <c r="A9" s="3" t="s">
        <v>60</v>
      </c>
      <c r="B9" s="4" t="s">
        <v>5</v>
      </c>
    </row>
    <row r="10" spans="1:255" x14ac:dyDescent="0.2">
      <c r="A10" s="3" t="s">
        <v>61</v>
      </c>
      <c r="B10" s="5">
        <v>45043</v>
      </c>
    </row>
    <row r="11" spans="1:255" x14ac:dyDescent="0.2">
      <c r="A11" s="6"/>
    </row>
    <row r="13" spans="1:255" x14ac:dyDescent="0.2">
      <c r="A13" s="2" t="s">
        <v>7</v>
      </c>
      <c r="B13" s="2"/>
      <c r="C13" s="2"/>
      <c r="D13" s="2"/>
      <c r="E13" s="2"/>
      <c r="F13" s="2"/>
      <c r="G13" s="2"/>
      <c r="H13" s="2"/>
      <c r="I13" s="2"/>
      <c r="J13" s="2"/>
      <c r="K13" s="2"/>
      <c r="L13" s="2"/>
      <c r="M13" s="2"/>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62</v>
      </c>
      <c r="C14" s="11" t="s">
        <v>63</v>
      </c>
      <c r="D14" s="11" t="s">
        <v>64</v>
      </c>
      <c r="E14" s="11" t="s">
        <v>65</v>
      </c>
      <c r="F14" s="11" t="s">
        <v>66</v>
      </c>
      <c r="G14" s="11" t="s">
        <v>67</v>
      </c>
      <c r="H14" s="11" t="s">
        <v>68</v>
      </c>
      <c r="I14" s="11" t="s">
        <v>69</v>
      </c>
      <c r="J14" s="11" t="s">
        <v>70</v>
      </c>
      <c r="K14" s="11" t="s">
        <v>71</v>
      </c>
      <c r="L14" s="11" t="s">
        <v>72</v>
      </c>
      <c r="M14" s="11" t="s">
        <v>73</v>
      </c>
    </row>
    <row r="15" spans="1:255" ht="12" customHeight="1" x14ac:dyDescent="0.2">
      <c r="A15" s="7" t="s">
        <v>25</v>
      </c>
      <c r="B15" s="20">
        <v>0.33200000000000002</v>
      </c>
      <c r="C15" s="20">
        <v>0.22700000000000001</v>
      </c>
      <c r="D15" s="20">
        <v>0.17799999999999999</v>
      </c>
      <c r="E15" s="21">
        <v>0.1386</v>
      </c>
      <c r="F15" s="21">
        <v>0.44169999999999998</v>
      </c>
      <c r="G15" s="21">
        <v>0.97299999999999998</v>
      </c>
      <c r="H15" s="21">
        <v>1.6732</v>
      </c>
      <c r="I15" s="21">
        <v>1.4193</v>
      </c>
      <c r="J15" s="21">
        <v>0.18809999999999999</v>
      </c>
      <c r="K15" s="22">
        <v>0.5</v>
      </c>
      <c r="L15" s="21">
        <v>-0.11</v>
      </c>
      <c r="M15" s="12">
        <v>1.07</v>
      </c>
    </row>
    <row r="16" spans="1:255" ht="12" customHeight="1" x14ac:dyDescent="0.2">
      <c r="A16" s="7" t="s">
        <v>27</v>
      </c>
      <c r="B16" s="20">
        <v>0.29299999999999998</v>
      </c>
      <c r="C16" s="20">
        <v>0.22600000000000001</v>
      </c>
      <c r="D16" s="20">
        <v>0.17699999999999999</v>
      </c>
      <c r="E16" s="21">
        <v>-1.04E-2</v>
      </c>
      <c r="F16" s="21">
        <v>0.52910000000000001</v>
      </c>
      <c r="G16" s="21">
        <v>1.3056000000000001</v>
      </c>
      <c r="H16" s="21">
        <v>2.2696999999999998</v>
      </c>
      <c r="I16" s="14" t="s">
        <v>26</v>
      </c>
      <c r="J16" s="21">
        <v>0.4007</v>
      </c>
      <c r="K16" s="22">
        <v>1</v>
      </c>
      <c r="L16" s="21">
        <v>-3.5799999999999998E-2</v>
      </c>
      <c r="M16" s="12">
        <v>0.59</v>
      </c>
    </row>
    <row r="17" spans="1:13" ht="12" customHeight="1" x14ac:dyDescent="0.2">
      <c r="A17" s="7" t="s">
        <v>28</v>
      </c>
      <c r="B17" s="20">
        <v>0.14899999999999999</v>
      </c>
      <c r="C17" s="20">
        <v>0.129</v>
      </c>
      <c r="D17" s="20">
        <v>0.111</v>
      </c>
      <c r="E17" s="21">
        <v>8.14E-2</v>
      </c>
      <c r="F17" s="21">
        <v>0.47970000000000002</v>
      </c>
      <c r="G17" s="21">
        <v>2.2250000000000001</v>
      </c>
      <c r="H17" s="21">
        <v>4.2568999999999999</v>
      </c>
      <c r="I17" s="21">
        <v>0.49070000000000003</v>
      </c>
      <c r="J17" s="21">
        <v>0.443</v>
      </c>
      <c r="K17" s="22">
        <v>1.1000000000000001</v>
      </c>
      <c r="L17" s="21">
        <v>-0.25</v>
      </c>
      <c r="M17" s="12">
        <v>1.63</v>
      </c>
    </row>
    <row r="18" spans="1:13" ht="12" customHeight="1" x14ac:dyDescent="0.2">
      <c r="A18" s="7" t="s">
        <v>29</v>
      </c>
      <c r="B18" s="20">
        <v>0.13</v>
      </c>
      <c r="C18" s="20">
        <v>0.124</v>
      </c>
      <c r="D18" s="20">
        <v>0.109</v>
      </c>
      <c r="E18" s="21">
        <v>8.1000000000000003E-2</v>
      </c>
      <c r="F18" s="21">
        <v>0.3412</v>
      </c>
      <c r="G18" s="21">
        <v>2.1368999999999998</v>
      </c>
      <c r="H18" s="21">
        <v>3.3088000000000002</v>
      </c>
      <c r="I18" s="21">
        <v>4.3918999999999997</v>
      </c>
      <c r="J18" s="21">
        <v>0.33310000000000001</v>
      </c>
      <c r="K18" s="22">
        <v>0.6</v>
      </c>
      <c r="L18" s="21">
        <v>-0.23</v>
      </c>
      <c r="M18" s="12">
        <v>1.66</v>
      </c>
    </row>
    <row r="19" spans="1:13" ht="12" customHeight="1" x14ac:dyDescent="0.2">
      <c r="A19" s="7" t="s">
        <v>30</v>
      </c>
      <c r="B19" s="20">
        <v>0.11799999999999999</v>
      </c>
      <c r="C19" s="20">
        <v>6.7000000000000004E-2</v>
      </c>
      <c r="D19" s="20">
        <v>5.7000000000000002E-2</v>
      </c>
      <c r="E19" s="21">
        <v>6.4899999999999999E-2</v>
      </c>
      <c r="F19" s="21">
        <v>0.52490000000000003</v>
      </c>
      <c r="G19" s="21">
        <v>4.4272999999999998</v>
      </c>
      <c r="H19" s="21">
        <v>19.242699999999999</v>
      </c>
      <c r="I19" s="21">
        <v>7.3704999999999998</v>
      </c>
      <c r="J19" s="21">
        <v>0.34820000000000001</v>
      </c>
      <c r="K19" s="22">
        <v>1.5</v>
      </c>
      <c r="L19" s="21">
        <v>0.14000000000000001</v>
      </c>
      <c r="M19" s="12">
        <v>1.38</v>
      </c>
    </row>
    <row r="20" spans="1:13" ht="12" customHeight="1" x14ac:dyDescent="0.2">
      <c r="A20" s="7" t="s">
        <v>31</v>
      </c>
      <c r="B20" s="20">
        <v>0.34100000000000003</v>
      </c>
      <c r="C20" s="20">
        <v>0.22500000000000001</v>
      </c>
      <c r="D20" s="20">
        <v>0.18</v>
      </c>
      <c r="E20" s="21">
        <v>8.2100000000000006E-2</v>
      </c>
      <c r="F20" s="21">
        <v>0.22689999999999999</v>
      </c>
      <c r="G20" s="21">
        <v>0.25280000000000002</v>
      </c>
      <c r="H20" s="21">
        <v>0.41789999999999999</v>
      </c>
      <c r="I20" s="21">
        <v>0.19889999999999999</v>
      </c>
      <c r="J20" s="21">
        <v>0.3392</v>
      </c>
      <c r="K20" s="22">
        <v>1</v>
      </c>
      <c r="L20" s="21">
        <v>-0.1144</v>
      </c>
      <c r="M20" s="12">
        <v>0.92</v>
      </c>
    </row>
    <row r="21" spans="1:13" ht="12" customHeight="1" x14ac:dyDescent="0.2">
      <c r="A21" s="7" t="s">
        <v>32</v>
      </c>
      <c r="B21" s="20">
        <v>0.255</v>
      </c>
      <c r="C21" s="20">
        <v>0.20599999999999999</v>
      </c>
      <c r="D21" s="20">
        <v>0.16900000000000001</v>
      </c>
      <c r="E21" s="21">
        <v>0.111</v>
      </c>
      <c r="F21" s="21">
        <v>0.4582</v>
      </c>
      <c r="G21" s="21">
        <v>0.71799999999999997</v>
      </c>
      <c r="H21" s="21">
        <v>1.5953999999999999</v>
      </c>
      <c r="I21" s="21">
        <v>1.1048</v>
      </c>
      <c r="J21" s="21">
        <v>0.30320000000000003</v>
      </c>
      <c r="K21" s="22">
        <v>1</v>
      </c>
      <c r="L21" s="21">
        <v>3.9300000000000002E-2</v>
      </c>
      <c r="M21" s="12">
        <v>0.62</v>
      </c>
    </row>
    <row r="22" spans="1:13" ht="12" customHeight="1" x14ac:dyDescent="0.2">
      <c r="A22" s="7" t="s">
        <v>33</v>
      </c>
      <c r="B22" s="20">
        <v>0.67100000000000004</v>
      </c>
      <c r="C22" s="20">
        <v>0.56200000000000006</v>
      </c>
      <c r="D22" s="20">
        <v>0.373</v>
      </c>
      <c r="E22" s="21">
        <v>0.36320000000000002</v>
      </c>
      <c r="F22" s="21">
        <v>0.41139999999999999</v>
      </c>
      <c r="G22" s="21">
        <v>0.57040000000000002</v>
      </c>
      <c r="H22" s="21">
        <v>2.1335000000000002</v>
      </c>
      <c r="I22" s="21">
        <v>4.7294999999999998</v>
      </c>
      <c r="J22" s="21">
        <v>0.40839999999999999</v>
      </c>
      <c r="K22" s="22">
        <v>1</v>
      </c>
      <c r="L22" s="21">
        <v>-0.19</v>
      </c>
      <c r="M22" s="12">
        <v>1.81</v>
      </c>
    </row>
    <row r="23" spans="1:13" ht="12" customHeight="1" x14ac:dyDescent="0.2">
      <c r="A23" s="7" t="s">
        <v>34</v>
      </c>
      <c r="B23" s="20">
        <v>0.23899999999999999</v>
      </c>
      <c r="C23" s="20">
        <v>0.192</v>
      </c>
      <c r="D23" s="20">
        <v>0.13700000000000001</v>
      </c>
      <c r="E23" s="21">
        <v>0.10390000000000001</v>
      </c>
      <c r="F23" s="21">
        <v>0.72070000000000001</v>
      </c>
      <c r="G23" s="21">
        <v>0.37359999999999999</v>
      </c>
      <c r="H23" s="21">
        <v>0.35799999999999998</v>
      </c>
      <c r="I23" s="21">
        <v>1.3856999999999999</v>
      </c>
      <c r="J23" s="21">
        <v>0.3659</v>
      </c>
      <c r="K23" s="22">
        <v>1.2</v>
      </c>
      <c r="L23" s="21">
        <v>-0.14860000000000001</v>
      </c>
      <c r="M23" s="12">
        <v>1.1599999999999999</v>
      </c>
    </row>
    <row r="24" spans="1:13" ht="12" customHeight="1" x14ac:dyDescent="0.2">
      <c r="A24" s="7" t="s">
        <v>35</v>
      </c>
      <c r="B24" s="20">
        <v>0.71299999999999997</v>
      </c>
      <c r="C24" s="20">
        <v>0.50700000000000001</v>
      </c>
      <c r="D24" s="20">
        <v>0.34100000000000003</v>
      </c>
      <c r="E24" s="21">
        <v>0.17879999999999999</v>
      </c>
      <c r="F24" s="21">
        <v>0.47260000000000002</v>
      </c>
      <c r="G24" s="21">
        <v>0.5696</v>
      </c>
      <c r="H24" s="21">
        <v>0.78390000000000004</v>
      </c>
      <c r="I24" s="21">
        <v>1.7969999999999999</v>
      </c>
      <c r="J24" s="21">
        <v>0.51390000000000002</v>
      </c>
      <c r="K24" s="22">
        <v>1.5</v>
      </c>
      <c r="L24" s="21">
        <v>7.0000000000000007E-2</v>
      </c>
      <c r="M24" s="12">
        <v>1.58</v>
      </c>
    </row>
    <row r="25" spans="1:13" x14ac:dyDescent="0.2">
      <c r="A25" s="7" t="s">
        <v>36</v>
      </c>
      <c r="B25" s="20">
        <v>0.40500000000000003</v>
      </c>
      <c r="C25" s="20">
        <v>0.26500000000000001</v>
      </c>
      <c r="D25" s="20">
        <v>0.20100000000000001</v>
      </c>
      <c r="E25" s="21">
        <v>0.1452</v>
      </c>
      <c r="F25" s="21">
        <v>0.51490000000000002</v>
      </c>
      <c r="G25" s="21">
        <v>0.65490000000000004</v>
      </c>
      <c r="H25" s="21">
        <v>1.2866</v>
      </c>
      <c r="I25" s="21">
        <v>1.2698</v>
      </c>
      <c r="J25" s="21">
        <v>0.1459</v>
      </c>
      <c r="K25" s="22">
        <v>0.4</v>
      </c>
      <c r="L25" s="21">
        <v>8.7599999999999997E-2</v>
      </c>
      <c r="M25" s="12">
        <v>1.1599999999999999</v>
      </c>
    </row>
    <row r="26" spans="1:13" x14ac:dyDescent="0.2">
      <c r="A26" s="8"/>
      <c r="B26" s="8"/>
      <c r="C26" s="8"/>
      <c r="D26" s="8"/>
      <c r="E26" s="8"/>
      <c r="F26" s="8"/>
      <c r="G26" s="8"/>
      <c r="H26" s="8"/>
      <c r="I26" s="8"/>
      <c r="J26" s="8"/>
      <c r="K26" s="8"/>
      <c r="L26" s="8"/>
      <c r="M26" s="8"/>
    </row>
    <row r="27" spans="1:13" ht="12" customHeight="1" x14ac:dyDescent="0.2">
      <c r="A27" s="7" t="s">
        <v>37</v>
      </c>
      <c r="B27" s="11" t="s">
        <v>62</v>
      </c>
      <c r="C27" s="11" t="s">
        <v>63</v>
      </c>
      <c r="D27" s="11" t="s">
        <v>64</v>
      </c>
      <c r="E27" s="11" t="s">
        <v>65</v>
      </c>
      <c r="F27" s="11" t="s">
        <v>66</v>
      </c>
      <c r="G27" s="11" t="s">
        <v>67</v>
      </c>
      <c r="H27" s="11" t="s">
        <v>68</v>
      </c>
      <c r="I27" s="11" t="s">
        <v>69</v>
      </c>
      <c r="J27" s="11" t="s">
        <v>70</v>
      </c>
      <c r="K27" s="11" t="s">
        <v>71</v>
      </c>
      <c r="L27" s="11" t="s">
        <v>72</v>
      </c>
      <c r="M27" s="11" t="s">
        <v>73</v>
      </c>
    </row>
    <row r="28" spans="1:13" x14ac:dyDescent="0.2">
      <c r="A28" s="7" t="s">
        <v>38</v>
      </c>
      <c r="B28" s="20">
        <v>0.71299999999999997</v>
      </c>
      <c r="C28" s="20">
        <v>0.56200000000000006</v>
      </c>
      <c r="D28" s="20">
        <v>0.373</v>
      </c>
      <c r="E28" s="21">
        <v>0.36320000000000002</v>
      </c>
      <c r="F28" s="21">
        <v>0.72070000000000001</v>
      </c>
      <c r="G28" s="21">
        <v>4.4272999999999998</v>
      </c>
      <c r="H28" s="21">
        <v>19.242699999999999</v>
      </c>
      <c r="I28" s="21">
        <v>7.3704999999999998</v>
      </c>
      <c r="J28" s="21">
        <v>0.51390000000000002</v>
      </c>
      <c r="K28" s="22">
        <v>1.5</v>
      </c>
      <c r="L28" s="21">
        <v>0.14000000000000001</v>
      </c>
      <c r="M28" s="12">
        <v>1.81</v>
      </c>
    </row>
    <row r="29" spans="1:13" x14ac:dyDescent="0.2">
      <c r="A29" s="7" t="s">
        <v>39</v>
      </c>
      <c r="B29" s="20">
        <v>0.11799999999999999</v>
      </c>
      <c r="C29" s="20">
        <v>6.7000000000000004E-2</v>
      </c>
      <c r="D29" s="20">
        <v>5.7000000000000002E-2</v>
      </c>
      <c r="E29" s="21">
        <v>-1.04E-2</v>
      </c>
      <c r="F29" s="21">
        <v>0.22689999999999999</v>
      </c>
      <c r="G29" s="21">
        <v>0.25280000000000002</v>
      </c>
      <c r="H29" s="21">
        <v>0.35799999999999998</v>
      </c>
      <c r="I29" s="21">
        <v>0.19889999999999999</v>
      </c>
      <c r="J29" s="21">
        <v>0.18809999999999999</v>
      </c>
      <c r="K29" s="22">
        <v>0.5</v>
      </c>
      <c r="L29" s="21">
        <v>-0.25</v>
      </c>
      <c r="M29" s="12">
        <v>0.59</v>
      </c>
    </row>
    <row r="30" spans="1:13" x14ac:dyDescent="0.2">
      <c r="A30" s="7" t="s">
        <v>40</v>
      </c>
      <c r="B30" s="20">
        <v>0.32400000000000001</v>
      </c>
      <c r="C30" s="20">
        <v>0.246</v>
      </c>
      <c r="D30" s="20">
        <v>0.183</v>
      </c>
      <c r="E30" s="21">
        <v>0.11940000000000001</v>
      </c>
      <c r="F30" s="21">
        <v>0.46060000000000001</v>
      </c>
      <c r="G30" s="21">
        <v>1.3552</v>
      </c>
      <c r="H30" s="21">
        <v>3.6040000000000001</v>
      </c>
      <c r="I30" s="21">
        <v>2.5430999999999999</v>
      </c>
      <c r="J30" s="21">
        <v>0.3644</v>
      </c>
      <c r="K30" s="22">
        <v>1.1000000000000001</v>
      </c>
      <c r="L30" s="21">
        <v>-8.3000000000000004E-2</v>
      </c>
      <c r="M30" s="12">
        <v>1.24</v>
      </c>
    </row>
    <row r="31" spans="1:13" x14ac:dyDescent="0.2">
      <c r="A31" s="7" t="s">
        <v>41</v>
      </c>
      <c r="B31" s="20">
        <v>0.27400000000000002</v>
      </c>
      <c r="C31" s="20">
        <v>0.215</v>
      </c>
      <c r="D31" s="20">
        <v>0.17299999999999999</v>
      </c>
      <c r="E31" s="21">
        <v>9.2999999999999999E-2</v>
      </c>
      <c r="F31" s="21">
        <v>0.46539999999999998</v>
      </c>
      <c r="G31" s="21">
        <v>0.84550000000000003</v>
      </c>
      <c r="H31" s="21">
        <v>1.9033</v>
      </c>
      <c r="I31" s="21">
        <v>1.4193</v>
      </c>
      <c r="J31" s="21">
        <v>0.35699999999999998</v>
      </c>
      <c r="K31" s="22">
        <v>1</v>
      </c>
      <c r="L31" s="21">
        <v>-0.11219999999999999</v>
      </c>
      <c r="M31" s="12">
        <v>1.27</v>
      </c>
    </row>
    <row r="32" spans="1:13" x14ac:dyDescent="0.2">
      <c r="A32" s="10"/>
      <c r="B32" s="10"/>
      <c r="C32" s="10"/>
      <c r="D32" s="10"/>
      <c r="E32" s="10"/>
      <c r="F32" s="10"/>
      <c r="G32" s="10"/>
      <c r="H32" s="10"/>
      <c r="I32" s="10"/>
      <c r="J32" s="10"/>
      <c r="K32" s="10"/>
      <c r="L32" s="10"/>
      <c r="M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BA2A24-EB54-4C2A-82AF-1C38CDE679E3}">
  <sheetPr codeName="Sheet6">
    <outlinePr summaryBelow="0" summaryRight="0"/>
  </sheetPr>
  <dimension ref="A4:IU44"/>
  <sheetViews>
    <sheetView defaultGridColor="0" colorId="0" workbookViewId="0"/>
  </sheetViews>
  <sheetFormatPr defaultRowHeight="10.199999999999999" x14ac:dyDescent="0.2"/>
  <cols>
    <col min="1" max="1" width="47.88671875" customWidth="1"/>
    <col min="2" max="3" width="25.88671875" customWidth="1"/>
    <col min="4" max="9" width="9.33203125"/>
  </cols>
  <sheetData>
    <row r="4" spans="1:255" ht="16.2" x14ac:dyDescent="0.25">
      <c r="A4" s="1" t="s">
        <v>74</v>
      </c>
    </row>
    <row r="7" spans="1:255" x14ac:dyDescent="0.2">
      <c r="A7" s="2" t="s">
        <v>1</v>
      </c>
      <c r="B7" s="2"/>
      <c r="C7" s="2"/>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75</v>
      </c>
      <c r="B8" s="4" t="s">
        <v>3</v>
      </c>
    </row>
    <row r="9" spans="1:255" x14ac:dyDescent="0.2">
      <c r="A9" s="3" t="s">
        <v>76</v>
      </c>
      <c r="B9" s="4" t="s">
        <v>5</v>
      </c>
    </row>
    <row r="10" spans="1:255" x14ac:dyDescent="0.2">
      <c r="A10" s="3" t="s">
        <v>77</v>
      </c>
      <c r="B10" s="5">
        <v>45043</v>
      </c>
    </row>
    <row r="11" spans="1:255" x14ac:dyDescent="0.2">
      <c r="A11" s="6"/>
    </row>
    <row r="13" spans="1:255" x14ac:dyDescent="0.2">
      <c r="A13" s="2" t="s">
        <v>7</v>
      </c>
      <c r="B13" s="2"/>
      <c r="C13" s="2"/>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7" t="s">
        <v>8</v>
      </c>
      <c r="B14" s="7" t="s">
        <v>78</v>
      </c>
      <c r="C14" s="7" t="s">
        <v>79</v>
      </c>
    </row>
    <row r="15" spans="1:255" ht="12" customHeight="1" x14ac:dyDescent="0.2">
      <c r="A15" s="7" t="s">
        <v>25</v>
      </c>
      <c r="B15" s="23" t="s">
        <v>80</v>
      </c>
      <c r="C15" s="23" t="s">
        <v>81</v>
      </c>
    </row>
    <row r="16" spans="1:255" ht="12" customHeight="1" x14ac:dyDescent="0.2">
      <c r="A16" s="7" t="s">
        <v>27</v>
      </c>
      <c r="B16" s="23" t="s">
        <v>82</v>
      </c>
      <c r="C16" s="23" t="s">
        <v>83</v>
      </c>
    </row>
    <row r="17" spans="1:3" ht="12" customHeight="1" x14ac:dyDescent="0.2">
      <c r="A17" s="7" t="s">
        <v>28</v>
      </c>
      <c r="B17" s="23" t="s">
        <v>84</v>
      </c>
      <c r="C17" s="23" t="s">
        <v>85</v>
      </c>
    </row>
    <row r="18" spans="1:3" ht="12" customHeight="1" x14ac:dyDescent="0.2">
      <c r="A18" s="7" t="s">
        <v>29</v>
      </c>
      <c r="B18" s="23" t="s">
        <v>86</v>
      </c>
      <c r="C18" s="23" t="s">
        <v>87</v>
      </c>
    </row>
    <row r="19" spans="1:3" ht="12" customHeight="1" x14ac:dyDescent="0.2">
      <c r="A19" s="7" t="s">
        <v>30</v>
      </c>
      <c r="B19" s="23" t="s">
        <v>88</v>
      </c>
      <c r="C19" s="23" t="s">
        <v>89</v>
      </c>
    </row>
    <row r="20" spans="1:3" ht="12" customHeight="1" x14ac:dyDescent="0.2">
      <c r="A20" s="7" t="s">
        <v>31</v>
      </c>
      <c r="B20" s="23" t="s">
        <v>90</v>
      </c>
      <c r="C20" s="23" t="s">
        <v>91</v>
      </c>
    </row>
    <row r="21" spans="1:3" ht="12" customHeight="1" x14ac:dyDescent="0.2">
      <c r="A21" s="7" t="s">
        <v>32</v>
      </c>
      <c r="B21" s="23" t="s">
        <v>92</v>
      </c>
      <c r="C21" s="23" t="s">
        <v>93</v>
      </c>
    </row>
    <row r="22" spans="1:3" ht="12" customHeight="1" x14ac:dyDescent="0.2">
      <c r="A22" s="7" t="s">
        <v>33</v>
      </c>
      <c r="B22" s="23" t="s">
        <v>94</v>
      </c>
      <c r="C22" s="23" t="s">
        <v>95</v>
      </c>
    </row>
    <row r="23" spans="1:3" ht="12" customHeight="1" x14ac:dyDescent="0.2">
      <c r="A23" s="7" t="s">
        <v>34</v>
      </c>
      <c r="B23" s="23" t="s">
        <v>96</v>
      </c>
      <c r="C23" s="23" t="s">
        <v>97</v>
      </c>
    </row>
    <row r="24" spans="1:3" ht="12" customHeight="1" x14ac:dyDescent="0.2">
      <c r="A24" s="7" t="s">
        <v>35</v>
      </c>
      <c r="B24" s="23" t="s">
        <v>98</v>
      </c>
      <c r="C24" s="23" t="s">
        <v>99</v>
      </c>
    </row>
    <row r="25" spans="1:3" x14ac:dyDescent="0.2">
      <c r="A25" s="8"/>
      <c r="B25" s="8"/>
      <c r="C25" s="8"/>
    </row>
    <row r="26" spans="1:3" x14ac:dyDescent="0.2">
      <c r="A26" s="9"/>
      <c r="B26" s="9"/>
      <c r="C26" s="9"/>
    </row>
    <row r="27" spans="1:3" ht="12" customHeight="1" x14ac:dyDescent="0.2">
      <c r="A27" s="7" t="s">
        <v>36</v>
      </c>
      <c r="B27" s="23" t="s">
        <v>100</v>
      </c>
      <c r="C27" s="23" t="s">
        <v>101</v>
      </c>
    </row>
    <row r="28" spans="1:3" x14ac:dyDescent="0.2">
      <c r="A28" s="10"/>
      <c r="B28" s="10"/>
      <c r="C28" s="10"/>
    </row>
    <row r="30" spans="1:3" x14ac:dyDescent="0.2">
      <c r="A30" s="6" t="s">
        <v>42</v>
      </c>
    </row>
    <row r="35" spans="1:1" x14ac:dyDescent="0.2">
      <c r="A35" t="s">
        <v>43</v>
      </c>
    </row>
    <row r="36" spans="1:1" x14ac:dyDescent="0.2">
      <c r="A36" t="s">
        <v>44</v>
      </c>
    </row>
    <row r="44" spans="1:1" ht="25.05" customHeight="1" x14ac:dyDescent="0.2">
      <c r="A44" s="18" t="s">
        <v>45</v>
      </c>
    </row>
  </sheetData>
  <pageMargins left="0.2" right="0.2" top="0.5" bottom="0.5" header="0.5" footer="0.5"/>
  <pageSetup fitToWidth="0" fitToHeight="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C8FFE-7C29-4FFD-905B-AF50AB4979B8}">
  <sheetPr codeName="Sheet7">
    <outlinePr summaryBelow="0" summaryRight="0"/>
  </sheetPr>
  <dimension ref="A4:IU69"/>
  <sheetViews>
    <sheetView defaultGridColor="0" colorId="0" workbookViewId="0"/>
  </sheetViews>
  <sheetFormatPr defaultRowHeight="10.199999999999999" x14ac:dyDescent="0.2"/>
  <cols>
    <col min="1" max="1" width="25.88671875" customWidth="1"/>
    <col min="2" max="3" width="20.88671875" customWidth="1"/>
    <col min="4" max="9" width="25.88671875" customWidth="1"/>
  </cols>
  <sheetData>
    <row r="4" spans="1:255" ht="16.2" x14ac:dyDescent="0.25">
      <c r="A4" s="1" t="s">
        <v>102</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103</v>
      </c>
      <c r="B8" s="4" t="s">
        <v>3</v>
      </c>
    </row>
    <row r="9" spans="1:255" x14ac:dyDescent="0.2">
      <c r="A9" s="3" t="s">
        <v>104</v>
      </c>
      <c r="B9" s="4" t="s">
        <v>5</v>
      </c>
    </row>
    <row r="10" spans="1:255" x14ac:dyDescent="0.2">
      <c r="A10" s="3" t="s">
        <v>105</v>
      </c>
      <c r="B10" s="5">
        <v>45043</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9" t="s">
        <v>8</v>
      </c>
      <c r="B14" s="11" t="s">
        <v>18</v>
      </c>
      <c r="C14" s="11" t="s">
        <v>19</v>
      </c>
      <c r="D14" s="11" t="s">
        <v>20</v>
      </c>
      <c r="E14" s="11" t="s">
        <v>22</v>
      </c>
      <c r="F14" s="11" t="s">
        <v>23</v>
      </c>
      <c r="G14" s="11" t="s">
        <v>106</v>
      </c>
      <c r="H14" s="11" t="s">
        <v>24</v>
      </c>
      <c r="I14" s="11" t="s">
        <v>16</v>
      </c>
    </row>
    <row r="15" spans="1:255" ht="12" customHeight="1" x14ac:dyDescent="0.2">
      <c r="A15" s="7" t="s">
        <v>36</v>
      </c>
      <c r="B15" s="13">
        <v>244302</v>
      </c>
      <c r="C15" s="13">
        <v>64642</v>
      </c>
      <c r="D15" s="13">
        <v>49200</v>
      </c>
      <c r="E15" s="12">
        <v>203141.28</v>
      </c>
      <c r="F15" s="12">
        <v>54690.9</v>
      </c>
      <c r="G15" s="12">
        <v>18.37</v>
      </c>
      <c r="H15" s="12">
        <v>14.37</v>
      </c>
      <c r="I15" s="12">
        <v>80.7</v>
      </c>
    </row>
    <row r="16" spans="1:255" x14ac:dyDescent="0.2">
      <c r="A16" s="8"/>
      <c r="B16" s="8"/>
      <c r="C16" s="8"/>
      <c r="D16" s="8"/>
      <c r="E16" s="8"/>
      <c r="F16" s="8"/>
      <c r="G16" s="8"/>
      <c r="H16" s="8"/>
      <c r="I16" s="8"/>
    </row>
    <row r="17" spans="1:9" x14ac:dyDescent="0.2">
      <c r="A17" s="9"/>
      <c r="B17" s="9" t="s">
        <v>107</v>
      </c>
      <c r="C17" s="9" t="s">
        <v>107</v>
      </c>
      <c r="D17" s="9" t="s">
        <v>107</v>
      </c>
      <c r="E17" s="9" t="s">
        <v>108</v>
      </c>
      <c r="F17" s="9" t="s">
        <v>107</v>
      </c>
      <c r="G17" s="9" t="s">
        <v>107</v>
      </c>
      <c r="H17" s="9" t="s">
        <v>109</v>
      </c>
      <c r="I17" s="9" t="s">
        <v>107</v>
      </c>
    </row>
    <row r="18" spans="1:9" ht="20.399999999999999" x14ac:dyDescent="0.2">
      <c r="A18" s="9"/>
      <c r="B18" s="11" t="s">
        <v>50</v>
      </c>
      <c r="C18" s="11" t="s">
        <v>51</v>
      </c>
      <c r="D18" s="11" t="s">
        <v>52</v>
      </c>
      <c r="E18" s="11" t="s">
        <v>110</v>
      </c>
      <c r="F18" s="11" t="s">
        <v>111</v>
      </c>
      <c r="G18" s="11" t="s">
        <v>53</v>
      </c>
      <c r="H18" s="11" t="s">
        <v>112</v>
      </c>
      <c r="I18" s="11" t="s">
        <v>54</v>
      </c>
    </row>
    <row r="19" spans="1:9" x14ac:dyDescent="0.2">
      <c r="A19" s="9" t="s">
        <v>38</v>
      </c>
      <c r="B19" s="14" t="s">
        <v>113</v>
      </c>
      <c r="C19" s="14" t="s">
        <v>113</v>
      </c>
      <c r="D19" s="14" t="s">
        <v>113</v>
      </c>
      <c r="E19" s="19">
        <v>4.67</v>
      </c>
      <c r="F19" s="19">
        <v>6.08</v>
      </c>
      <c r="G19" s="14" t="s">
        <v>113</v>
      </c>
      <c r="H19" s="19">
        <v>11.59</v>
      </c>
      <c r="I19" s="14" t="s">
        <v>113</v>
      </c>
    </row>
    <row r="20" spans="1:9" x14ac:dyDescent="0.2">
      <c r="A20" s="9" t="s">
        <v>39</v>
      </c>
      <c r="B20" s="14" t="s">
        <v>113</v>
      </c>
      <c r="C20" s="14" t="s">
        <v>113</v>
      </c>
      <c r="D20" s="14" t="s">
        <v>113</v>
      </c>
      <c r="E20" s="19">
        <v>0.34</v>
      </c>
      <c r="F20" s="19">
        <v>2.67</v>
      </c>
      <c r="G20" s="14" t="s">
        <v>113</v>
      </c>
      <c r="H20" s="19">
        <v>5.18</v>
      </c>
      <c r="I20" s="14" t="s">
        <v>113</v>
      </c>
    </row>
    <row r="21" spans="1:9" x14ac:dyDescent="0.2">
      <c r="A21" s="9" t="s">
        <v>40</v>
      </c>
      <c r="B21" s="14" t="s">
        <v>113</v>
      </c>
      <c r="C21" s="14" t="s">
        <v>113</v>
      </c>
      <c r="D21" s="14" t="s">
        <v>113</v>
      </c>
      <c r="E21" s="19">
        <v>1.28</v>
      </c>
      <c r="F21" s="19">
        <v>4.25</v>
      </c>
      <c r="G21" s="14" t="s">
        <v>113</v>
      </c>
      <c r="H21" s="19">
        <v>7.23</v>
      </c>
      <c r="I21" s="14" t="s">
        <v>113</v>
      </c>
    </row>
    <row r="22" spans="1:9" x14ac:dyDescent="0.2">
      <c r="A22" s="9" t="s">
        <v>41</v>
      </c>
      <c r="B22" s="14" t="s">
        <v>113</v>
      </c>
      <c r="C22" s="14" t="s">
        <v>113</v>
      </c>
      <c r="D22" s="14" t="s">
        <v>113</v>
      </c>
      <c r="E22" s="19">
        <v>0.68</v>
      </c>
      <c r="F22" s="19">
        <v>4.07</v>
      </c>
      <c r="G22" s="14" t="s">
        <v>113</v>
      </c>
      <c r="H22" s="19">
        <v>6.23</v>
      </c>
      <c r="I22" s="14" t="s">
        <v>113</v>
      </c>
    </row>
    <row r="23" spans="1:9" x14ac:dyDescent="0.2">
      <c r="A23" s="8"/>
      <c r="B23" s="8"/>
      <c r="C23" s="8"/>
      <c r="D23" s="8"/>
      <c r="E23" s="8"/>
      <c r="F23" s="8"/>
      <c r="G23" s="8"/>
      <c r="H23" s="8"/>
      <c r="I23" s="8"/>
    </row>
    <row r="24" spans="1:9" x14ac:dyDescent="0.2">
      <c r="A24" s="9" t="s">
        <v>114</v>
      </c>
      <c r="B24" s="9"/>
      <c r="C24" s="9"/>
      <c r="D24" s="9"/>
      <c r="E24" s="9"/>
      <c r="F24" s="9"/>
      <c r="G24" s="9"/>
      <c r="H24" s="9"/>
      <c r="I24" s="9"/>
    </row>
    <row r="25" spans="1:9" x14ac:dyDescent="0.2">
      <c r="A25" s="7" t="s">
        <v>38</v>
      </c>
      <c r="B25" s="14" t="s">
        <v>115</v>
      </c>
      <c r="C25" s="14" t="s">
        <v>115</v>
      </c>
      <c r="D25" s="14" t="s">
        <v>115</v>
      </c>
      <c r="E25" s="12">
        <v>948863.67</v>
      </c>
      <c r="F25" s="12">
        <v>332411.99</v>
      </c>
      <c r="G25" s="8"/>
      <c r="H25" s="8"/>
      <c r="I25" s="8"/>
    </row>
    <row r="26" spans="1:9" x14ac:dyDescent="0.2">
      <c r="A26" s="7" t="s">
        <v>39</v>
      </c>
      <c r="B26" s="14" t="s">
        <v>115</v>
      </c>
      <c r="C26" s="14" t="s">
        <v>115</v>
      </c>
      <c r="D26" s="14" t="s">
        <v>115</v>
      </c>
      <c r="E26" s="12">
        <v>68590.41</v>
      </c>
      <c r="F26" s="12">
        <v>146207.79</v>
      </c>
      <c r="G26" s="8"/>
      <c r="H26" s="8"/>
      <c r="I26" s="8"/>
    </row>
    <row r="27" spans="1:9" x14ac:dyDescent="0.2">
      <c r="A27" s="7" t="s">
        <v>40</v>
      </c>
      <c r="B27" s="14" t="s">
        <v>115</v>
      </c>
      <c r="C27" s="14" t="s">
        <v>115</v>
      </c>
      <c r="D27" s="14" t="s">
        <v>115</v>
      </c>
      <c r="E27" s="12">
        <v>259318.93</v>
      </c>
      <c r="F27" s="12">
        <v>232578.72</v>
      </c>
      <c r="G27" s="8"/>
      <c r="H27" s="8"/>
      <c r="I27" s="8"/>
    </row>
    <row r="28" spans="1:9" x14ac:dyDescent="0.2">
      <c r="A28" s="7" t="s">
        <v>41</v>
      </c>
      <c r="B28" s="14" t="s">
        <v>115</v>
      </c>
      <c r="C28" s="14" t="s">
        <v>115</v>
      </c>
      <c r="D28" s="14" t="s">
        <v>115</v>
      </c>
      <c r="E28" s="12">
        <v>137756.21</v>
      </c>
      <c r="F28" s="12">
        <v>222836.68</v>
      </c>
      <c r="G28" s="8"/>
      <c r="H28" s="8"/>
      <c r="I28" s="8"/>
    </row>
    <row r="29" spans="1:9" x14ac:dyDescent="0.2">
      <c r="A29" s="8"/>
      <c r="B29" s="8"/>
      <c r="C29" s="8"/>
      <c r="D29" s="8"/>
      <c r="E29" s="8"/>
      <c r="F29" s="8"/>
      <c r="G29" s="8"/>
      <c r="H29" s="8"/>
      <c r="I29" s="8"/>
    </row>
    <row r="30" spans="1:9" ht="12" customHeight="1" x14ac:dyDescent="0.2">
      <c r="A30" s="9" t="s">
        <v>116</v>
      </c>
      <c r="B30" s="13">
        <v>17901</v>
      </c>
      <c r="C30" s="13">
        <v>17901</v>
      </c>
      <c r="D30" s="13">
        <v>17901</v>
      </c>
      <c r="E30" s="13">
        <v>17901</v>
      </c>
      <c r="F30" s="13">
        <v>17901</v>
      </c>
      <c r="G30" s="8"/>
      <c r="H30" s="8"/>
      <c r="I30" s="8"/>
    </row>
    <row r="31" spans="1:9" ht="12" customHeight="1" x14ac:dyDescent="0.2">
      <c r="A31" s="9" t="s">
        <v>117</v>
      </c>
      <c r="B31" s="13">
        <v>27370</v>
      </c>
      <c r="C31" s="13">
        <v>27370</v>
      </c>
      <c r="D31" s="13">
        <v>27370</v>
      </c>
      <c r="E31" s="13">
        <v>27370</v>
      </c>
      <c r="F31" s="13">
        <v>27370</v>
      </c>
      <c r="G31" s="8"/>
      <c r="H31" s="8"/>
      <c r="I31" s="8"/>
    </row>
    <row r="32" spans="1:9" ht="12" customHeight="1" x14ac:dyDescent="0.2">
      <c r="A32" s="9" t="s">
        <v>118</v>
      </c>
      <c r="B32" s="14" t="s">
        <v>26</v>
      </c>
      <c r="C32" s="14" t="s">
        <v>26</v>
      </c>
      <c r="D32" s="14" t="s">
        <v>26</v>
      </c>
      <c r="E32" s="14" t="s">
        <v>26</v>
      </c>
      <c r="F32" s="14" t="s">
        <v>26</v>
      </c>
      <c r="G32" s="8"/>
      <c r="H32" s="8"/>
      <c r="I32" s="8"/>
    </row>
    <row r="33" spans="1:9" ht="12" customHeight="1" x14ac:dyDescent="0.2">
      <c r="A33" s="9" t="s">
        <v>119</v>
      </c>
      <c r="B33" s="12">
        <v>960</v>
      </c>
      <c r="C33" s="12">
        <v>960</v>
      </c>
      <c r="D33" s="12">
        <v>960</v>
      </c>
      <c r="E33" s="12">
        <v>960</v>
      </c>
      <c r="F33" s="12">
        <v>960</v>
      </c>
      <c r="G33" s="8"/>
      <c r="H33" s="8"/>
      <c r="I33" s="8"/>
    </row>
    <row r="34" spans="1:9" x14ac:dyDescent="0.2">
      <c r="A34" s="8"/>
      <c r="B34" s="8"/>
      <c r="C34" s="8"/>
      <c r="D34" s="8"/>
      <c r="E34" s="8"/>
      <c r="F34" s="8"/>
      <c r="G34" s="8"/>
      <c r="H34" s="8"/>
      <c r="I34" s="8"/>
    </row>
    <row r="35" spans="1:9" x14ac:dyDescent="0.2">
      <c r="A35" s="9" t="s">
        <v>120</v>
      </c>
      <c r="B35" s="9"/>
      <c r="C35" s="9"/>
      <c r="D35" s="9"/>
      <c r="E35" s="9"/>
      <c r="F35" s="9"/>
      <c r="G35" s="9"/>
      <c r="H35" s="9"/>
      <c r="I35" s="9"/>
    </row>
    <row r="36" spans="1:9" x14ac:dyDescent="0.2">
      <c r="A36" s="7" t="s">
        <v>38</v>
      </c>
      <c r="B36" s="14" t="s">
        <v>115</v>
      </c>
      <c r="C36" s="14" t="s">
        <v>115</v>
      </c>
      <c r="D36" s="14" t="s">
        <v>115</v>
      </c>
      <c r="E36" s="12">
        <v>938434.67</v>
      </c>
      <c r="F36" s="12">
        <v>321982.99</v>
      </c>
      <c r="G36" s="14" t="s">
        <v>115</v>
      </c>
      <c r="H36" s="12">
        <v>315556.34999999998</v>
      </c>
      <c r="I36" s="14" t="s">
        <v>115</v>
      </c>
    </row>
    <row r="37" spans="1:9" x14ac:dyDescent="0.2">
      <c r="A37" s="7" t="s">
        <v>39</v>
      </c>
      <c r="B37" s="14" t="s">
        <v>115</v>
      </c>
      <c r="C37" s="14" t="s">
        <v>115</v>
      </c>
      <c r="D37" s="14" t="s">
        <v>115</v>
      </c>
      <c r="E37" s="12">
        <v>58161.41</v>
      </c>
      <c r="F37" s="12">
        <v>135778.79</v>
      </c>
      <c r="G37" s="14" t="s">
        <v>115</v>
      </c>
      <c r="H37" s="12">
        <v>141084.98000000001</v>
      </c>
      <c r="I37" s="14" t="s">
        <v>115</v>
      </c>
    </row>
    <row r="38" spans="1:9" x14ac:dyDescent="0.2">
      <c r="A38" s="7" t="s">
        <v>40</v>
      </c>
      <c r="B38" s="14" t="s">
        <v>115</v>
      </c>
      <c r="C38" s="14" t="s">
        <v>115</v>
      </c>
      <c r="D38" s="14" t="s">
        <v>115</v>
      </c>
      <c r="E38" s="12">
        <v>248889.93</v>
      </c>
      <c r="F38" s="12">
        <v>222149.72</v>
      </c>
      <c r="G38" s="14" t="s">
        <v>115</v>
      </c>
      <c r="H38" s="12">
        <v>196778.54</v>
      </c>
      <c r="I38" s="14" t="s">
        <v>115</v>
      </c>
    </row>
    <row r="39" spans="1:9" x14ac:dyDescent="0.2">
      <c r="A39" s="7" t="s">
        <v>41</v>
      </c>
      <c r="B39" s="14" t="s">
        <v>115</v>
      </c>
      <c r="C39" s="14" t="s">
        <v>115</v>
      </c>
      <c r="D39" s="14" t="s">
        <v>115</v>
      </c>
      <c r="E39" s="12">
        <v>127327.21</v>
      </c>
      <c r="F39" s="12">
        <v>212407.67999999999</v>
      </c>
      <c r="G39" s="14" t="s">
        <v>115</v>
      </c>
      <c r="H39" s="12">
        <v>169590.72</v>
      </c>
      <c r="I39" s="14" t="s">
        <v>115</v>
      </c>
    </row>
    <row r="40" spans="1:9" x14ac:dyDescent="0.2">
      <c r="A40" s="8"/>
      <c r="B40" s="8"/>
      <c r="C40" s="8"/>
      <c r="D40" s="8"/>
      <c r="E40" s="8"/>
      <c r="F40" s="8"/>
      <c r="G40" s="8"/>
      <c r="H40" s="8"/>
      <c r="I40" s="8"/>
    </row>
    <row r="41" spans="1:9" ht="12" customHeight="1" x14ac:dyDescent="0.2">
      <c r="A41" s="9" t="s">
        <v>121</v>
      </c>
      <c r="B41" s="12">
        <v>1894.64</v>
      </c>
      <c r="C41" s="12">
        <v>1894.64</v>
      </c>
      <c r="D41" s="12">
        <v>1894.64</v>
      </c>
      <c r="E41" s="12">
        <v>1894.64</v>
      </c>
      <c r="F41" s="12">
        <v>1894.64</v>
      </c>
      <c r="G41" s="12">
        <v>1894.64</v>
      </c>
      <c r="H41" s="12">
        <v>1894.64</v>
      </c>
      <c r="I41" s="12">
        <v>1894.64</v>
      </c>
    </row>
    <row r="42" spans="1:9" x14ac:dyDescent="0.2">
      <c r="A42" s="8"/>
      <c r="B42" s="8"/>
      <c r="C42" s="8"/>
      <c r="D42" s="8"/>
      <c r="E42" s="8"/>
      <c r="F42" s="8"/>
      <c r="G42" s="8"/>
      <c r="H42" s="8"/>
      <c r="I42" s="8"/>
    </row>
    <row r="43" spans="1:9" x14ac:dyDescent="0.2">
      <c r="A43" s="9" t="s">
        <v>122</v>
      </c>
      <c r="B43" s="9"/>
      <c r="C43" s="9"/>
      <c r="D43" s="9"/>
      <c r="E43" s="9"/>
      <c r="F43" s="9"/>
      <c r="G43" s="9"/>
      <c r="H43" s="9"/>
      <c r="I43" s="9"/>
    </row>
    <row r="44" spans="1:9" x14ac:dyDescent="0.2">
      <c r="A44" s="7" t="s">
        <v>38</v>
      </c>
      <c r="B44" s="14" t="s">
        <v>115</v>
      </c>
      <c r="C44" s="14" t="s">
        <v>115</v>
      </c>
      <c r="D44" s="14" t="s">
        <v>115</v>
      </c>
      <c r="E44" s="12">
        <v>495.31</v>
      </c>
      <c r="F44" s="12">
        <v>169.94</v>
      </c>
      <c r="G44" s="14" t="s">
        <v>115</v>
      </c>
      <c r="H44" s="12">
        <v>166.55</v>
      </c>
      <c r="I44" s="14" t="s">
        <v>115</v>
      </c>
    </row>
    <row r="45" spans="1:9" x14ac:dyDescent="0.2">
      <c r="A45" s="7" t="s">
        <v>39</v>
      </c>
      <c r="B45" s="14" t="s">
        <v>115</v>
      </c>
      <c r="C45" s="14" t="s">
        <v>115</v>
      </c>
      <c r="D45" s="14" t="s">
        <v>115</v>
      </c>
      <c r="E45" s="12">
        <v>30.7</v>
      </c>
      <c r="F45" s="12">
        <v>71.66</v>
      </c>
      <c r="G45" s="14" t="s">
        <v>115</v>
      </c>
      <c r="H45" s="12">
        <v>74.47</v>
      </c>
      <c r="I45" s="14" t="s">
        <v>115</v>
      </c>
    </row>
    <row r="46" spans="1:9" x14ac:dyDescent="0.2">
      <c r="A46" s="7" t="s">
        <v>40</v>
      </c>
      <c r="B46" s="14" t="s">
        <v>115</v>
      </c>
      <c r="C46" s="14" t="s">
        <v>115</v>
      </c>
      <c r="D46" s="14" t="s">
        <v>115</v>
      </c>
      <c r="E46" s="12">
        <v>131.37</v>
      </c>
      <c r="F46" s="12">
        <v>117.25</v>
      </c>
      <c r="G46" s="14" t="s">
        <v>115</v>
      </c>
      <c r="H46" s="12">
        <v>103.86</v>
      </c>
      <c r="I46" s="14" t="s">
        <v>115</v>
      </c>
    </row>
    <row r="47" spans="1:9" x14ac:dyDescent="0.2">
      <c r="A47" s="7" t="s">
        <v>41</v>
      </c>
      <c r="B47" s="14" t="s">
        <v>115</v>
      </c>
      <c r="C47" s="14" t="s">
        <v>115</v>
      </c>
      <c r="D47" s="14" t="s">
        <v>115</v>
      </c>
      <c r="E47" s="12">
        <v>67.2</v>
      </c>
      <c r="F47" s="12">
        <v>112.11</v>
      </c>
      <c r="G47" s="14" t="s">
        <v>115</v>
      </c>
      <c r="H47" s="12">
        <v>89.51</v>
      </c>
      <c r="I47" s="14" t="s">
        <v>115</v>
      </c>
    </row>
    <row r="48" spans="1:9" x14ac:dyDescent="0.2">
      <c r="A48" s="8"/>
      <c r="B48" s="8"/>
      <c r="C48" s="8"/>
      <c r="D48" s="8"/>
      <c r="E48" s="8"/>
      <c r="F48" s="8"/>
      <c r="G48" s="8"/>
      <c r="H48" s="8"/>
      <c r="I48" s="8"/>
    </row>
    <row r="49" spans="1:9" ht="20.399999999999999" x14ac:dyDescent="0.2">
      <c r="A49" s="9" t="s">
        <v>123</v>
      </c>
      <c r="B49" s="11" t="s">
        <v>124</v>
      </c>
      <c r="C49" s="11" t="s">
        <v>125</v>
      </c>
      <c r="D49" s="9"/>
      <c r="E49" s="9"/>
      <c r="F49" s="9"/>
      <c r="G49" s="9"/>
      <c r="H49" s="9"/>
      <c r="I49" s="9"/>
    </row>
    <row r="50" spans="1:9" x14ac:dyDescent="0.2">
      <c r="A50" s="9" t="s">
        <v>38</v>
      </c>
      <c r="B50" s="24">
        <v>525324.67000000004</v>
      </c>
      <c r="C50" s="24">
        <v>277.27</v>
      </c>
      <c r="D50" s="8"/>
      <c r="E50" s="8"/>
      <c r="F50" s="8"/>
      <c r="G50" s="8"/>
      <c r="H50" s="8"/>
      <c r="I50" s="8"/>
    </row>
    <row r="51" spans="1:9" x14ac:dyDescent="0.2">
      <c r="A51" s="9" t="s">
        <v>39</v>
      </c>
      <c r="B51" s="24">
        <v>111675.06</v>
      </c>
      <c r="C51" s="24">
        <v>58.94</v>
      </c>
      <c r="D51" s="8"/>
      <c r="E51" s="8"/>
      <c r="F51" s="8"/>
      <c r="G51" s="8"/>
      <c r="H51" s="8"/>
      <c r="I51" s="8"/>
    </row>
    <row r="52" spans="1:9" x14ac:dyDescent="0.2">
      <c r="A52" s="9" t="s">
        <v>40</v>
      </c>
      <c r="B52" s="24">
        <v>222606.06</v>
      </c>
      <c r="C52" s="24">
        <v>117.49</v>
      </c>
      <c r="D52" s="8"/>
      <c r="E52" s="8"/>
      <c r="F52" s="8"/>
      <c r="G52" s="8"/>
      <c r="H52" s="8"/>
      <c r="I52" s="8"/>
    </row>
    <row r="53" spans="1:9" x14ac:dyDescent="0.2">
      <c r="A53" s="9" t="s">
        <v>41</v>
      </c>
      <c r="B53" s="24">
        <v>169775.21</v>
      </c>
      <c r="C53" s="24">
        <v>89.61</v>
      </c>
      <c r="D53" s="8"/>
      <c r="E53" s="8"/>
      <c r="F53" s="8"/>
      <c r="G53" s="8"/>
      <c r="H53" s="8"/>
      <c r="I53" s="8"/>
    </row>
    <row r="54" spans="1:9" x14ac:dyDescent="0.2">
      <c r="A54" s="10"/>
      <c r="B54" s="10"/>
      <c r="C54" s="10"/>
      <c r="D54" s="10"/>
      <c r="E54" s="10"/>
      <c r="F54" s="10"/>
      <c r="G54" s="10"/>
      <c r="H54" s="10"/>
      <c r="I54" s="10"/>
    </row>
    <row r="55" spans="1:9" x14ac:dyDescent="0.2">
      <c r="A55" s="6"/>
    </row>
    <row r="60" spans="1:9" x14ac:dyDescent="0.2">
      <c r="A60" t="s">
        <v>43</v>
      </c>
    </row>
    <row r="69" spans="1:1" ht="25.05" customHeight="1" x14ac:dyDescent="0.2">
      <c r="A69" s="18" t="s">
        <v>45</v>
      </c>
    </row>
  </sheetData>
  <pageMargins left="0.2" right="0.2" top="0.5" bottom="0.5" header="0.5" footer="0.5"/>
  <pageSetup fitToWidth="0" fitToHeight="0" orientation="landscape" horizontalDpi="300" verticalDpi="30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4AA6C-6853-4C9D-AA3F-D6B3DAE069FA}">
  <sheetPr codeName="Sheet8">
    <outlinePr summaryBelow="0" summaryRight="0"/>
  </sheetPr>
  <dimension ref="A4:IU32"/>
  <sheetViews>
    <sheetView defaultGridColor="0" colorId="0" workbookViewId="0"/>
  </sheetViews>
  <sheetFormatPr defaultRowHeight="10.199999999999999" x14ac:dyDescent="0.2"/>
  <cols>
    <col min="1" max="1" width="25.88671875" customWidth="1"/>
    <col min="2" max="2" width="75.88671875" customWidth="1"/>
    <col min="3" max="8" width="9.33203125"/>
  </cols>
  <sheetData>
    <row r="4" spans="1:255" ht="16.2" x14ac:dyDescent="0.25">
      <c r="A4" s="1" t="s">
        <v>126</v>
      </c>
    </row>
    <row r="7" spans="1:255" x14ac:dyDescent="0.2">
      <c r="A7" s="2" t="s">
        <v>1</v>
      </c>
      <c r="B7" s="2"/>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127</v>
      </c>
      <c r="B8" s="4" t="s">
        <v>3</v>
      </c>
    </row>
    <row r="9" spans="1:255" x14ac:dyDescent="0.2">
      <c r="A9" s="3" t="s">
        <v>128</v>
      </c>
      <c r="B9" s="4" t="s">
        <v>5</v>
      </c>
    </row>
    <row r="10" spans="1:255" x14ac:dyDescent="0.2">
      <c r="A10" s="3" t="s">
        <v>129</v>
      </c>
      <c r="B10" s="5">
        <v>45043</v>
      </c>
    </row>
    <row r="11" spans="1:255" x14ac:dyDescent="0.2">
      <c r="A11" s="6"/>
    </row>
    <row r="13" spans="1:255" x14ac:dyDescent="0.2">
      <c r="A13" s="2" t="s">
        <v>7</v>
      </c>
      <c r="B13" s="2"/>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25"/>
      <c r="B14" s="27"/>
    </row>
    <row r="15" spans="1:255" ht="400.05" customHeight="1" x14ac:dyDescent="0.2">
      <c r="A15" s="26"/>
      <c r="B15" s="10"/>
    </row>
    <row r="18" spans="1:1" x14ac:dyDescent="0.2">
      <c r="A18" s="6"/>
    </row>
    <row r="23" spans="1:1" x14ac:dyDescent="0.2">
      <c r="A23" t="s">
        <v>43</v>
      </c>
    </row>
    <row r="32" spans="1:1" ht="25.05" customHeight="1" x14ac:dyDescent="0.2">
      <c r="A32" s="18" t="s">
        <v>45</v>
      </c>
    </row>
  </sheetData>
  <pageMargins left="0.2" right="0.2" top="0.5" bottom="0.5" header="0.5" footer="0.5"/>
  <pageSetup fitToWidth="0" fitToHeight="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EAA1A-7643-46FE-BF23-9AB88AA2CF12}">
  <sheetPr codeName="Sheet9">
    <outlinePr summaryBelow="0" summaryRight="0"/>
  </sheetPr>
  <dimension ref="A4:IU48"/>
  <sheetViews>
    <sheetView defaultGridColor="0" colorId="0" workbookViewId="0"/>
  </sheetViews>
  <sheetFormatPr defaultRowHeight="10.199999999999999" x14ac:dyDescent="0.2"/>
  <cols>
    <col min="1" max="1" width="47.88671875" customWidth="1"/>
    <col min="2" max="5" width="13.88671875" customWidth="1"/>
    <col min="6" max="12" width="25.88671875" customWidth="1"/>
  </cols>
  <sheetData>
    <row r="4" spans="1:255" ht="16.2" x14ac:dyDescent="0.25">
      <c r="A4" s="1" t="s">
        <v>130</v>
      </c>
    </row>
    <row r="7" spans="1:255" x14ac:dyDescent="0.2">
      <c r="A7" s="2" t="s">
        <v>1</v>
      </c>
      <c r="B7" s="2"/>
      <c r="C7" s="2"/>
      <c r="D7" s="2"/>
      <c r="E7" s="2"/>
      <c r="F7" s="2"/>
      <c r="G7" s="2"/>
      <c r="H7" s="2"/>
      <c r="I7" s="2"/>
      <c r="J7" s="2"/>
      <c r="K7" s="2"/>
      <c r="L7" s="2"/>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131</v>
      </c>
      <c r="B8" s="4" t="s">
        <v>3</v>
      </c>
    </row>
    <row r="9" spans="1:255" x14ac:dyDescent="0.2">
      <c r="A9" s="3" t="s">
        <v>132</v>
      </c>
      <c r="B9" s="4" t="s">
        <v>5</v>
      </c>
    </row>
    <row r="10" spans="1:255" x14ac:dyDescent="0.2">
      <c r="A10" s="3" t="s">
        <v>133</v>
      </c>
      <c r="B10" s="5">
        <v>45043</v>
      </c>
    </row>
    <row r="11" spans="1:255" x14ac:dyDescent="0.2">
      <c r="A11" s="6"/>
    </row>
    <row r="13" spans="1:255" x14ac:dyDescent="0.2">
      <c r="A13" s="2" t="s">
        <v>7</v>
      </c>
      <c r="B13" s="2"/>
      <c r="C13" s="2"/>
      <c r="D13" s="2"/>
      <c r="E13" s="2"/>
      <c r="F13" s="2"/>
      <c r="G13" s="2"/>
      <c r="H13" s="2"/>
      <c r="I13" s="2"/>
      <c r="J13" s="2"/>
      <c r="K13" s="2"/>
      <c r="L13" s="2"/>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28" t="s">
        <v>8</v>
      </c>
      <c r="B14" s="29" t="s">
        <v>134</v>
      </c>
      <c r="C14" s="29" t="s">
        <v>135</v>
      </c>
      <c r="D14" s="29" t="s">
        <v>136</v>
      </c>
      <c r="E14" s="29" t="s">
        <v>137</v>
      </c>
      <c r="F14" s="34" t="s">
        <v>138</v>
      </c>
      <c r="G14" s="34" t="s">
        <v>139</v>
      </c>
      <c r="H14" s="29" t="s">
        <v>140</v>
      </c>
      <c r="I14" s="29" t="s">
        <v>141</v>
      </c>
      <c r="J14" s="29" t="s">
        <v>142</v>
      </c>
      <c r="K14" s="28" t="s">
        <v>143</v>
      </c>
      <c r="L14" s="28" t="s">
        <v>144</v>
      </c>
    </row>
    <row r="15" spans="1:255" ht="12" customHeight="1" x14ac:dyDescent="0.2">
      <c r="A15" s="28" t="s">
        <v>25</v>
      </c>
      <c r="B15" s="30">
        <v>1</v>
      </c>
      <c r="C15" s="31">
        <v>2</v>
      </c>
      <c r="D15" s="30">
        <v>1</v>
      </c>
      <c r="E15" s="30">
        <v>1</v>
      </c>
      <c r="F15" s="35">
        <v>44926</v>
      </c>
      <c r="G15" s="35">
        <v>44981</v>
      </c>
      <c r="H15" s="36" t="s">
        <v>145</v>
      </c>
      <c r="I15" s="36" t="s">
        <v>146</v>
      </c>
      <c r="J15" s="36" t="s">
        <v>147</v>
      </c>
      <c r="K15" s="37" t="s">
        <v>148</v>
      </c>
      <c r="L15" s="37" t="s">
        <v>149</v>
      </c>
    </row>
    <row r="16" spans="1:255" ht="12" customHeight="1" x14ac:dyDescent="0.2">
      <c r="A16" s="28" t="s">
        <v>29</v>
      </c>
      <c r="B16" s="31">
        <v>2</v>
      </c>
      <c r="C16" s="30">
        <v>1</v>
      </c>
      <c r="D16" s="31">
        <v>2</v>
      </c>
      <c r="E16" s="31">
        <v>2</v>
      </c>
      <c r="F16" s="35">
        <v>44926</v>
      </c>
      <c r="G16" s="35">
        <v>44981</v>
      </c>
      <c r="H16" s="36" t="s">
        <v>150</v>
      </c>
      <c r="I16" s="36" t="s">
        <v>151</v>
      </c>
      <c r="J16" s="36" t="s">
        <v>152</v>
      </c>
      <c r="K16" s="37" t="s">
        <v>148</v>
      </c>
      <c r="L16" s="37" t="s">
        <v>153</v>
      </c>
    </row>
    <row r="17" spans="1:12" ht="12" customHeight="1" x14ac:dyDescent="0.2">
      <c r="A17" s="28" t="s">
        <v>28</v>
      </c>
      <c r="B17" s="31">
        <v>2</v>
      </c>
      <c r="C17" s="30">
        <v>1</v>
      </c>
      <c r="D17" s="33">
        <v>4</v>
      </c>
      <c r="E17" s="30">
        <v>1</v>
      </c>
      <c r="F17" s="35">
        <v>44926</v>
      </c>
      <c r="G17" s="35">
        <v>44981</v>
      </c>
      <c r="H17" s="36" t="s">
        <v>150</v>
      </c>
      <c r="I17" s="36" t="s">
        <v>151</v>
      </c>
      <c r="J17" s="36" t="s">
        <v>154</v>
      </c>
      <c r="K17" s="37" t="s">
        <v>148</v>
      </c>
      <c r="L17" s="37" t="s">
        <v>153</v>
      </c>
    </row>
    <row r="18" spans="1:12" ht="12" customHeight="1" x14ac:dyDescent="0.2">
      <c r="A18" s="28" t="s">
        <v>32</v>
      </c>
      <c r="B18" s="31">
        <v>2</v>
      </c>
      <c r="C18" s="32">
        <v>3</v>
      </c>
      <c r="D18" s="31">
        <v>2</v>
      </c>
      <c r="E18" s="32">
        <v>3</v>
      </c>
      <c r="F18" s="35">
        <v>44926</v>
      </c>
      <c r="G18" s="35">
        <v>44996</v>
      </c>
      <c r="H18" s="36" t="s">
        <v>155</v>
      </c>
      <c r="I18" s="36" t="s">
        <v>146</v>
      </c>
      <c r="J18" s="36" t="s">
        <v>156</v>
      </c>
      <c r="K18" s="37" t="s">
        <v>157</v>
      </c>
      <c r="L18" s="37" t="s">
        <v>149</v>
      </c>
    </row>
    <row r="19" spans="1:12" ht="12" customHeight="1" x14ac:dyDescent="0.2">
      <c r="A19" s="28" t="s">
        <v>31</v>
      </c>
      <c r="B19" s="32">
        <v>3</v>
      </c>
      <c r="C19" s="31">
        <v>2</v>
      </c>
      <c r="D19" s="31">
        <v>2</v>
      </c>
      <c r="E19" s="33">
        <v>4</v>
      </c>
      <c r="F19" s="35">
        <v>44926</v>
      </c>
      <c r="G19" s="35">
        <v>45011</v>
      </c>
      <c r="H19" s="36" t="s">
        <v>155</v>
      </c>
      <c r="I19" s="36" t="s">
        <v>146</v>
      </c>
      <c r="J19" s="36" t="s">
        <v>158</v>
      </c>
      <c r="K19" s="37" t="s">
        <v>159</v>
      </c>
      <c r="L19" s="37" t="s">
        <v>149</v>
      </c>
    </row>
    <row r="20" spans="1:12" ht="12" customHeight="1" x14ac:dyDescent="0.2">
      <c r="A20" s="28" t="s">
        <v>33</v>
      </c>
      <c r="B20" s="32">
        <v>3</v>
      </c>
      <c r="C20" s="32">
        <v>3</v>
      </c>
      <c r="D20" s="33">
        <v>4</v>
      </c>
      <c r="E20" s="32">
        <v>3</v>
      </c>
      <c r="F20" s="35">
        <v>44926</v>
      </c>
      <c r="G20" s="35">
        <v>44985</v>
      </c>
      <c r="H20" s="36" t="s">
        <v>160</v>
      </c>
      <c r="I20" s="36" t="s">
        <v>151</v>
      </c>
      <c r="J20" s="36" t="s">
        <v>161</v>
      </c>
      <c r="K20" s="37" t="s">
        <v>148</v>
      </c>
      <c r="L20" s="37" t="s">
        <v>149</v>
      </c>
    </row>
    <row r="21" spans="1:12" ht="12" customHeight="1" x14ac:dyDescent="0.2">
      <c r="A21" s="28" t="s">
        <v>30</v>
      </c>
      <c r="B21" s="32">
        <v>3</v>
      </c>
      <c r="C21" s="33">
        <v>4</v>
      </c>
      <c r="D21" s="32">
        <v>3</v>
      </c>
      <c r="E21" s="32">
        <v>3</v>
      </c>
      <c r="F21" s="35">
        <v>44926</v>
      </c>
      <c r="G21" s="35">
        <v>44981</v>
      </c>
      <c r="H21" s="36" t="s">
        <v>162</v>
      </c>
      <c r="I21" s="36" t="s">
        <v>163</v>
      </c>
      <c r="J21" s="36" t="s">
        <v>164</v>
      </c>
      <c r="K21" s="37" t="s">
        <v>148</v>
      </c>
      <c r="L21" s="37" t="s">
        <v>153</v>
      </c>
    </row>
    <row r="22" spans="1:12" ht="12" customHeight="1" x14ac:dyDescent="0.2">
      <c r="A22" s="28" t="s">
        <v>27</v>
      </c>
      <c r="B22" s="33">
        <v>4</v>
      </c>
      <c r="C22" s="32">
        <v>3</v>
      </c>
      <c r="D22" s="32">
        <v>3</v>
      </c>
      <c r="E22" s="33">
        <v>4</v>
      </c>
      <c r="F22" s="35">
        <v>44926</v>
      </c>
      <c r="G22" s="35">
        <v>44999</v>
      </c>
      <c r="H22" s="36" t="s">
        <v>165</v>
      </c>
      <c r="I22" s="36" t="s">
        <v>166</v>
      </c>
      <c r="J22" s="36" t="s">
        <v>167</v>
      </c>
      <c r="K22" s="37" t="s">
        <v>157</v>
      </c>
      <c r="L22" s="37" t="s">
        <v>149</v>
      </c>
    </row>
    <row r="23" spans="1:12" ht="12" customHeight="1" x14ac:dyDescent="0.2">
      <c r="A23" s="28" t="s">
        <v>34</v>
      </c>
      <c r="B23" s="33">
        <v>4</v>
      </c>
      <c r="C23" s="33">
        <v>4</v>
      </c>
      <c r="D23" s="32">
        <v>3</v>
      </c>
      <c r="E23" s="33">
        <v>4</v>
      </c>
      <c r="F23" s="35">
        <v>44926</v>
      </c>
      <c r="G23" s="35">
        <v>45022</v>
      </c>
      <c r="H23" s="36" t="s">
        <v>165</v>
      </c>
      <c r="I23" s="36" t="s">
        <v>166</v>
      </c>
      <c r="J23" s="36" t="s">
        <v>168</v>
      </c>
      <c r="K23" s="37" t="s">
        <v>169</v>
      </c>
      <c r="L23" s="37" t="s">
        <v>149</v>
      </c>
    </row>
    <row r="24" spans="1:12" ht="12" customHeight="1" x14ac:dyDescent="0.2">
      <c r="A24" s="28" t="s">
        <v>35</v>
      </c>
      <c r="B24" s="33">
        <v>4</v>
      </c>
      <c r="C24" s="33">
        <v>4</v>
      </c>
      <c r="D24" s="33">
        <v>4</v>
      </c>
      <c r="E24" s="31">
        <v>2</v>
      </c>
      <c r="F24" s="35">
        <v>45016</v>
      </c>
      <c r="G24" s="35">
        <v>45043</v>
      </c>
      <c r="H24" s="36" t="s">
        <v>170</v>
      </c>
      <c r="I24" s="36" t="s">
        <v>171</v>
      </c>
      <c r="J24" s="36" t="s">
        <v>172</v>
      </c>
      <c r="K24" s="37" t="s">
        <v>148</v>
      </c>
      <c r="L24" s="37" t="s">
        <v>173</v>
      </c>
    </row>
    <row r="25" spans="1:12" x14ac:dyDescent="0.2">
      <c r="A25" s="8"/>
      <c r="B25" s="8"/>
      <c r="C25" s="8"/>
      <c r="D25" s="8"/>
      <c r="E25" s="8"/>
      <c r="F25" s="8"/>
      <c r="G25" s="8"/>
      <c r="H25" s="8"/>
      <c r="I25" s="8"/>
      <c r="J25" s="8"/>
      <c r="K25" s="8"/>
      <c r="L25" s="8"/>
    </row>
    <row r="26" spans="1:12" x14ac:dyDescent="0.2">
      <c r="A26" s="9"/>
      <c r="B26" s="9"/>
      <c r="C26" s="9"/>
      <c r="D26" s="9"/>
      <c r="E26" s="9"/>
      <c r="F26" s="9"/>
      <c r="G26" s="9"/>
      <c r="H26" s="9"/>
      <c r="I26" s="9"/>
      <c r="J26" s="9"/>
      <c r="K26" s="9"/>
      <c r="L26" s="9"/>
    </row>
    <row r="27" spans="1:12" ht="12" customHeight="1" x14ac:dyDescent="0.2">
      <c r="A27" s="28" t="s">
        <v>36</v>
      </c>
      <c r="B27" s="30">
        <v>1</v>
      </c>
      <c r="C27" s="31">
        <v>2</v>
      </c>
      <c r="D27" s="30">
        <v>1</v>
      </c>
      <c r="E27" s="31">
        <v>2</v>
      </c>
      <c r="F27" s="35">
        <v>44926</v>
      </c>
      <c r="G27" s="35">
        <v>44981</v>
      </c>
      <c r="H27" s="36" t="s">
        <v>145</v>
      </c>
      <c r="I27" s="36" t="s">
        <v>146</v>
      </c>
      <c r="J27" s="36" t="s">
        <v>174</v>
      </c>
      <c r="K27" s="37" t="s">
        <v>148</v>
      </c>
      <c r="L27" s="37" t="s">
        <v>149</v>
      </c>
    </row>
    <row r="28" spans="1:12" x14ac:dyDescent="0.2">
      <c r="A28" s="10"/>
      <c r="B28" s="10"/>
      <c r="C28" s="10"/>
      <c r="D28" s="10"/>
      <c r="E28" s="10"/>
      <c r="F28" s="10"/>
      <c r="G28" s="10"/>
      <c r="H28" s="10"/>
      <c r="I28" s="10"/>
      <c r="J28" s="10"/>
      <c r="K28" s="10"/>
      <c r="L28" s="10"/>
    </row>
    <row r="30" spans="1:12" x14ac:dyDescent="0.2">
      <c r="A30" s="6" t="s">
        <v>42</v>
      </c>
    </row>
    <row r="35" spans="1:1" x14ac:dyDescent="0.2">
      <c r="A35" t="s">
        <v>43</v>
      </c>
    </row>
    <row r="38" spans="1:1" x14ac:dyDescent="0.2">
      <c r="A38" t="s">
        <v>175</v>
      </c>
    </row>
    <row r="45" spans="1:1" ht="25.05" customHeight="1" x14ac:dyDescent="0.2">
      <c r="A45" s="18" t="s">
        <v>176</v>
      </c>
    </row>
    <row r="48" spans="1:1" ht="120" customHeight="1" x14ac:dyDescent="0.2">
      <c r="A48" s="38" t="s">
        <v>177</v>
      </c>
    </row>
  </sheetData>
  <pageMargins left="0.2" right="0.2" top="0.5" bottom="0.5" header="0.5" footer="0.5"/>
  <pageSetup fitToWidth="0" fitToHeight="0" orientation="landscape"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82A4B-8BE9-47E9-9E25-88A53BD92F17}">
  <sheetPr codeName="Sheet10">
    <outlinePr summaryBelow="0" summaryRight="0"/>
  </sheetPr>
  <dimension ref="A6:A26"/>
  <sheetViews>
    <sheetView defaultGridColor="0" colorId="0" workbookViewId="0"/>
  </sheetViews>
  <sheetFormatPr defaultRowHeight="10.199999999999999" x14ac:dyDescent="0.2"/>
  <cols>
    <col min="1" max="1" width="150.88671875" customWidth="1"/>
    <col min="2" max="2" width="9.33203125"/>
  </cols>
  <sheetData>
    <row r="6" spans="1:1" ht="16.5" customHeight="1" x14ac:dyDescent="0.25">
      <c r="A6" s="1" t="s">
        <v>178</v>
      </c>
    </row>
    <row r="8" spans="1:1" x14ac:dyDescent="0.2">
      <c r="A8" t="s">
        <v>179</v>
      </c>
    </row>
    <row r="10" spans="1:1" ht="120" customHeight="1" x14ac:dyDescent="0.2">
      <c r="A10" s="39" t="s">
        <v>180</v>
      </c>
    </row>
    <row r="12" spans="1:1" ht="72" customHeight="1" x14ac:dyDescent="0.2">
      <c r="A12" s="39" t="s">
        <v>181</v>
      </c>
    </row>
    <row r="14" spans="1:1" ht="36" customHeight="1" x14ac:dyDescent="0.2">
      <c r="A14" s="39" t="s">
        <v>182</v>
      </c>
    </row>
    <row r="16" spans="1:1" ht="36" customHeight="1" x14ac:dyDescent="0.2">
      <c r="A16" s="40" t="s">
        <v>183</v>
      </c>
    </row>
    <row r="18" spans="1:1" ht="36" customHeight="1" x14ac:dyDescent="0.2">
      <c r="A18" s="40" t="s">
        <v>184</v>
      </c>
    </row>
    <row r="20" spans="1:1" ht="36" customHeight="1" x14ac:dyDescent="0.2">
      <c r="A20" s="40" t="s">
        <v>185</v>
      </c>
    </row>
    <row r="22" spans="1:1" ht="24" customHeight="1" x14ac:dyDescent="0.2">
      <c r="A22" s="40" t="s">
        <v>186</v>
      </c>
    </row>
    <row r="24" spans="1:1" ht="24" customHeight="1" x14ac:dyDescent="0.2">
      <c r="A24" s="40" t="s">
        <v>187</v>
      </c>
    </row>
    <row r="26" spans="1:1" ht="24" customHeight="1" x14ac:dyDescent="0.2">
      <c r="A26" s="40" t="s">
        <v>188</v>
      </c>
    </row>
  </sheetData>
  <pageMargins left="0.2" right="0.2" top="0.5" bottom="0.5" header="0.5" footer="0.5"/>
  <pageSetup fitToWidth="0" fitToHeight="0" orientation="landscape"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4E590-EE5F-4118-A825-69AC8716D5F9}">
  <sheetPr codeName="Sheet11"/>
  <dimension ref="A5"/>
  <sheetViews>
    <sheetView workbookViewId="0"/>
  </sheetViews>
  <sheetFormatPr defaultRowHeight="10.199999999999999" x14ac:dyDescent="0.2"/>
  <sheetData>
    <row r="5" spans="1:1" ht="23.25" customHeight="1" x14ac:dyDescent="0.4">
      <c r="A5" s="42" t="s">
        <v>189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COMPCO</vt:lpstr>
      <vt:lpstr>BENCHMARKING</vt:lpstr>
      <vt:lpstr>Financial Data</vt:lpstr>
      <vt:lpstr>Trading Multiples</vt:lpstr>
      <vt:lpstr>Operating Statistics</vt:lpstr>
      <vt:lpstr>Business Description</vt:lpstr>
      <vt:lpstr>Implied Valuation</vt:lpstr>
      <vt:lpstr>Valuation Chart</vt:lpstr>
      <vt:lpstr>Credit Health Panel</vt:lpstr>
      <vt:lpstr>Disclaimer</vt:lpstr>
      <vt:lpstr>Evaluation Warning</vt:lpstr>
      <vt:lpstr>'Business Description'!Print_Titles</vt:lpstr>
      <vt:lpstr>'Credit Health Panel'!Print_Titles</vt:lpstr>
      <vt:lpstr>Disclaimer!Print_Titles</vt:lpstr>
      <vt:lpstr>'Financial Data'!Print_Titles</vt:lpstr>
      <vt:lpstr>'Implied Valuation'!Print_Titles</vt:lpstr>
      <vt:lpstr>'Operating Statistics'!Print_Titles</vt:lpstr>
      <vt:lpstr>'Trading Multiples'!Print_Titles</vt:lpstr>
      <vt:lpstr>'Valuation Chart'!Print_Titles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2004-07-20T21:40:42Z</dcterms:created>
  <dcterms:modified xsi:type="dcterms:W3CDTF">2023-04-28T02:48:35Z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