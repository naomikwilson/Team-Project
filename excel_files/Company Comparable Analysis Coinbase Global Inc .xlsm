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5601" codeName="{AE6600E7-7A62-396C-DE95-9942FA9DD81E}"/>
  <workbookPr filterPrivacy="1" codeName="ThisWorkbook" defaultThemeVersion="166925"/>
  <xr:revisionPtr revIDLastSave="0" documentId="13_ncr:1_{859C5D58-C616-40AA-B960-81274EEF6F0C}" xr6:coauthVersionLast="47" xr6:coauthVersionMax="47" xr10:uidLastSave="{00000000-0000-0000-0000-000000000000}"/>
  <bookViews>
    <workbookView xWindow="1812" yWindow="612" windowWidth="17316" windowHeight="10512" xr2:uid="{00000000-000D-0000-FFFF-FFFF00000000}"/>
  </bookViews>
  <sheets>
    <sheet name="COMPCO" sheetId="9" r:id="rId1"/>
    <sheet name="BENCHMARKING" sheetId="8" r:id="rId2"/>
    <sheet name="Financial Data" sheetId="1" r:id="rId3"/>
    <sheet name="Trading Multiples" sheetId="2" r:id="rId4"/>
    <sheet name="Operating Statistics" sheetId="3" r:id="rId5"/>
    <sheet name="Business Description" sheetId="4" r:id="rId6"/>
    <sheet name="Implied Valuation" sheetId="5" r:id="rId7"/>
    <sheet name="Valuation Chart" sheetId="6" r:id="rId8"/>
    <sheet name="Evaluation Warning" sheetId="7" r:id="rId9"/>
  </sheets>
  <definedNames>
    <definedName name="_xlnm.Print_Titles" localSheetId="5">'Business Description'!$1:$3</definedName>
    <definedName name="_xlnm.Print_Titles" localSheetId="2">'Financial Data'!$1:$3</definedName>
    <definedName name="_xlnm.Print_Titles" localSheetId="6">'Implied Valuation'!$1:$3</definedName>
    <definedName name="_xlnm.Print_Titles" localSheetId="4">'Operating Statistics'!$1:$3</definedName>
    <definedName name="_xlnm.Print_Titles" localSheetId="3">'Trading Multiples'!$1:$3</definedName>
    <definedName name="_xlnm.Print_Titles" localSheetId="7">'Valuation Chart'!$1:$3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20" i="9" l="1"/>
  <c r="N44" i="9"/>
  <c r="N43" i="9"/>
  <c r="N42" i="9"/>
  <c r="N41" i="9"/>
  <c r="N40" i="9"/>
  <c r="N39" i="9"/>
  <c r="N38" i="9"/>
  <c r="N37" i="9"/>
  <c r="N36" i="9"/>
  <c r="N35" i="9"/>
  <c r="N34" i="9"/>
  <c r="N33" i="9"/>
  <c r="N32" i="9"/>
  <c r="N31" i="9"/>
  <c r="N30" i="9"/>
  <c r="N29" i="9"/>
  <c r="N28" i="9"/>
  <c r="N27" i="9"/>
  <c r="N26" i="9"/>
  <c r="N25" i="9"/>
  <c r="N24" i="9"/>
  <c r="M44" i="9"/>
  <c r="M43" i="9"/>
  <c r="M42" i="9"/>
  <c r="M41" i="9"/>
  <c r="M40" i="9"/>
  <c r="M39" i="9"/>
  <c r="M38" i="9"/>
  <c r="M37" i="9"/>
  <c r="M36" i="9"/>
  <c r="M35" i="9"/>
  <c r="M34" i="9"/>
  <c r="M33" i="9"/>
  <c r="M32" i="9"/>
  <c r="M31" i="9"/>
  <c r="M30" i="9"/>
  <c r="M29" i="9"/>
  <c r="M28" i="9"/>
  <c r="M27" i="9"/>
  <c r="M26" i="9"/>
  <c r="M25" i="9"/>
  <c r="M24" i="9"/>
  <c r="L44" i="9"/>
  <c r="L43" i="9"/>
  <c r="L42" i="9"/>
  <c r="L41" i="9"/>
  <c r="L40" i="9"/>
  <c r="L39" i="9"/>
  <c r="L38" i="9"/>
  <c r="L37" i="9"/>
  <c r="L36" i="9"/>
  <c r="L35" i="9"/>
  <c r="L34" i="9"/>
  <c r="L33" i="9"/>
  <c r="L32" i="9"/>
  <c r="L31" i="9"/>
  <c r="L30" i="9"/>
  <c r="L29" i="9"/>
  <c r="L28" i="9"/>
  <c r="L27" i="9"/>
  <c r="L26" i="9"/>
  <c r="L25" i="9"/>
  <c r="L24" i="9"/>
  <c r="L22" i="9"/>
  <c r="S8" i="9" s="1"/>
  <c r="S14" i="9" s="1"/>
  <c r="S12" i="9" s="1"/>
  <c r="S10" i="9" s="1"/>
  <c r="D28" i="8"/>
  <c r="O29" i="8"/>
  <c r="N29" i="8"/>
  <c r="M29" i="8"/>
  <c r="L29" i="8"/>
  <c r="K29" i="8"/>
  <c r="J29" i="8"/>
  <c r="I29" i="8"/>
  <c r="H29" i="8"/>
  <c r="G29" i="8"/>
  <c r="F29" i="8"/>
  <c r="E29" i="8"/>
  <c r="D29" i="8"/>
  <c r="O51" i="8"/>
  <c r="O50" i="8"/>
  <c r="O49" i="8"/>
  <c r="O48" i="8"/>
  <c r="O47" i="8"/>
  <c r="O46" i="8"/>
  <c r="O45" i="8"/>
  <c r="O44" i="8"/>
  <c r="O43" i="8"/>
  <c r="O42" i="8"/>
  <c r="O41" i="8"/>
  <c r="O40" i="8"/>
  <c r="O39" i="8"/>
  <c r="O38" i="8"/>
  <c r="O37" i="8"/>
  <c r="O36" i="8"/>
  <c r="O35" i="8"/>
  <c r="O34" i="8"/>
  <c r="O33" i="8"/>
  <c r="O32" i="8"/>
  <c r="O31" i="8"/>
  <c r="N51" i="8"/>
  <c r="N50" i="8"/>
  <c r="N49" i="8"/>
  <c r="N48" i="8"/>
  <c r="N47" i="8"/>
  <c r="N46" i="8"/>
  <c r="N45" i="8"/>
  <c r="N44" i="8"/>
  <c r="N43" i="8"/>
  <c r="N42" i="8"/>
  <c r="N41" i="8"/>
  <c r="N40" i="8"/>
  <c r="N39" i="8"/>
  <c r="N38" i="8"/>
  <c r="N37" i="8"/>
  <c r="N36" i="8"/>
  <c r="N35" i="8"/>
  <c r="N34" i="8"/>
  <c r="N33" i="8"/>
  <c r="N32" i="8"/>
  <c r="N31" i="8"/>
  <c r="M51" i="8"/>
  <c r="M50" i="8"/>
  <c r="M49" i="8"/>
  <c r="M48" i="8"/>
  <c r="M47" i="8"/>
  <c r="M46" i="8"/>
  <c r="M45" i="8"/>
  <c r="M44" i="8"/>
  <c r="M43" i="8"/>
  <c r="M42" i="8"/>
  <c r="M41" i="8"/>
  <c r="M40" i="8"/>
  <c r="M39" i="8"/>
  <c r="M38" i="8"/>
  <c r="M37" i="8"/>
  <c r="M36" i="8"/>
  <c r="M35" i="8"/>
  <c r="M34" i="8"/>
  <c r="M33" i="8"/>
  <c r="M32" i="8"/>
  <c r="M31" i="8"/>
  <c r="L51" i="8"/>
  <c r="L50" i="8"/>
  <c r="L49" i="8"/>
  <c r="L48" i="8"/>
  <c r="L47" i="8"/>
  <c r="L46" i="8"/>
  <c r="L45" i="8"/>
  <c r="L44" i="8"/>
  <c r="L43" i="8"/>
  <c r="L42" i="8"/>
  <c r="L41" i="8"/>
  <c r="L40" i="8"/>
  <c r="L39" i="8"/>
  <c r="L38" i="8"/>
  <c r="L37" i="8"/>
  <c r="L36" i="8"/>
  <c r="L35" i="8"/>
  <c r="L34" i="8"/>
  <c r="L33" i="8"/>
  <c r="L32" i="8"/>
  <c r="L31" i="8"/>
  <c r="K51" i="8"/>
  <c r="K50" i="8"/>
  <c r="K49" i="8"/>
  <c r="K48" i="8"/>
  <c r="K47" i="8"/>
  <c r="K46" i="8"/>
  <c r="K45" i="8"/>
  <c r="K44" i="8"/>
  <c r="K43" i="8"/>
  <c r="K42" i="8"/>
  <c r="K41" i="8"/>
  <c r="K40" i="8"/>
  <c r="K39" i="8"/>
  <c r="K38" i="8"/>
  <c r="K37" i="8"/>
  <c r="K36" i="8"/>
  <c r="K35" i="8"/>
  <c r="K34" i="8"/>
  <c r="K33" i="8"/>
  <c r="K32" i="8"/>
  <c r="K31" i="8"/>
  <c r="J51" i="8"/>
  <c r="J50" i="8"/>
  <c r="J49" i="8"/>
  <c r="J48" i="8"/>
  <c r="J47" i="8"/>
  <c r="J46" i="8"/>
  <c r="J45" i="8"/>
  <c r="J44" i="8"/>
  <c r="J43" i="8"/>
  <c r="J42" i="8"/>
  <c r="J41" i="8"/>
  <c r="J40" i="8"/>
  <c r="J39" i="8"/>
  <c r="J38" i="8"/>
  <c r="J37" i="8"/>
  <c r="J36" i="8"/>
  <c r="J35" i="8"/>
  <c r="J34" i="8"/>
  <c r="J33" i="8"/>
  <c r="J32" i="8"/>
  <c r="J31" i="8"/>
  <c r="I51" i="8"/>
  <c r="I50" i="8"/>
  <c r="I49" i="8"/>
  <c r="I48" i="8"/>
  <c r="I47" i="8"/>
  <c r="I46" i="8"/>
  <c r="I45" i="8"/>
  <c r="I44" i="8"/>
  <c r="I43" i="8"/>
  <c r="I42" i="8"/>
  <c r="I41" i="8"/>
  <c r="I40" i="8"/>
  <c r="I39" i="8"/>
  <c r="I38" i="8"/>
  <c r="I37" i="8"/>
  <c r="I36" i="8"/>
  <c r="I35" i="8"/>
  <c r="I34" i="8"/>
  <c r="I33" i="8"/>
  <c r="I32" i="8"/>
  <c r="I31" i="8"/>
  <c r="H51" i="8"/>
  <c r="H50" i="8"/>
  <c r="H49" i="8"/>
  <c r="H48" i="8"/>
  <c r="H47" i="8"/>
  <c r="H46" i="8"/>
  <c r="H45" i="8"/>
  <c r="H44" i="8"/>
  <c r="H43" i="8"/>
  <c r="H42" i="8"/>
  <c r="H41" i="8"/>
  <c r="H40" i="8"/>
  <c r="H39" i="8"/>
  <c r="H38" i="8"/>
  <c r="H37" i="8"/>
  <c r="H36" i="8"/>
  <c r="H35" i="8"/>
  <c r="H34" i="8"/>
  <c r="H33" i="8"/>
  <c r="H32" i="8"/>
  <c r="H31" i="8"/>
  <c r="G51" i="8"/>
  <c r="G50" i="8"/>
  <c r="G49" i="8"/>
  <c r="G48" i="8"/>
  <c r="G47" i="8"/>
  <c r="G46" i="8"/>
  <c r="G45" i="8"/>
  <c r="G44" i="8"/>
  <c r="G43" i="8"/>
  <c r="G42" i="8"/>
  <c r="G41" i="8"/>
  <c r="G40" i="8"/>
  <c r="G39" i="8"/>
  <c r="G38" i="8"/>
  <c r="G37" i="8"/>
  <c r="G36" i="8"/>
  <c r="G35" i="8"/>
  <c r="G34" i="8"/>
  <c r="G33" i="8"/>
  <c r="G32" i="8"/>
  <c r="G31" i="8"/>
  <c r="F51" i="8"/>
  <c r="F50" i="8"/>
  <c r="F49" i="8"/>
  <c r="F48" i="8"/>
  <c r="F47" i="8"/>
  <c r="F46" i="8"/>
  <c r="F45" i="8"/>
  <c r="F44" i="8"/>
  <c r="F43" i="8"/>
  <c r="F42" i="8"/>
  <c r="F41" i="8"/>
  <c r="F40" i="8"/>
  <c r="F39" i="8"/>
  <c r="F38" i="8"/>
  <c r="F37" i="8"/>
  <c r="F36" i="8"/>
  <c r="F35" i="8"/>
  <c r="F34" i="8"/>
  <c r="F33" i="8"/>
  <c r="F32" i="8"/>
  <c r="F31" i="8"/>
  <c r="E51" i="8"/>
  <c r="E50" i="8"/>
  <c r="E49" i="8"/>
  <c r="E48" i="8"/>
  <c r="E47" i="8"/>
  <c r="E46" i="8"/>
  <c r="E45" i="8"/>
  <c r="E44" i="8"/>
  <c r="E43" i="8"/>
  <c r="E42" i="8"/>
  <c r="E41" i="8"/>
  <c r="E40" i="8"/>
  <c r="E39" i="8"/>
  <c r="E38" i="8"/>
  <c r="E37" i="8"/>
  <c r="E36" i="8"/>
  <c r="E35" i="8"/>
  <c r="E34" i="8"/>
  <c r="E33" i="8"/>
  <c r="E32" i="8"/>
  <c r="E31" i="8"/>
  <c r="D51" i="8"/>
  <c r="D50" i="8"/>
  <c r="D49" i="8"/>
  <c r="D48" i="8"/>
  <c r="D47" i="8"/>
  <c r="D46" i="8"/>
  <c r="D45" i="8"/>
  <c r="D44" i="8"/>
  <c r="D43" i="8"/>
  <c r="D42" i="8"/>
  <c r="D41" i="8"/>
  <c r="D40" i="8"/>
  <c r="D39" i="8"/>
  <c r="D38" i="8"/>
  <c r="D37" i="8"/>
  <c r="D36" i="8"/>
  <c r="D35" i="8"/>
  <c r="D34" i="8"/>
  <c r="D33" i="8"/>
  <c r="D32" i="8"/>
  <c r="D31" i="8"/>
  <c r="Q8" i="9" l="1"/>
  <c r="Q10" i="9" s="1"/>
  <c r="Q12" i="9" s="1"/>
  <c r="Q14" i="9" s="1"/>
  <c r="R8" i="9"/>
  <c r="R10" i="9" s="1"/>
  <c r="R12" i="9" s="1"/>
  <c r="R14" i="9" s="1"/>
  <c r="Q15" i="9" l="1"/>
  <c r="Q17" i="9" s="1"/>
</calcChain>
</file>

<file path=xl/sharedStrings.xml><?xml version="1.0" encoding="utf-8"?>
<sst xmlns="http://schemas.openxmlformats.org/spreadsheetml/2006/main" count="580" uniqueCount="148">
  <si>
    <t>Coinbase Global, Inc. (NasdaqGS:COIN) &gt;  Quick Comparable Analysis &gt; Financial Data</t>
  </si>
  <si>
    <t>Details</t>
  </si>
  <si>
    <t>Template:</t>
  </si>
  <si>
    <t>Capital IQ Default Comps</t>
  </si>
  <si>
    <t>Currency:</t>
  </si>
  <si>
    <t>US Dollar</t>
  </si>
  <si>
    <t>As-Of Date:</t>
  </si>
  <si>
    <t>Company Comp Set</t>
  </si>
  <si>
    <t>Company Name</t>
  </si>
  <si>
    <t>Day Close Price Latest</t>
  </si>
  <si>
    <t>Shares Outstanding Latest</t>
  </si>
  <si>
    <t>Market Capitalization Latest</t>
  </si>
  <si>
    <t xml:space="preserve">LTM Net Debt </t>
  </si>
  <si>
    <t>LTM Total Pref. Equity</t>
  </si>
  <si>
    <t>LTM Minority Interest</t>
  </si>
  <si>
    <t>Total Enterprise Value Latest</t>
  </si>
  <si>
    <t xml:space="preserve">LTM Tangible Book Value/Share </t>
  </si>
  <si>
    <t xml:space="preserve">LTM Filing Date, Income Statement </t>
  </si>
  <si>
    <t xml:space="preserve">LTM Total Revenue </t>
  </si>
  <si>
    <t xml:space="preserve">LTM EBITDA </t>
  </si>
  <si>
    <t xml:space="preserve">LTM EBIT </t>
  </si>
  <si>
    <t xml:space="preserve">LTM Diluted EPS Excl. Extra Items </t>
  </si>
  <si>
    <t xml:space="preserve">NTM Revenue (Capital IQ) </t>
  </si>
  <si>
    <t xml:space="preserve">NTM EBITDA (Capital IQ) </t>
  </si>
  <si>
    <t xml:space="preserve">NTM EPS (Capital IQ) </t>
  </si>
  <si>
    <t>Cboe Global Markets, Inc. (BATS:CBOE)</t>
  </si>
  <si>
    <t>-</t>
  </si>
  <si>
    <t>CME Group Inc. (NasdaqGS:CME)</t>
  </si>
  <si>
    <t>Nasdaq, Inc. (NasdaqGS:NDAQ)</t>
  </si>
  <si>
    <t>Intercontinental Exchange, Inc. (NYSE:ICE)</t>
  </si>
  <si>
    <t>MSCI Inc. (NYSE:MSCI)</t>
  </si>
  <si>
    <t>Block, Inc. (NYSE:SQ)</t>
  </si>
  <si>
    <t>Tradeweb Markets Inc. (NasdaqGS:TW)</t>
  </si>
  <si>
    <t>FactSet Research Systems Inc. (NYSE:FDS)</t>
  </si>
  <si>
    <t>Moody's Corporation (NYSE:MCO)</t>
  </si>
  <si>
    <t>MarketAxess Holdings Inc. (NasdaqGS:MKTX)</t>
  </si>
  <si>
    <t>Coinbase Global, Inc. (NasdaqGS:COIN)</t>
  </si>
  <si>
    <t>Summary Statistics</t>
  </si>
  <si>
    <t>High</t>
  </si>
  <si>
    <t>Low</t>
  </si>
  <si>
    <t>Mean</t>
  </si>
  <si>
    <t>Median</t>
  </si>
  <si>
    <t>Displaying 11 Companies.</t>
  </si>
  <si>
    <t>Values converted at today's spot rate.</t>
  </si>
  <si>
    <t>Companies by default are sorted by S&amp;P Capital IQ’s proprietary relevancy score.</t>
  </si>
  <si>
    <t>Historical Equity Pricing Data supplied by Interactive Data Pricing and Reference Data LLC</t>
  </si>
  <si>
    <t>Coinbase Global, Inc. (NasdaqGS:COIN) &gt;  Quick Comparable Analysis &gt; Trading Multiples</t>
  </si>
  <si>
    <t>Template:</t>
  </si>
  <si>
    <t>Currency:</t>
  </si>
  <si>
    <t>As-Of Date:</t>
  </si>
  <si>
    <t>TEV/Total Revenues LTM - Latest</t>
  </si>
  <si>
    <t>TEV/EBITDA LTM - Latest</t>
  </si>
  <si>
    <t>TEV/EBIT LTM - Latest</t>
  </si>
  <si>
    <t>P/Diluted EPS Before Extra LTM - Latest</t>
  </si>
  <si>
    <t>P/TangBV LTM - Latest</t>
  </si>
  <si>
    <t xml:space="preserve">NTM TEV/Forward Total Revenue (Capital IQ) </t>
  </si>
  <si>
    <t xml:space="preserve">NTM TEV/Forward EBITDA (Capital IQ) </t>
  </si>
  <si>
    <t xml:space="preserve">NTM Forward P/E (Capital IQ) </t>
  </si>
  <si>
    <t>NM</t>
  </si>
  <si>
    <t>Coinbase Global, Inc. (NasdaqGS:COIN) &gt;  Quick Comparable Analysis &gt; Operating Statistics</t>
  </si>
  <si>
    <t>Template:</t>
  </si>
  <si>
    <t>Currency:</t>
  </si>
  <si>
    <t>As-Of Date:</t>
  </si>
  <si>
    <t xml:space="preserve">LTM Gross Margin % </t>
  </si>
  <si>
    <t xml:space="preserve">LTM EBITDA Margin % </t>
  </si>
  <si>
    <t xml:space="preserve">LTM EBIT Margin % </t>
  </si>
  <si>
    <t xml:space="preserve">LTM Net Income Margin % </t>
  </si>
  <si>
    <t xml:space="preserve">LTM Total Revenues, 1 Yr Growth % </t>
  </si>
  <si>
    <t xml:space="preserve">LTM EBITDA, 1 Yr Growth % </t>
  </si>
  <si>
    <t xml:space="preserve">LTM EBIT, 1 Yr Growth % </t>
  </si>
  <si>
    <t xml:space="preserve">LTM Net Income, 1 Yr Growth % </t>
  </si>
  <si>
    <t>LTM Total Debt/Capital %</t>
  </si>
  <si>
    <t xml:space="preserve">LTM Total Debt/EBITDA </t>
  </si>
  <si>
    <t xml:space="preserve">NTM LT EPS Growth Rate (Capital IQ) </t>
  </si>
  <si>
    <t>5 Year Beta</t>
  </si>
  <si>
    <t>Coinbase Global, Inc. (NasdaqGS:COIN) &gt;  Quick Comparable Analysis &gt; Business Description</t>
  </si>
  <si>
    <t>Template:</t>
  </si>
  <si>
    <t>Currency:</t>
  </si>
  <si>
    <t>As-Of Date:</t>
  </si>
  <si>
    <t>Business Description</t>
  </si>
  <si>
    <t>Headquarters</t>
  </si>
  <si>
    <t>Cboe Global Markets, Inc., through its subsidiaries, operates as an options exchange worldwide. It operates through six segments: Options, North American Equities, Europe and Asia Pacific, Futures, Global FX, and Digital. The Options segment trades in listed market indices. The North American Equities segment trades in listed U.S. and Canadian equities. This segment also offers exchange-traded products (ETP) transaction and listing services. The Europe and Asia Pacific segment provides pan-European listed equities and derivatives transaction services, ETPs, exchange-traded commodities, and international depository receipts, as well as ETP listings and clearing services. The Futures segment trades in futures. The Global FX segment provides institutional foreign exchange (FX) trading and non-deliverable forward FX transactions services. The Digital segment offers Cboe Digital, an operator of the United States based digital asset spot market and a regulated futures exchange; Cboe Clear Digital, a regulated clearinghouse; licensing of proprietary market data; and access and capacity services. The company has strategic relationships with S&amp;P Dow Jones Indices, LLC; IHS Markit Ltd.; DJI Opco, LLC; Frank Russell Company; FTSE International Limited; and MSCI Inc. The company was formerly known as CBOE Holdings, Inc. and changed its name to Cboe Global Markets, Inc. in October 2017. Cboe Global Markets, Inc. was founded in 1973 and is headquartered in Chicago, Illinois.</t>
  </si>
  <si>
    <t>433 West Van Buren Street, Chicago, Illinois, 60607, United States</t>
  </si>
  <si>
    <t>CME Group Inc., together with its subsidiaries, operates contract markets for the trading of futures and options on futures contracts worldwide. It offers futures and options products based on interest rates, equity indexes, foreign exchange, agricultural commodities, energy, and metals, as well as fixed income and foreign currency trading services. The company also provides clearing house services, including clearing, settling, and guaranteeing futures and options contracts, and cleared swaps products traded through its exchanges; and trade processing and risk mitigation services. In addition, the company offers a range of market data services, including real-time and historical data services. It serves professional traders, financial institutions, institutional and individual investors, corporations, manufacturers, producers, governments, and central banks. The company was formerly known as Chicago Mercantile Exchange Holdings Inc. and changed its name to CME Group Inc. in July 2007. CME Group Inc. was founded in 1898 and is headquartered in Chicago, Illinois.</t>
  </si>
  <si>
    <t>20 South Wacker Drive, Chicago, Illinois, 60606, United States</t>
  </si>
  <si>
    <t>Nasdaq, Inc. operates as a technology company that serves capital markets and other industries worldwide. It operates in three segments: Market Platforms, Capital Access Platforms, and Anti-Financial Crime. The Market Platforms segment trading services, including equity derivative trading and clearing, cash equity trading, fixed income and commodities trading and clearing, and trade management service businesses. This segment operates various exchanges and other marketplace facilities across various asset classes, which include derivatives, commodities, cash equity, debt, structured products, and exchange traded products; and provides broker, clearing, settlement, and central depository services. This segment also handles assets, such as cash equities, equity derivatives, currencies, interest-bearing securities, commodities, energy products, and digital currencies. The Capital Access Platforms segment sells and distributes historical and real-time market data; develops and licenses Nasdaq-branded indexes and financial products; operates listing platforms; investment insights and workflow solutions; and offers investor relations intelligence, ESG solutions, and governance solutions. The Anti-Financial Crime segment includes anti financial crime management solutions, which offers Nasdaq Trade Surveillance, a SaaS solution for brokers and other market participants to assist them in complying with market rules, regulations, and internal market surveillance policies; Nasdaq Market Surveillance, a market surveillance solution for markets and regulators; and Verafin, a SaaS technology provider of anti-financial crime management solutions. The company was formerly known as The NASDAQ OMX Group, Inc. and changed its name to Nasdaq, Inc. in September 2015. Nasdaq, Inc. was founded in 1971 and is headquartered in New York, New York.</t>
  </si>
  <si>
    <t>151 West 42nd Street, New York, New York, 10036, United States</t>
  </si>
  <si>
    <t>Intercontinental Exchange, Inc., together with its subsidiaries, engages in the provision of market infrastructure, data services, and technology solutions for financial institutions, corporations, and government entities in the United States, the United Kingdom, the European Union, Singapore, India, Abu Dhabi, Israel, and Canada. It operates through three segments: Exchanges, Fixed Income and Data Services, and Mortgage Technology. The company operates regulated marketplaces for listing, trading, and clearing an array of derivatives contracts and financial securities, such as commodities, interest rates, foreign exchange, and equities, as well as corporate and exchange-traded funds; and trading venues, including regulated exchanges and clearing houses. It also offers energy, agricultural and metals, and financial futures and options; and cash equities and equity options, and over-the-counter and other markets, as well as listings and data and connectivity services. In addition, the company provides fixed income data and analytic, fixed income execution, CDS clearing, and other multi-asset class data and network services. Further, it offers proprietary and comprehensive mortgage origination platform, which serves residential mortgage loans; closing solutions that provides customers connectivity to the mortgage supply chain and facilitates the secure exchange of information; data and analytics services; and Data as a Service for lenders to access data and origination information. Intercontinental Exchange, Inc. was founded in 2000 and is headquartered in Atlanta, Georgia.</t>
  </si>
  <si>
    <t>5660 New Northside Drive, 3rd Floor, Atlanta, Georgia, 30328, United States</t>
  </si>
  <si>
    <t>MSCI Inc., together with its subsidiaries, provides investment decision support tools for the clients to manage their investment processes worldwide. It operates through four segments: Index, Analytics, ESG and Climate, and All Other – Private Assets. The Index segment provides indexes for use in various areas of the investment process, including indexed product creation, such as ETFs, mutual funds, annuities, futures, options, structured products, over-the-counter derivatives; performance benchmarking; portfolio construction and rebalancing; and asset allocation, as well as licenses GICS and GICS Direct. The Analytics segment offers risk management, performance attribution and portfolio management content, application, and service that provides an integrated view of risk and return, and an analysis of market, credit, liquidity, and counterparty risk across asset classes; managed services, including consolidation of client portfolio data from various sources, review and reconciliation of input data and results, and customized reporting; and HedgePlatform to measure, evaluate, and monitor the risk of hedge fund investments. The ESG and Climate segment provides products and services that help institutional investors understand how ESG factors impact the long-term risk and return of their portfolio and individual security-level investments; and data, ratings, research, and tools to help investors navigate increasing regulation. The All Other – Private Assets segment includes real estate market and transaction data, benchmarks, return-analytics, climate assessments and market insights for funds, investors, and managers; business intelligence to real estate owners, managers, developers, and brokers; and offers investment decision support tools for private capital. It serves asset owners and managers, financial intermediaries, wealth managers, real estate professionals, and corporates. MSCI Inc. was incorporated in 1998 and is headquartered in New York, New York.</t>
  </si>
  <si>
    <t>7 World Trade Center, 49th Floor, 250 Greenwich Street, New York, New York, 10007, United States</t>
  </si>
  <si>
    <t>Block, Inc., together with its subsidiaries, creates tools that enables sellers to accept card payments and provides reporting and analytics, and next-day settlement. The company provides hardware products, including Square Register that combines its hardware, point-of-sale software, and payments technology; Square Terminal, a payments device and receipt printer to replace traditional keypad terminals, which accepts tap, dip, and swipe payments; Square Stand, which enables an iPad to be used as a payment terminal or full point of sale solution; Square Reader for contactless and chip that accepts EMV chip cards and NFC payments, enabling acceptance through Apple Pay, Google Pay, and other mobile wallets; and Square Reader for magstripe, which enables swiped transactions of magnetic-stripe cards by connecting with an iOS or Android smartphone or tablet through the headphone jack or Lightning connector. It also offers various commerce products, including Square for Restaurants; Square Appointments; Square for Retail; Square Point of Sale; Square Online; Square Online Checkout; Square Invoices; Square Virtual Terminal; Risk Manager; Order Manager; Payment application programming interfaces (APIs); and Commerce APIs. In addition, the company provides Cash App, an ecosystem of financial products and services that enables customers to store, send, receive, spend, or invest their money. It serves in the United States, Canada, Japan, Australia, New Zealand, the United Kingdom, Ireland, France, and Spain. The company was formerly known as Square, Inc. and changed its name to Block, Inc. in December 2021. Block, Inc. was incorporated in 2009 and is based in San Francisco, California.</t>
  </si>
  <si>
    <t>1455 Market Street, Suite 600, San Francisco, California, 94103, United States</t>
  </si>
  <si>
    <t>Tradeweb Markets Inc. builds and operates electronic marketplaces in the Americas, Europe, the Middle East, Africa, Asia Pacific, and internationally. The company’s marketplaces facilitate trading in a range of asset classes, including rates, credit, money markets, and equities. It offers pre-trade data and analytics, trade execution, and trade processing, as well as post-trade data, analytics, and reporting services. The company provides flexible order and trading systems to institutional investors. It also offers a range of electronic, voice, and hybrid platforms to dealers and financial institutions on electronic or hybrid markets with Dealerweb platform; and trading solutions for financial advisory firms and traders with Tradeweb Direct platform. The company serves in the institutional, wholesale, and retail client sectors. Its customers include asset managers, hedge funds, insurance companies, central banks, banks and dealers, proprietary trading firms, retail brokerage and financial advisory firms, and regional dealers. The company was founded in 1996 and is headquartered in New York, New York. Tradeweb Markets Inc. is a subsidiary of Refinitiv Parent Limited.</t>
  </si>
  <si>
    <t>1177 Avenue of the Americas, New York, New York, 10036, United States</t>
  </si>
  <si>
    <t>FactSet Research Systems Inc., a financial data and analytics company, provides integrated financial information and analytical applications to the investment community in the Americas, Europe, the Middle East, Africa, and the Asia Pacific. The company delivers insight and information through the workflow solutions of research, analytics and trading, content and technology solutions, and wealth. It serves portfolio managers, investment banks, asset managers, wealth advisors, corporate clients, and other financial services entities. FactSet Research Systems Inc. was founded in 1978 and is headquartered in Norwalk, Connecticut.</t>
  </si>
  <si>
    <t>45 Glover Avenue, 7th Floor, Norwalk, Connecticut, 06850, United States</t>
  </si>
  <si>
    <t>Moody's Corporation operates as an integrated risk assessment firm worldwide. It operates in two segments, Moody’s Investors Service and Moody’s Analytics. The Moody’s Investors Service segment publishes credit ratings and provides assessment services on various debt obligations, programs and facilities, and entities that issue such obligations, such as various corporate, financial institution, and governmental obligations, as well as and structured finance securities. Its ratings are disseminated through press releases to the public through electronic media, including the internet and real-time information systems used by securities traders and investors. The Moody’s Analytics segment develops a range of products and services that support the risk management activities of institutional participants in financial markets; and offers subscription based research, data, and analytical products comprising credit ratings, credit research, quantitative credit scores and other analytical tools, economic research and forecasts, business intelligence and company information products, commercial real estate data and analytical tools, and learning solutions. It also offers offshore research and analytic services to the global financial and corporate sectors; and risk management software solutions, as well as related risk management advisory engagements services. The company was formerly known as Dun and Bradstreet Company and changed its name to Moody's Corporation in September 2000. Moody's Corporation was founded in 1900 and is headquartered in New York, New York.</t>
  </si>
  <si>
    <t>7 World Trade Center, 250 Greenwich Street, New York, New York, 10007, United States</t>
  </si>
  <si>
    <t>MarketAxess Holdings Inc., together with its subsidiaries, operates an electronic trading platform for institutional investor and broker-dealer companies worldwide. It offers the access to liquidity in the U.S. investment-grade bonds, U.S. high-yield bonds, and U.S. Treasuries, as well as municipal bonds, emerging market debts, Eurobonds, and other fixed-income securities. The company, through its Open Trading protocols, executes bond trades between and among institutional investor and broker-dealer clients in an all-to-all anonymous trading environment for corporate bonds. It also offers trading-related products and services, including composite+ pricing and other market data products to assist clients with trading decisions; auto-execution and other execution services for clients requiring specialized workflow solutions; connectivity solutions that facilitate straight-through processing; and technology services to optimize trading environments. In addition, the company provides various pre-and post-trade services, such as trade matching, trade publication, regulatory transaction reporting, and market and reference data across a range of fixed-income and other products. MarketAxess Holdings Inc. was incorporated in 2000 and is headquartered in New York, New York.</t>
  </si>
  <si>
    <t>55 Hudson Yards, 15th Floor, New York, New York, 10001, United States</t>
  </si>
  <si>
    <t>Coinbase Global, Inc. provides financial infrastructure and technology for the cryptoeconomy in the United States and internationally. It offers the primary financial account in the cryptoeconomy for consumers; a marketplace with a pool of liquidity for transacting in crypto assets for institutions; and technology and services that enable developers to build crypto-based applications and securely accept crypto assets as payment. The company was founded in 2012 and is based in Wilmington, Delaware.</t>
  </si>
  <si>
    <t>1209 Orange Street, Wilmington, Delaware, 19801, United States</t>
  </si>
  <si>
    <t>Coinbase Global, Inc. (NasdaqGS:COIN) &gt;  Quick Comparable Analysis &gt; Implied Valuation</t>
  </si>
  <si>
    <t>Template:</t>
  </si>
  <si>
    <t>Currency:</t>
  </si>
  <si>
    <t>As-Of Date:</t>
  </si>
  <si>
    <t xml:space="preserve">LTM Basic EPS </t>
  </si>
  <si>
    <t xml:space="preserve"> </t>
  </si>
  <si>
    <t>Total Enterprise Value Multiples</t>
  </si>
  <si>
    <t>Pricing Multiples</t>
  </si>
  <si>
    <t xml:space="preserve">NTM TEV/Forward Total Revenue </t>
  </si>
  <si>
    <t xml:space="preserve">NTM TEV/Forward EBITDA </t>
  </si>
  <si>
    <t>Implied Enterprise Value</t>
  </si>
  <si>
    <t>NA</t>
  </si>
  <si>
    <t>+ Total Cash &amp; ST Investments</t>
  </si>
  <si>
    <t>- Total Debt</t>
  </si>
  <si>
    <t>- Total Pref. Equity</t>
  </si>
  <si>
    <t>- Minority Interest</t>
  </si>
  <si>
    <t>= Implied Equity Value</t>
  </si>
  <si>
    <t>/ Shares Outstanding</t>
  </si>
  <si>
    <t>= Implied Price per Share</t>
  </si>
  <si>
    <t>Mean Equity Value Across Multiples</t>
  </si>
  <si>
    <t>Equity Value</t>
  </si>
  <si>
    <t>Price Per Share</t>
  </si>
  <si>
    <t>Coinbase Global, Inc. (NasdaqGS:COIN) &gt;  Quick Comparable Analysis &gt; Valuation Chart</t>
  </si>
  <si>
    <t>Template:</t>
  </si>
  <si>
    <t>Currency:</t>
  </si>
  <si>
    <t>As-Of Date:</t>
  </si>
  <si>
    <t>Evaluation Only. Created with Aspose.Cells for .NET.Copyright 2003 - 2023 Aspose Pty Ltd.</t>
  </si>
  <si>
    <t>Percentile Average</t>
  </si>
  <si>
    <t>Company vs Peers</t>
  </si>
  <si>
    <t>Percentiles</t>
  </si>
  <si>
    <t>Applied Percentile</t>
  </si>
  <si>
    <t>NTM EV/REV</t>
  </si>
  <si>
    <t>NTM EV/EBITDA</t>
  </si>
  <si>
    <t>NTM P/E</t>
  </si>
  <si>
    <t>Weighting %</t>
  </si>
  <si>
    <t>Applied Multiple</t>
  </si>
  <si>
    <t>Company Metric</t>
  </si>
  <si>
    <t>EV</t>
  </si>
  <si>
    <t>Net Debt</t>
  </si>
  <si>
    <t>Shares Outstanding</t>
  </si>
  <si>
    <t>Implied Price / Share</t>
  </si>
  <si>
    <t>Weighted Price</t>
  </si>
  <si>
    <t>Current Price</t>
  </si>
  <si>
    <t>Implied Market Upside(Downside)</t>
  </si>
  <si>
    <t>Based on Benchmarking Analysis the Target Company Vs its Comps is Under(Overvalued) by -&gt;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</si>
</sst>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44" formatCode="_(&quot;$&quot;* #,##0.00_);_(&quot;$&quot;* \(#,##0.00\);_(&quot;$&quot;* &quot;-&quot;??_);_(@_)"/>
    <numFmt numFmtId="43" formatCode="_(* #,##0.00_);_(* \(#,##0.00\);_(* &quot;-&quot;??_);_(@_)"/>
    <numFmt numFmtId="164" formatCode="mmm\-dd\-yyyy"/>
    <numFmt numFmtId="165" formatCode="_(\ #,##0.0#_);_(\(\ #,##0.0#\)_);_(\ &quot; - &quot;_)"/>
    <numFmt numFmtId="166" formatCode="_(\ #,##0.0_);_(\ \(#,##0.0\)_);_(\ &quot; - &quot;_)"/>
    <numFmt numFmtId="167" formatCode="#,##0.0\x"/>
    <numFmt numFmtId="168" formatCode="#,##0.00\x"/>
    <numFmt numFmtId="169" formatCode="_(#,##0.0%_);_(\(#,##0.0%\)_);_(#,##0.0%_)"/>
    <numFmt numFmtId="170" formatCode="_(#,##0.00%_);_(\(#,##0.00%\)_);_(#,##0.00%_)"/>
  </numFmts>
  <fonts count="21" x14ac:knownFonts="1">
    <font>
      <sz val="10"/>
      <name val="Arial"/>
    </font>
    <font>
      <sz val="8"/>
      <name val="Arial"/>
    </font>
    <font>
      <b/>
      <sz val="13"/>
      <color indexed="8"/>
      <name val="Verdana"/>
    </font>
    <font>
      <b/>
      <sz val="12"/>
      <color indexed="8"/>
      <name val="Verdana"/>
    </font>
    <font>
      <b/>
      <sz val="10"/>
      <color indexed="9"/>
      <name val="Arial"/>
    </font>
    <font>
      <b/>
      <u val="singleAccounting"/>
      <sz val="8"/>
      <color indexed="8"/>
      <name val="Verdana"/>
    </font>
    <font>
      <b/>
      <sz val="8"/>
      <color indexed="9"/>
      <name val="Verdana"/>
    </font>
    <font>
      <b/>
      <u val="singleAccounting"/>
      <sz val="8"/>
      <color indexed="8"/>
      <name val="Arial"/>
    </font>
    <font>
      <sz val="8"/>
      <color indexed="8"/>
      <name val="Arial"/>
    </font>
    <font>
      <vertAlign val="superscript"/>
      <sz val="8"/>
      <color indexed="8"/>
      <name val="Arial"/>
    </font>
    <font>
      <vertAlign val="subscript"/>
      <sz val="8"/>
      <color indexed="8"/>
      <name val="Arial"/>
    </font>
    <font>
      <b/>
      <sz val="8"/>
      <color indexed="8"/>
      <name val="Arial"/>
    </font>
    <font>
      <i/>
      <sz val="8"/>
      <color indexed="8"/>
      <name val="Arial"/>
    </font>
    <font>
      <sz val="1"/>
      <color indexed="9"/>
      <name val="Symbol"/>
    </font>
    <font>
      <sz val="10"/>
      <color indexed="8"/>
      <name val="Arial"/>
    </font>
    <font>
      <b/>
      <sz val="8"/>
      <color indexed="8"/>
      <name val="Verdana"/>
    </font>
    <font>
      <b/>
      <sz val="8"/>
      <name val="Arial"/>
    </font>
    <font>
      <b/>
      <i/>
      <sz val="18"/>
      <color rgb="FF0000FF"/>
      <name val="Arial"/>
    </font>
    <font>
      <sz val="10"/>
      <name val="Arial"/>
    </font>
    <font>
      <sz val="8"/>
      <color rgb="FFFF0000"/>
      <name val="Arial"/>
    </font>
    <font>
      <sz val="10"/>
      <color rgb="FFFF0000"/>
      <name val="Arial"/>
    </font>
  </fonts>
  <fills count="6">
    <fill>
      <patternFill patternType="none"/>
    </fill>
    <fill>
      <patternFill patternType="gray125"/>
    </fill>
    <fill>
      <patternFill patternType="solid">
        <fgColor indexed="63"/>
        <bgColor indexed="64"/>
      </patternFill>
    </fill>
    <fill>
      <patternFill patternType="solid">
        <fgColor indexed="62"/>
        <bgColor indexed="64"/>
      </patternFill>
    </fill>
    <fill>
      <patternFill patternType="solid">
        <fgColor indexed="56"/>
        <bgColor indexed="64"/>
      </patternFill>
    </fill>
    <fill>
      <patternFill patternType="solid">
        <fgColor indexed="60"/>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medium">
        <color indexed="64"/>
      </top>
      <bottom/>
      <diagonal/>
    </border>
    <border>
      <left/>
      <right style="thin">
        <color indexed="64"/>
      </right>
      <top/>
      <bottom style="medium">
        <color indexed="64"/>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medium">
        <color indexed="64"/>
      </top>
      <bottom/>
      <diagonal/>
    </border>
    <border>
      <left style="medium">
        <color indexed="64"/>
      </left>
      <right style="thin">
        <color indexed="64"/>
      </right>
      <top style="thin">
        <color indexed="64"/>
      </top>
      <bottom/>
      <diagonal/>
    </border>
  </borders>
  <cellStyleXfs count="19">
    <xf numFmtId="0" fontId="0" fillId="0" borderId="0"/>
    <xf numFmtId="43" fontId="18" fillId="0" borderId="0" applyFont="0" applyFill="0" applyBorder="0" applyAlignment="0" applyProtection="0"/>
    <xf numFmtId="44" fontId="18" fillId="0" borderId="0" applyFont="0" applyFill="0" applyBorder="0" applyAlignment="0" applyProtection="0"/>
    <xf numFmtId="9" fontId="18" fillId="0" borderId="0" applyFont="0" applyFill="0" applyBorder="0" applyAlignment="0" applyProtection="0"/>
    <xf numFmtId="0" fontId="2" fillId="0" borderId="0" applyAlignment="0"/>
    <xf numFmtId="0" fontId="3" fillId="0" borderId="0" applyAlignment="0"/>
    <xf numFmtId="0" fontId="4" fillId="2" borderId="0" applyAlignment="0"/>
    <xf numFmtId="0" fontId="5" fillId="3" borderId="0" applyAlignment="0"/>
    <xf numFmtId="0" fontId="6" fillId="4" borderId="0" applyAlignment="0"/>
    <xf numFmtId="0" fontId="7" fillId="5" borderId="0" applyAlignment="0"/>
    <xf numFmtId="0" fontId="8" fillId="0" borderId="0" applyAlignment="0"/>
    <xf numFmtId="0" fontId="9" fillId="0" borderId="0" applyAlignment="0"/>
    <xf numFmtId="0" fontId="10" fillId="0" borderId="0" applyAlignment="0"/>
    <xf numFmtId="0" fontId="11" fillId="0" borderId="0" applyAlignment="0"/>
    <xf numFmtId="0" fontId="12" fillId="0" borderId="0" applyAlignment="0"/>
    <xf numFmtId="0" fontId="11" fillId="0" borderId="0" applyAlignment="0"/>
    <xf numFmtId="0" fontId="13" fillId="0" borderId="0" applyAlignment="0"/>
    <xf numFmtId="0" fontId="14" fillId="0" borderId="0" applyAlignment="0"/>
    <xf numFmtId="0" fontId="15" fillId="0" borderId="0" applyAlignment="0"/>
  </cellStyleXfs>
  <cellXfs count="117">
    <xf numFmtId="0" fontId="1" fillId="0" borderId="0" xfId="0" applyFont="1" applyAlignment="1"/>
    <xf numFmtId="0" fontId="2" fillId="0" borderId="0" xfId="0" applyNumberFormat="1" applyFont="1" applyAlignment="1"/>
    <xf numFmtId="0" fontId="6" fillId="4" borderId="0" xfId="0" applyFont="1" applyFill="1" applyAlignment="1"/>
    <xf numFmtId="0" fontId="16" fillId="0" borderId="0" xfId="0" applyFont="1" applyAlignment="1"/>
    <xf numFmtId="0" fontId="1" fillId="0" borderId="0" xfId="0" applyFont="1" applyAlignment="1">
      <alignment horizontal="left"/>
    </xf>
    <xf numFmtId="164" fontId="1" fillId="0" borderId="0" xfId="0" applyNumberFormat="1" applyFont="1" applyAlignment="1">
      <alignment horizontal="left"/>
    </xf>
    <xf numFmtId="0" fontId="8" fillId="0" borderId="0" xfId="0" applyNumberFormat="1" applyFont="1" applyAlignment="1">
      <alignment horizontal="left" vertical="top"/>
    </xf>
    <xf numFmtId="0" fontId="11" fillId="5" borderId="0" xfId="0" applyFont="1" applyFill="1" applyAlignment="1">
      <alignment horizontal="left" vertical="top" wrapText="1"/>
    </xf>
    <xf numFmtId="0" fontId="11" fillId="0" borderId="0" xfId="0" applyFont="1" applyAlignment="1">
      <alignment vertical="top" wrapText="1"/>
    </xf>
    <xf numFmtId="0" fontId="11" fillId="5" borderId="0" xfId="0" applyFont="1" applyFill="1" applyAlignment="1">
      <alignment vertical="top" wrapText="1"/>
    </xf>
    <xf numFmtId="0" fontId="1" fillId="0" borderId="0" xfId="0" applyFont="1" applyAlignment="1">
      <alignment vertical="top" wrapText="1"/>
    </xf>
    <xf numFmtId="0" fontId="11" fillId="5" borderId="0" xfId="0" applyFont="1" applyFill="1" applyAlignment="1">
      <alignment horizontal="right" vertical="top" wrapText="1"/>
    </xf>
    <xf numFmtId="165" fontId="8" fillId="0" borderId="0" xfId="0" applyNumberFormat="1" applyFont="1" applyAlignment="1">
      <alignment horizontal="right" vertical="top" wrapText="1"/>
    </xf>
    <xf numFmtId="166" fontId="8" fillId="0" borderId="0" xfId="0" applyNumberFormat="1" applyFont="1" applyAlignment="1">
      <alignment horizontal="right" vertical="top" wrapText="1"/>
    </xf>
    <xf numFmtId="0" fontId="8" fillId="0" borderId="0" xfId="0" applyNumberFormat="1" applyFont="1" applyAlignment="1">
      <alignment horizontal="right" vertical="top" wrapText="1"/>
    </xf>
    <xf numFmtId="0" fontId="11" fillId="5" borderId="0" xfId="0" applyFont="1" applyFill="1" applyAlignment="1">
      <alignment horizontal="center" vertical="top" wrapText="1"/>
    </xf>
    <xf numFmtId="164" fontId="8" fillId="0" borderId="0" xfId="0" applyNumberFormat="1" applyFont="1" applyAlignment="1">
      <alignment horizontal="center" vertical="top" wrapText="1"/>
    </xf>
    <xf numFmtId="0" fontId="8" fillId="0" borderId="0" xfId="0" applyNumberFormat="1" applyFont="1" applyAlignment="1">
      <alignment horizontal="center" vertical="top" wrapText="1"/>
    </xf>
    <xf numFmtId="0" fontId="1" fillId="0" borderId="0" xfId="0" applyFont="1" applyAlignment="1">
      <alignment horizontal="right" wrapText="1"/>
    </xf>
    <xf numFmtId="168" fontId="8" fillId="0" borderId="0" xfId="0" applyNumberFormat="1" applyFont="1" applyAlignment="1">
      <alignment horizontal="right" vertical="top" wrapText="1"/>
    </xf>
    <xf numFmtId="169" fontId="8" fillId="0" borderId="0" xfId="0" applyNumberFormat="1" applyFont="1" applyAlignment="1">
      <alignment horizontal="right" vertical="top" wrapText="1"/>
    </xf>
    <xf numFmtId="170" fontId="8" fillId="0" borderId="0" xfId="0" applyNumberFormat="1" applyFont="1" applyAlignment="1">
      <alignment horizontal="right" vertical="top" wrapText="1"/>
    </xf>
    <xf numFmtId="167" fontId="8" fillId="0" borderId="0" xfId="0" applyNumberFormat="1" applyFont="1" applyAlignment="1">
      <alignment horizontal="right" vertical="top" wrapText="1"/>
    </xf>
    <xf numFmtId="0" fontId="8" fillId="0" borderId="0" xfId="0" applyNumberFormat="1" applyFont="1" applyAlignment="1">
      <alignment horizontal="left" vertical="top" wrapText="1"/>
    </xf>
    <xf numFmtId="165" fontId="8" fillId="0" borderId="0" xfId="0" applyNumberFormat="1" applyFont="1" applyAlignment="1">
      <alignment vertical="top" wrapText="1"/>
    </xf>
    <xf numFmtId="0" fontId="11" fillId="0" borderId="0" xfId="0" applyNumberFormat="1" applyFont="1" applyAlignment="1">
      <alignment vertical="top" wrapText="1"/>
    </xf>
    <xf numFmtId="0" fontId="1" fillId="0" borderId="0" xfId="0" applyFont="1" applyAlignment="1">
      <alignment horizontal="center" vertical="top" wrapText="1"/>
    </xf>
    <xf numFmtId="0" fontId="8" fillId="0" borderId="0" xfId="0" applyNumberFormat="1" applyFont="1" applyAlignment="1">
      <alignment vertical="top" wrapText="1"/>
    </xf>
    <xf numFmtId="0" fontId="13" fillId="0" borderId="0" xfId="16" applyFont="1" applyAlignment="1"/>
    <xf numFmtId="0" fontId="17" fillId="0" borderId="0" xfId="0" applyNumberFormat="1" applyFont="1" applyFill="1" applyBorder="1" applyAlignment="1" applyProtection="1"/>
    <xf numFmtId="0" fontId="1" fillId="0" borderId="0" xfId="0" applyFont="1" applyFill="1" applyBorder="1" applyAlignment="1"/>
    <xf numFmtId="9" fontId="1" fillId="0" borderId="3" xfId="0" applyNumberFormat="1" applyFont="1" applyFill="1" applyBorder="1" applyAlignment="1"/>
    <xf numFmtId="9" fontId="1" fillId="0" borderId="4" xfId="0" applyNumberFormat="1" applyFont="1" applyFill="1" applyBorder="1" applyAlignment="1"/>
    <xf numFmtId="9" fontId="1" fillId="0" borderId="7" xfId="0" applyNumberFormat="1" applyFont="1" applyFill="1" applyBorder="1" applyAlignment="1"/>
    <xf numFmtId="9" fontId="1" fillId="0" borderId="13" xfId="0" applyNumberFormat="1" applyFont="1" applyFill="1" applyBorder="1" applyAlignment="1"/>
    <xf numFmtId="9" fontId="1" fillId="0" borderId="14" xfId="0" applyNumberFormat="1" applyFont="1" applyFill="1" applyBorder="1" applyAlignment="1"/>
    <xf numFmtId="9" fontId="19" fillId="0" borderId="14" xfId="0" applyNumberFormat="1" applyFont="1" applyFill="1" applyBorder="1" applyAlignment="1"/>
    <xf numFmtId="9" fontId="1" fillId="0" borderId="16" xfId="0" applyNumberFormat="1" applyFont="1" applyFill="1" applyBorder="1" applyAlignment="1"/>
    <xf numFmtId="0" fontId="1" fillId="0" borderId="17" xfId="0" applyFont="1" applyFill="1" applyBorder="1" applyAlignment="1"/>
    <xf numFmtId="0" fontId="1" fillId="0" borderId="9" xfId="0" applyFont="1" applyFill="1" applyBorder="1" applyAlignment="1"/>
    <xf numFmtId="169" fontId="1" fillId="0" borderId="1" xfId="0" applyNumberFormat="1" applyFont="1" applyFill="1" applyBorder="1" applyAlignment="1">
      <alignment horizontal="right" vertical="top" wrapText="1"/>
    </xf>
    <xf numFmtId="170" fontId="1" fillId="0" borderId="1" xfId="0" applyNumberFormat="1" applyFont="1" applyFill="1" applyBorder="1" applyAlignment="1">
      <alignment horizontal="right" vertical="top" wrapText="1"/>
    </xf>
    <xf numFmtId="167" fontId="1" fillId="0" borderId="1" xfId="0" applyNumberFormat="1" applyFont="1" applyFill="1" applyBorder="1" applyAlignment="1">
      <alignment horizontal="right" vertical="top" wrapText="1"/>
    </xf>
    <xf numFmtId="0" fontId="1" fillId="0" borderId="1" xfId="0" applyNumberFormat="1" applyFont="1" applyFill="1" applyBorder="1" applyAlignment="1">
      <alignment horizontal="right" vertical="top" wrapText="1"/>
    </xf>
    <xf numFmtId="0" fontId="16" fillId="0" borderId="4" xfId="0" applyFont="1" applyFill="1" applyBorder="1" applyAlignment="1">
      <alignment horizontal="left" vertical="top" wrapText="1"/>
    </xf>
    <xf numFmtId="169" fontId="1" fillId="0" borderId="8" xfId="0" applyNumberFormat="1" applyFont="1" applyFill="1" applyBorder="1" applyAlignment="1">
      <alignment horizontal="right" vertical="top" wrapText="1"/>
    </xf>
    <xf numFmtId="170" fontId="1" fillId="0" borderId="8" xfId="0" applyNumberFormat="1" applyFont="1" applyFill="1" applyBorder="1" applyAlignment="1">
      <alignment horizontal="right" vertical="top" wrapText="1"/>
    </xf>
    <xf numFmtId="0" fontId="1" fillId="0" borderId="8" xfId="0" applyNumberFormat="1" applyFont="1" applyFill="1" applyBorder="1" applyAlignment="1">
      <alignment horizontal="right" vertical="top" wrapText="1"/>
    </xf>
    <xf numFmtId="165" fontId="1" fillId="0" borderId="11" xfId="0" applyNumberFormat="1" applyFont="1" applyFill="1" applyBorder="1" applyAlignment="1">
      <alignment horizontal="right" vertical="top" wrapText="1"/>
    </xf>
    <xf numFmtId="165" fontId="1" fillId="0" borderId="12" xfId="0" applyNumberFormat="1" applyFont="1" applyFill="1" applyBorder="1" applyAlignment="1">
      <alignment horizontal="right" vertical="top" wrapText="1"/>
    </xf>
    <xf numFmtId="0" fontId="16" fillId="0" borderId="18" xfId="0" applyFont="1" applyFill="1" applyBorder="1" applyAlignment="1">
      <alignment horizontal="left" vertical="top" wrapText="1"/>
    </xf>
    <xf numFmtId="0" fontId="16" fillId="0" borderId="19" xfId="0" applyFont="1" applyFill="1" applyBorder="1" applyAlignment="1">
      <alignment horizontal="left" vertical="top" wrapText="1"/>
    </xf>
    <xf numFmtId="0" fontId="16" fillId="0" borderId="20" xfId="0" applyFont="1" applyFill="1" applyBorder="1" applyAlignment="1">
      <alignment horizontal="right" vertical="top" wrapText="1"/>
    </xf>
    <xf numFmtId="0" fontId="16" fillId="0" borderId="15" xfId="0" applyFont="1" applyFill="1" applyBorder="1" applyAlignment="1">
      <alignment horizontal="right" vertical="top" wrapText="1"/>
    </xf>
    <xf numFmtId="169" fontId="1" fillId="0" borderId="3" xfId="0" applyNumberFormat="1" applyFont="1" applyFill="1" applyBorder="1" applyAlignment="1">
      <alignment horizontal="right" vertical="top" wrapText="1"/>
    </xf>
    <xf numFmtId="169" fontId="1" fillId="0" borderId="7" xfId="0" applyNumberFormat="1" applyFont="1" applyFill="1" applyBorder="1" applyAlignment="1">
      <alignment horizontal="right" vertical="top" wrapText="1"/>
    </xf>
    <xf numFmtId="169" fontId="1" fillId="0" borderId="4" xfId="0" applyNumberFormat="1" applyFont="1" applyFill="1" applyBorder="1" applyAlignment="1">
      <alignment horizontal="right" vertical="top" wrapText="1"/>
    </xf>
    <xf numFmtId="169" fontId="1" fillId="0" borderId="5" xfId="0" applyNumberFormat="1" applyFont="1" applyFill="1" applyBorder="1" applyAlignment="1">
      <alignment horizontal="right" vertical="top" wrapText="1"/>
    </xf>
    <xf numFmtId="170" fontId="1" fillId="0" borderId="5" xfId="0" applyNumberFormat="1" applyFont="1" applyFill="1" applyBorder="1" applyAlignment="1">
      <alignment horizontal="right" vertical="top" wrapText="1"/>
    </xf>
    <xf numFmtId="167" fontId="1" fillId="0" borderId="5" xfId="0" applyNumberFormat="1" applyFont="1" applyFill="1" applyBorder="1" applyAlignment="1">
      <alignment horizontal="right" vertical="top" wrapText="1"/>
    </xf>
    <xf numFmtId="165" fontId="1" fillId="0" borderId="10" xfId="0" applyNumberFormat="1" applyFont="1" applyFill="1" applyBorder="1" applyAlignment="1">
      <alignment horizontal="right" vertical="top" wrapText="1"/>
    </xf>
    <xf numFmtId="9" fontId="1" fillId="0" borderId="5" xfId="3" applyFont="1" applyFill="1" applyBorder="1" applyAlignment="1"/>
    <xf numFmtId="9" fontId="1" fillId="0" borderId="1" xfId="3" applyFont="1" applyFill="1" applyBorder="1" applyAlignment="1"/>
    <xf numFmtId="9" fontId="1" fillId="0" borderId="8" xfId="3" applyFont="1" applyFill="1" applyBorder="1" applyAlignment="1"/>
    <xf numFmtId="168" fontId="1" fillId="0" borderId="5" xfId="3" applyNumberFormat="1" applyFont="1" applyFill="1" applyBorder="1" applyAlignment="1"/>
    <xf numFmtId="168" fontId="1" fillId="0" borderId="1" xfId="3" applyNumberFormat="1" applyFont="1" applyFill="1" applyBorder="1" applyAlignment="1"/>
    <xf numFmtId="168" fontId="1" fillId="0" borderId="8" xfId="3" applyNumberFormat="1" applyFont="1" applyFill="1" applyBorder="1" applyAlignment="1"/>
    <xf numFmtId="43" fontId="1" fillId="0" borderId="10" xfId="1" applyFont="1" applyFill="1" applyBorder="1" applyAlignment="1"/>
    <xf numFmtId="43" fontId="1" fillId="0" borderId="11" xfId="1" applyFont="1" applyFill="1" applyBorder="1" applyAlignment="1"/>
    <xf numFmtId="43" fontId="1" fillId="0" borderId="12" xfId="1" applyFont="1" applyFill="1" applyBorder="1" applyAlignment="1"/>
    <xf numFmtId="0" fontId="0" fillId="0" borderId="0" xfId="0"/>
    <xf numFmtId="0" fontId="0" fillId="0" borderId="3" xfId="0" applyBorder="1"/>
    <xf numFmtId="0" fontId="0" fillId="0" borderId="4" xfId="0" applyBorder="1"/>
    <xf numFmtId="0" fontId="0" fillId="0" borderId="5" xfId="0" applyBorder="1"/>
    <xf numFmtId="0" fontId="0" fillId="0" borderId="7" xfId="0" applyBorder="1"/>
    <xf numFmtId="0" fontId="0" fillId="0" borderId="10" xfId="0" applyBorder="1"/>
    <xf numFmtId="0" fontId="0" fillId="0" borderId="4" xfId="0" applyBorder="1" applyAlignment="1">
      <alignment wrapText="1"/>
    </xf>
    <xf numFmtId="0" fontId="0" fillId="0" borderId="5" xfId="0" applyBorder="1" applyAlignment="1">
      <alignment wrapText="1"/>
    </xf>
    <xf numFmtId="0" fontId="0" fillId="0" borderId="10" xfId="0" applyBorder="1" applyAlignment="1">
      <alignment wrapText="1"/>
    </xf>
    <xf numFmtId="0" fontId="0" fillId="0" borderId="3" xfId="0" applyBorder="1" applyAlignment="1">
      <alignment wrapText="1"/>
    </xf>
    <xf numFmtId="0" fontId="0" fillId="0" borderId="7" xfId="0" applyBorder="1" applyAlignment="1">
      <alignment wrapText="1"/>
    </xf>
    <xf numFmtId="168" fontId="0" fillId="0" borderId="5" xfId="0" applyNumberFormat="1" applyBorder="1"/>
    <xf numFmtId="168" fontId="0" fillId="0" borderId="10" xfId="0" applyNumberFormat="1" applyBorder="1"/>
    <xf numFmtId="168" fontId="0" fillId="0" borderId="1" xfId="0" applyNumberFormat="1" applyBorder="1"/>
    <xf numFmtId="168" fontId="0" fillId="0" borderId="11" xfId="0" applyNumberFormat="1" applyBorder="1"/>
    <xf numFmtId="168" fontId="0" fillId="0" borderId="8" xfId="0" applyNumberFormat="1" applyBorder="1"/>
    <xf numFmtId="168" fontId="0" fillId="0" borderId="12" xfId="0" applyNumberFormat="1" applyBorder="1"/>
    <xf numFmtId="0" fontId="0" fillId="0" borderId="6" xfId="0" applyBorder="1"/>
    <xf numFmtId="0" fontId="0" fillId="0" borderId="21" xfId="0" applyBorder="1"/>
    <xf numFmtId="0" fontId="0" fillId="0" borderId="0" xfId="0" applyBorder="1" applyAlignment="1">
      <alignment wrapText="1"/>
    </xf>
    <xf numFmtId="9" fontId="20" fillId="0" borderId="0" xfId="3" applyFont="1"/>
    <xf numFmtId="44" fontId="0" fillId="0" borderId="1" xfId="2" applyFont="1" applyBorder="1" applyAlignment="1">
      <alignment wrapText="1"/>
    </xf>
    <xf numFmtId="44" fontId="0" fillId="0" borderId="8" xfId="2" applyFont="1" applyBorder="1" applyAlignment="1">
      <alignment wrapText="1"/>
    </xf>
    <xf numFmtId="43" fontId="0" fillId="0" borderId="1" xfId="1" applyFont="1" applyBorder="1" applyAlignment="1">
      <alignment wrapText="1"/>
    </xf>
    <xf numFmtId="43" fontId="0" fillId="0" borderId="8" xfId="1" applyFont="1" applyBorder="1" applyAlignment="1">
      <alignment wrapText="1"/>
    </xf>
    <xf numFmtId="168" fontId="0" fillId="0" borderId="1" xfId="2" applyNumberFormat="1" applyFont="1" applyBorder="1" applyAlignment="1">
      <alignment wrapText="1"/>
    </xf>
    <xf numFmtId="168" fontId="0" fillId="0" borderId="11" xfId="2" applyNumberFormat="1" applyFont="1" applyBorder="1" applyAlignment="1">
      <alignment wrapText="1"/>
    </xf>
    <xf numFmtId="168" fontId="0" fillId="0" borderId="8" xfId="2" applyNumberFormat="1" applyFont="1" applyBorder="1" applyAlignment="1">
      <alignment wrapText="1"/>
    </xf>
    <xf numFmtId="168" fontId="0" fillId="0" borderId="12" xfId="2" applyNumberFormat="1" applyFont="1" applyBorder="1" applyAlignment="1">
      <alignment wrapText="1"/>
    </xf>
    <xf numFmtId="9" fontId="0" fillId="0" borderId="4" xfId="3" applyFont="1" applyBorder="1"/>
    <xf numFmtId="9" fontId="0" fillId="0" borderId="3" xfId="3" applyFont="1" applyBorder="1"/>
    <xf numFmtId="9" fontId="0" fillId="0" borderId="7" xfId="3" applyFont="1" applyBorder="1"/>
    <xf numFmtId="44" fontId="0" fillId="0" borderId="1" xfId="2" applyFont="1" applyBorder="1"/>
    <xf numFmtId="44" fontId="0" fillId="0" borderId="11" xfId="2" applyFont="1" applyBorder="1"/>
    <xf numFmtId="44" fontId="0" fillId="0" borderId="2" xfId="2" applyFont="1" applyBorder="1"/>
    <xf numFmtId="44" fontId="0" fillId="0" borderId="8" xfId="2" applyFont="1" applyBorder="1"/>
    <xf numFmtId="44" fontId="0" fillId="0" borderId="12" xfId="2" applyFont="1" applyBorder="1"/>
    <xf numFmtId="44" fontId="0" fillId="0" borderId="10" xfId="2" applyFont="1" applyBorder="1"/>
    <xf numFmtId="44" fontId="0" fillId="0" borderId="0" xfId="2" applyFont="1"/>
    <xf numFmtId="9" fontId="0" fillId="0" borderId="1" xfId="3" applyFont="1" applyBorder="1"/>
    <xf numFmtId="9" fontId="0" fillId="0" borderId="11" xfId="3" applyFont="1" applyBorder="1"/>
    <xf numFmtId="168" fontId="0" fillId="0" borderId="1" xfId="2" applyNumberFormat="1" applyFont="1" applyBorder="1"/>
    <xf numFmtId="168" fontId="0" fillId="0" borderId="11" xfId="2" applyNumberFormat="1" applyFont="1" applyBorder="1"/>
    <xf numFmtId="43" fontId="0" fillId="0" borderId="1" xfId="1" applyFont="1" applyBorder="1"/>
    <xf numFmtId="43" fontId="0" fillId="0" borderId="11" xfId="1" applyFont="1" applyBorder="1"/>
    <xf numFmtId="9" fontId="0" fillId="0" borderId="12" xfId="3" applyFont="1" applyBorder="1"/>
    <xf numFmtId="9" fontId="20" fillId="0" borderId="14" xfId="3" applyFont="1" applyBorder="1"/>
  </cellXfs>
  <cellStyles count="19">
    <cellStyle name="ChartingText" xfId="17" xr:uid="{00000000-0005-0000-0000-000013000000}"/>
    <cellStyle name="CHPTop" xfId="18" xr:uid="{00000000-0005-0000-0000-000014000000}"/>
    <cellStyle name="ColumnHeaderNormal" xfId="9" xr:uid="{00000000-0005-0000-0000-00000B000000}"/>
    <cellStyle name="Comma" xfId="1" builtinId="3"/>
    <cellStyle name="Currency" xfId="2" builtinId="4"/>
    <cellStyle name="Invisible" xfId="16" xr:uid="{00000000-0005-0000-0000-000012000000}"/>
    <cellStyle name="NewColumnHeaderNormal" xfId="7" xr:uid="{00000000-0005-0000-0000-000009000000}"/>
    <cellStyle name="NewSectionHeaderNormal" xfId="6" xr:uid="{00000000-0005-0000-0000-000008000000}"/>
    <cellStyle name="NewTitleNormal" xfId="5" xr:uid="{00000000-0005-0000-0000-000007000000}"/>
    <cellStyle name="Normal" xfId="0" builtinId="0"/>
    <cellStyle name="Percent" xfId="3" builtinId="5"/>
    <cellStyle name="SectionHeaderNormal" xfId="8" xr:uid="{00000000-0005-0000-0000-00000A000000}"/>
    <cellStyle name="SubScript" xfId="12" xr:uid="{00000000-0005-0000-0000-00000E000000}"/>
    <cellStyle name="SuperScript" xfId="11" xr:uid="{00000000-0005-0000-0000-00000D000000}"/>
    <cellStyle name="TextBold" xfId="13" xr:uid="{00000000-0005-0000-0000-00000F000000}"/>
    <cellStyle name="TextItalic" xfId="14" xr:uid="{00000000-0005-0000-0000-000010000000}"/>
    <cellStyle name="TextNormal" xfId="10" xr:uid="{00000000-0005-0000-0000-00000C000000}"/>
    <cellStyle name="TitleNormal" xfId="4" xr:uid="{00000000-0005-0000-0000-000006000000}"/>
    <cellStyle name="Total" xfId="15" xr:uid="{00000000-0005-0000-0000-000011000000}"/>
  </cellStyles>
  <dxfs count="4">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2060"/>
      <rgbColor rgb="00FA4040"/>
      <rgbColor rgb="00FFFFEB"/>
      <rgbColor rgb="00EEEEEE"/>
      <rgbColor rgb="00F0F0DC"/>
      <rgbColor rgb="00993366"/>
      <rgbColor rgb="00F5F5E1"/>
      <rgbColor rgb="00004080"/>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3.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916130</xdr:colOff>
      <xdr:row>2</xdr:row>
      <xdr:rowOff>113854</xdr:rowOff>
    </xdr:to>
    <xdr:pic>
      <xdr:nvPicPr>
        <xdr:cNvPr id="2" name="Picture 2">
          <a:extLst>
            <a:ext uri="{FF2B5EF4-FFF2-40B4-BE49-F238E27FC236}">
              <a16:creationId xmlns:a16="http://schemas.microsoft.com/office/drawing/2014/main" id="{EA5BBEFE-5D84-4FE3-B651-CE4040D73682}"/>
            </a:ext>
          </a:extLst>
        </xdr:cNvPr>
        <xdr:cNvPicPr>
          <a:picLocks noChangeAspect="1"/>
        </xdr:cNvPicPr>
      </xdr:nvPicPr>
      <xdr:blipFill>
        <a:blip xmlns:r="http://schemas.openxmlformats.org/officeDocument/2006/relationships" r:embed="rId1"/>
        <a:stretch>
          <a:fillRect/>
        </a:stretch>
      </xdr:blipFill>
      <xdr:spPr>
        <a:xfrm>
          <a:off x="0" y="0"/>
          <a:ext cx="914400" cy="438150"/>
        </a:xfrm>
        <a:prstGeom prst="rect">
          <a:avLst/>
        </a:prstGeom>
      </xdr:spPr>
    </xdr:pic>
    <xdr:clientData/>
  </xdr:twoCellAnchor>
  <xdr:twoCellAnchor>
    <xdr:from>
      <xdr:col>3</xdr:col>
      <xdr:colOff>0</xdr:colOff>
      <xdr:row>47</xdr:row>
      <xdr:rowOff>0</xdr:rowOff>
    </xdr:from>
    <xdr:to>
      <xdr:col>3</xdr:col>
      <xdr:colOff>764586</xdr:colOff>
      <xdr:row>49</xdr:row>
      <xdr:rowOff>122709</xdr:rowOff>
    </xdr:to>
    <xdr:pic>
      <xdr:nvPicPr>
        <xdr:cNvPr id="3" name="Picture 3">
          <a:extLst>
            <a:ext uri="{FF2B5EF4-FFF2-40B4-BE49-F238E27FC236}">
              <a16:creationId xmlns:a16="http://schemas.microsoft.com/office/drawing/2014/main" id="{7ED4484A-BE02-4D1E-AD1B-28DCBF21D841}"/>
            </a:ext>
          </a:extLst>
        </xdr:cNvPr>
        <xdr:cNvPicPr>
          <a:picLocks noChangeAspect="1"/>
        </xdr:cNvPicPr>
      </xdr:nvPicPr>
      <xdr:blipFill>
        <a:blip xmlns:r="http://schemas.openxmlformats.org/officeDocument/2006/relationships" r:embed="rId2"/>
        <a:stretch>
          <a:fillRect/>
        </a:stretch>
      </xdr:blipFill>
      <xdr:spPr>
        <a:xfrm>
          <a:off x="5972175" y="7829550"/>
          <a:ext cx="762000" cy="6000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916130</xdr:colOff>
      <xdr:row>2</xdr:row>
      <xdr:rowOff>113854</xdr:rowOff>
    </xdr:to>
    <xdr:pic>
      <xdr:nvPicPr>
        <xdr:cNvPr id="2" name="Picture 2">
          <a:extLst>
            <a:ext uri="{FF2B5EF4-FFF2-40B4-BE49-F238E27FC236}">
              <a16:creationId xmlns:a16="http://schemas.microsoft.com/office/drawing/2014/main" id="{89069F8E-204D-4862-BBEE-E073723850AC}"/>
            </a:ext>
          </a:extLst>
        </xdr:cNvPr>
        <xdr:cNvPicPr>
          <a:picLocks noChangeAspect="1"/>
        </xdr:cNvPicPr>
      </xdr:nvPicPr>
      <xdr:blipFill>
        <a:blip xmlns:r="http://schemas.openxmlformats.org/officeDocument/2006/relationships" r:embed="rId1"/>
        <a:stretch>
          <a:fillRect/>
        </a:stretch>
      </xdr:blipFill>
      <xdr:spPr>
        <a:xfrm>
          <a:off x="0" y="0"/>
          <a:ext cx="914400" cy="438150"/>
        </a:xfrm>
        <a:prstGeom prst="rect">
          <a:avLst/>
        </a:prstGeom>
      </xdr:spPr>
    </xdr:pic>
    <xdr:clientData/>
  </xdr:twoCellAnchor>
  <xdr:twoCellAnchor>
    <xdr:from>
      <xdr:col>3</xdr:col>
      <xdr:colOff>0</xdr:colOff>
      <xdr:row>49</xdr:row>
      <xdr:rowOff>0</xdr:rowOff>
    </xdr:from>
    <xdr:to>
      <xdr:col>3</xdr:col>
      <xdr:colOff>764586</xdr:colOff>
      <xdr:row>51</xdr:row>
      <xdr:rowOff>122709</xdr:rowOff>
    </xdr:to>
    <xdr:pic>
      <xdr:nvPicPr>
        <xdr:cNvPr id="3" name="Picture 3">
          <a:extLst>
            <a:ext uri="{FF2B5EF4-FFF2-40B4-BE49-F238E27FC236}">
              <a16:creationId xmlns:a16="http://schemas.microsoft.com/office/drawing/2014/main" id="{6E146C29-12A6-40E9-9B55-A6276E7AD7C0}"/>
            </a:ext>
          </a:extLst>
        </xdr:cNvPr>
        <xdr:cNvPicPr>
          <a:picLocks noChangeAspect="1"/>
        </xdr:cNvPicPr>
      </xdr:nvPicPr>
      <xdr:blipFill>
        <a:blip xmlns:r="http://schemas.openxmlformats.org/officeDocument/2006/relationships" r:embed="rId2"/>
        <a:stretch>
          <a:fillRect/>
        </a:stretch>
      </xdr:blipFill>
      <xdr:spPr>
        <a:xfrm>
          <a:off x="5972175" y="7829550"/>
          <a:ext cx="762000" cy="60007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916130</xdr:colOff>
      <xdr:row>2</xdr:row>
      <xdr:rowOff>113854</xdr:rowOff>
    </xdr:to>
    <xdr:pic>
      <xdr:nvPicPr>
        <xdr:cNvPr id="2" name="Picture 2">
          <a:extLst>
            <a:ext uri="{FF2B5EF4-FFF2-40B4-BE49-F238E27FC236}">
              <a16:creationId xmlns:a16="http://schemas.microsoft.com/office/drawing/2014/main" id="{5E0C1884-2B0D-434A-9056-23C024C9829E}"/>
            </a:ext>
          </a:extLst>
        </xdr:cNvPr>
        <xdr:cNvPicPr>
          <a:picLocks noChangeAspect="1"/>
        </xdr:cNvPicPr>
      </xdr:nvPicPr>
      <xdr:blipFill>
        <a:blip xmlns:r="http://schemas.openxmlformats.org/officeDocument/2006/relationships" r:embed="rId1"/>
        <a:stretch>
          <a:fillRect/>
        </a:stretch>
      </xdr:blipFill>
      <xdr:spPr>
        <a:xfrm>
          <a:off x="0" y="0"/>
          <a:ext cx="914400" cy="438150"/>
        </a:xfrm>
        <a:prstGeom prst="rect">
          <a:avLst/>
        </a:prstGeom>
      </xdr:spPr>
    </xdr:pic>
    <xdr:clientData/>
  </xdr:twoCellAnchor>
  <xdr:twoCellAnchor>
    <xdr:from>
      <xdr:col>3</xdr:col>
      <xdr:colOff>0</xdr:colOff>
      <xdr:row>49</xdr:row>
      <xdr:rowOff>0</xdr:rowOff>
    </xdr:from>
    <xdr:to>
      <xdr:col>3</xdr:col>
      <xdr:colOff>764586</xdr:colOff>
      <xdr:row>51</xdr:row>
      <xdr:rowOff>122709</xdr:rowOff>
    </xdr:to>
    <xdr:pic>
      <xdr:nvPicPr>
        <xdr:cNvPr id="3" name="Picture 3">
          <a:extLst>
            <a:ext uri="{FF2B5EF4-FFF2-40B4-BE49-F238E27FC236}">
              <a16:creationId xmlns:a16="http://schemas.microsoft.com/office/drawing/2014/main" id="{0F260720-7D29-4444-9033-FD4D5F48FA82}"/>
            </a:ext>
          </a:extLst>
        </xdr:cNvPr>
        <xdr:cNvPicPr>
          <a:picLocks noChangeAspect="1"/>
        </xdr:cNvPicPr>
      </xdr:nvPicPr>
      <xdr:blipFill>
        <a:blip xmlns:r="http://schemas.openxmlformats.org/officeDocument/2006/relationships" r:embed="rId2"/>
        <a:stretch>
          <a:fillRect/>
        </a:stretch>
      </xdr:blipFill>
      <xdr:spPr>
        <a:xfrm>
          <a:off x="5972175" y="7829550"/>
          <a:ext cx="762000" cy="60007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916130</xdr:colOff>
      <xdr:row>2</xdr:row>
      <xdr:rowOff>113854</xdr:rowOff>
    </xdr:to>
    <xdr:pic>
      <xdr:nvPicPr>
        <xdr:cNvPr id="2" name="Picture 2">
          <a:extLst>
            <a:ext uri="{FF2B5EF4-FFF2-40B4-BE49-F238E27FC236}">
              <a16:creationId xmlns:a16="http://schemas.microsoft.com/office/drawing/2014/main" id="{FD5F9473-DC1E-4604-B37B-FA232B0BCCEA}"/>
            </a:ext>
          </a:extLst>
        </xdr:cNvPr>
        <xdr:cNvPicPr>
          <a:picLocks noChangeAspect="1"/>
        </xdr:cNvPicPr>
      </xdr:nvPicPr>
      <xdr:blipFill>
        <a:blip xmlns:r="http://schemas.openxmlformats.org/officeDocument/2006/relationships" r:embed="rId1"/>
        <a:stretch>
          <a:fillRect/>
        </a:stretch>
      </xdr:blipFill>
      <xdr:spPr>
        <a:xfrm>
          <a:off x="0" y="0"/>
          <a:ext cx="914400" cy="438150"/>
        </a:xfrm>
        <a:prstGeom prst="rect">
          <a:avLst/>
        </a:prstGeom>
      </xdr:spPr>
    </xdr:pic>
    <xdr:clientData/>
  </xdr:twoCellAnchor>
  <xdr:twoCellAnchor>
    <xdr:from>
      <xdr:col>3</xdr:col>
      <xdr:colOff>0</xdr:colOff>
      <xdr:row>43</xdr:row>
      <xdr:rowOff>0</xdr:rowOff>
    </xdr:from>
    <xdr:to>
      <xdr:col>4</xdr:col>
      <xdr:colOff>146921</xdr:colOff>
      <xdr:row>45</xdr:row>
      <xdr:rowOff>122709</xdr:rowOff>
    </xdr:to>
    <xdr:pic>
      <xdr:nvPicPr>
        <xdr:cNvPr id="3" name="Picture 3">
          <a:extLst>
            <a:ext uri="{FF2B5EF4-FFF2-40B4-BE49-F238E27FC236}">
              <a16:creationId xmlns:a16="http://schemas.microsoft.com/office/drawing/2014/main" id="{C8478D8F-CD92-4282-B8BF-733107E16E10}"/>
            </a:ext>
          </a:extLst>
        </xdr:cNvPr>
        <xdr:cNvPicPr>
          <a:picLocks noChangeAspect="1"/>
        </xdr:cNvPicPr>
      </xdr:nvPicPr>
      <xdr:blipFill>
        <a:blip xmlns:r="http://schemas.openxmlformats.org/officeDocument/2006/relationships" r:embed="rId2"/>
        <a:stretch>
          <a:fillRect/>
        </a:stretch>
      </xdr:blipFill>
      <xdr:spPr>
        <a:xfrm>
          <a:off x="6638925" y="6858000"/>
          <a:ext cx="762000" cy="600075"/>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917572</xdr:colOff>
      <xdr:row>2</xdr:row>
      <xdr:rowOff>113854</xdr:rowOff>
    </xdr:to>
    <xdr:pic>
      <xdr:nvPicPr>
        <xdr:cNvPr id="2" name="Picture 2">
          <a:extLst>
            <a:ext uri="{FF2B5EF4-FFF2-40B4-BE49-F238E27FC236}">
              <a16:creationId xmlns:a16="http://schemas.microsoft.com/office/drawing/2014/main" id="{BC5F8652-A179-4368-90F1-C223A1A5E346}"/>
            </a:ext>
          </a:extLst>
        </xdr:cNvPr>
        <xdr:cNvPicPr>
          <a:picLocks noChangeAspect="1"/>
        </xdr:cNvPicPr>
      </xdr:nvPicPr>
      <xdr:blipFill>
        <a:blip xmlns:r="http://schemas.openxmlformats.org/officeDocument/2006/relationships" r:embed="rId1"/>
        <a:stretch>
          <a:fillRect/>
        </a:stretch>
      </xdr:blipFill>
      <xdr:spPr>
        <a:xfrm>
          <a:off x="0" y="0"/>
          <a:ext cx="914400" cy="438150"/>
        </a:xfrm>
        <a:prstGeom prst="rect">
          <a:avLst/>
        </a:prstGeom>
      </xdr:spPr>
    </xdr:pic>
    <xdr:clientData/>
  </xdr:twoCellAnchor>
  <xdr:twoCellAnchor>
    <xdr:from>
      <xdr:col>3</xdr:col>
      <xdr:colOff>0</xdr:colOff>
      <xdr:row>68</xdr:row>
      <xdr:rowOff>0</xdr:rowOff>
    </xdr:from>
    <xdr:to>
      <xdr:col>3</xdr:col>
      <xdr:colOff>764363</xdr:colOff>
      <xdr:row>70</xdr:row>
      <xdr:rowOff>122709</xdr:rowOff>
    </xdr:to>
    <xdr:pic>
      <xdr:nvPicPr>
        <xdr:cNvPr id="3" name="Picture 3">
          <a:extLst>
            <a:ext uri="{FF2B5EF4-FFF2-40B4-BE49-F238E27FC236}">
              <a16:creationId xmlns:a16="http://schemas.microsoft.com/office/drawing/2014/main" id="{6A5E7009-5D33-4284-9FE9-775F23CB73E5}"/>
            </a:ext>
          </a:extLst>
        </xdr:cNvPr>
        <xdr:cNvPicPr>
          <a:picLocks noChangeAspect="1"/>
        </xdr:cNvPicPr>
      </xdr:nvPicPr>
      <xdr:blipFill>
        <a:blip xmlns:r="http://schemas.openxmlformats.org/officeDocument/2006/relationships" r:embed="rId2"/>
        <a:stretch>
          <a:fillRect/>
        </a:stretch>
      </xdr:blipFill>
      <xdr:spPr>
        <a:xfrm>
          <a:off x="4505325" y="10953750"/>
          <a:ext cx="762000" cy="60007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917572</xdr:colOff>
      <xdr:row>2</xdr:row>
      <xdr:rowOff>113854</xdr:rowOff>
    </xdr:to>
    <xdr:pic>
      <xdr:nvPicPr>
        <xdr:cNvPr id="2" name="Picture 2">
          <a:extLst>
            <a:ext uri="{FF2B5EF4-FFF2-40B4-BE49-F238E27FC236}">
              <a16:creationId xmlns:a16="http://schemas.microsoft.com/office/drawing/2014/main" id="{FE5233CA-3EE8-446D-A1C1-EE2871672C10}"/>
            </a:ext>
          </a:extLst>
        </xdr:cNvPr>
        <xdr:cNvPicPr>
          <a:picLocks noChangeAspect="1"/>
        </xdr:cNvPicPr>
      </xdr:nvPicPr>
      <xdr:blipFill>
        <a:blip xmlns:r="http://schemas.openxmlformats.org/officeDocument/2006/relationships" r:embed="rId1"/>
        <a:stretch>
          <a:fillRect/>
        </a:stretch>
      </xdr:blipFill>
      <xdr:spPr>
        <a:xfrm>
          <a:off x="0" y="0"/>
          <a:ext cx="914400" cy="438150"/>
        </a:xfrm>
        <a:prstGeom prst="rect">
          <a:avLst/>
        </a:prstGeom>
      </xdr:spPr>
    </xdr:pic>
    <xdr:clientData/>
  </xdr:twoCellAnchor>
  <xdr:twoCellAnchor>
    <xdr:from>
      <xdr:col>0</xdr:col>
      <xdr:colOff>8418</xdr:colOff>
      <xdr:row>14</xdr:row>
      <xdr:rowOff>0</xdr:rowOff>
    </xdr:from>
    <xdr:to>
      <xdr:col>3</xdr:col>
      <xdr:colOff>218266</xdr:colOff>
      <xdr:row>14</xdr:row>
      <xdr:rowOff>3807619</xdr:rowOff>
    </xdr:to>
    <xdr:pic>
      <xdr:nvPicPr>
        <xdr:cNvPr id="3" name="Picture 3">
          <a:extLst>
            <a:ext uri="{FF2B5EF4-FFF2-40B4-BE49-F238E27FC236}">
              <a16:creationId xmlns:a16="http://schemas.microsoft.com/office/drawing/2014/main" id="{7534F5D0-1C21-4077-9460-2DE0B8AC65A4}"/>
            </a:ext>
          </a:extLst>
        </xdr:cNvPr>
        <xdr:cNvPicPr>
          <a:picLocks noChangeAspect="1"/>
        </xdr:cNvPicPr>
      </xdr:nvPicPr>
      <xdr:blipFill>
        <a:blip xmlns:r="http://schemas.openxmlformats.org/officeDocument/2006/relationships" r:embed="rId2"/>
        <a:stretch>
          <a:fillRect/>
        </a:stretch>
      </xdr:blipFill>
      <xdr:spPr>
        <a:xfrm>
          <a:off x="9525" y="2266950"/>
          <a:ext cx="7610475" cy="3810000"/>
        </a:xfrm>
        <a:prstGeom prst="rect">
          <a:avLst/>
        </a:prstGeom>
      </xdr:spPr>
    </xdr:pic>
    <xdr:clientData/>
  </xdr:twoCellAnchor>
  <xdr:twoCellAnchor>
    <xdr:from>
      <xdr:col>3</xdr:col>
      <xdr:colOff>0</xdr:colOff>
      <xdr:row>31</xdr:row>
      <xdr:rowOff>0</xdr:rowOff>
    </xdr:from>
    <xdr:to>
      <xdr:col>4</xdr:col>
      <xdr:colOff>146921</xdr:colOff>
      <xdr:row>33</xdr:row>
      <xdr:rowOff>122709</xdr:rowOff>
    </xdr:to>
    <xdr:pic>
      <xdr:nvPicPr>
        <xdr:cNvPr id="4" name="Picture 4">
          <a:extLst>
            <a:ext uri="{FF2B5EF4-FFF2-40B4-BE49-F238E27FC236}">
              <a16:creationId xmlns:a16="http://schemas.microsoft.com/office/drawing/2014/main" id="{CB60B86D-5AFD-4967-8899-EE5C4DCCCD9B}"/>
            </a:ext>
          </a:extLst>
        </xdr:cNvPr>
        <xdr:cNvPicPr>
          <a:picLocks noChangeAspect="1"/>
        </xdr:cNvPicPr>
      </xdr:nvPicPr>
      <xdr:blipFill>
        <a:blip xmlns:r="http://schemas.openxmlformats.org/officeDocument/2006/relationships" r:embed="rId3"/>
        <a:stretch>
          <a:fillRect/>
        </a:stretch>
      </xdr:blipFill>
      <xdr:spPr>
        <a:xfrm>
          <a:off x="7400925" y="9934575"/>
          <a:ext cx="762000" cy="600075"/>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CD2F2D-224F-4821-9DF8-9B70516A464C}">
  <sheetPr codeName="Sheet1"/>
  <dimension ref="C5:S44"/>
  <sheetViews>
    <sheetView showGridLines="0" tabSelected="1" workbookViewId="0"/>
  </sheetViews>
  <sheetFormatPr defaultRowHeight="13.2" x14ac:dyDescent="0.25"/>
  <cols>
    <col min="1" max="2" width="8.88671875" style="70"/>
    <col min="3" max="3" width="39.109375" style="70" bestFit="1" customWidth="1"/>
    <col min="4" max="4" width="19.88671875" style="70" bestFit="1" customWidth="1"/>
    <col min="5" max="5" width="22.5546875" style="70" bestFit="1" customWidth="1"/>
    <col min="6" max="6" width="23.44140625" style="70" bestFit="1" customWidth="1"/>
    <col min="7" max="7" width="12.5546875" style="70" bestFit="1" customWidth="1"/>
    <col min="8" max="8" width="24.44140625" style="70" bestFit="1" customWidth="1"/>
    <col min="9" max="9" width="23" style="70" bestFit="1" customWidth="1"/>
    <col min="10" max="10" width="22.5546875" style="70" bestFit="1" customWidth="1"/>
    <col min="11" max="11" width="19.5546875" style="70" bestFit="1" customWidth="1"/>
    <col min="12" max="12" width="39" style="70" bestFit="1" customWidth="1"/>
    <col min="13" max="13" width="34.109375" style="70" bestFit="1" customWidth="1"/>
    <col min="14" max="14" width="26.33203125" style="70" bestFit="1" customWidth="1"/>
    <col min="15" max="15" width="8.88671875" style="70"/>
    <col min="16" max="16" width="28.5546875" style="70" bestFit="1" customWidth="1"/>
    <col min="17" max="17" width="11.44140625" style="70" bestFit="1" customWidth="1"/>
    <col min="18" max="18" width="10.44140625" style="70" bestFit="1" customWidth="1"/>
    <col min="19" max="19" width="12.109375" style="70" bestFit="1" customWidth="1"/>
    <col min="20" max="16384" width="8.88671875" style="70"/>
  </cols>
  <sheetData>
    <row r="5" spans="3:19" ht="13.8" thickBot="1" x14ac:dyDescent="0.3"/>
    <row r="6" spans="3:19" x14ac:dyDescent="0.25">
      <c r="C6" s="76" t="s">
        <v>8</v>
      </c>
      <c r="D6" s="77" t="s">
        <v>9</v>
      </c>
      <c r="E6" s="77" t="s">
        <v>10</v>
      </c>
      <c r="F6" s="77" t="s">
        <v>11</v>
      </c>
      <c r="G6" s="77" t="s">
        <v>12</v>
      </c>
      <c r="H6" s="77" t="s">
        <v>15</v>
      </c>
      <c r="I6" s="77" t="s">
        <v>22</v>
      </c>
      <c r="J6" s="77" t="s">
        <v>23</v>
      </c>
      <c r="K6" s="77" t="s">
        <v>24</v>
      </c>
      <c r="L6" s="77" t="s">
        <v>55</v>
      </c>
      <c r="M6" s="77" t="s">
        <v>56</v>
      </c>
      <c r="N6" s="78" t="s">
        <v>57</v>
      </c>
      <c r="P6" s="72"/>
      <c r="Q6" s="73" t="s">
        <v>134</v>
      </c>
      <c r="R6" s="73" t="s">
        <v>135</v>
      </c>
      <c r="S6" s="75" t="s">
        <v>136</v>
      </c>
    </row>
    <row r="7" spans="3:19" x14ac:dyDescent="0.25">
      <c r="C7" s="79" t="s">
        <v>25</v>
      </c>
      <c r="D7" s="91">
        <v>138.19999999999999</v>
      </c>
      <c r="E7" s="93">
        <v>105.7</v>
      </c>
      <c r="F7" s="91">
        <v>14613.6</v>
      </c>
      <c r="G7" s="91">
        <v>1365.2</v>
      </c>
      <c r="H7" s="91">
        <v>15978.8</v>
      </c>
      <c r="I7" s="91">
        <v>1900.35</v>
      </c>
      <c r="J7" s="91">
        <v>1190.5899999999999</v>
      </c>
      <c r="K7" s="91">
        <v>7.25</v>
      </c>
      <c r="L7" s="95">
        <v>8.41</v>
      </c>
      <c r="M7" s="95">
        <v>13.42</v>
      </c>
      <c r="N7" s="96">
        <v>19.059999999999999</v>
      </c>
      <c r="P7" s="71" t="s">
        <v>137</v>
      </c>
      <c r="Q7" s="109">
        <v>0.33333333333333331</v>
      </c>
      <c r="R7" s="109">
        <v>0.33333333333333331</v>
      </c>
      <c r="S7" s="110">
        <v>0.33333333333333331</v>
      </c>
    </row>
    <row r="8" spans="3:19" x14ac:dyDescent="0.25">
      <c r="C8" s="79" t="s">
        <v>27</v>
      </c>
      <c r="D8" s="91">
        <v>184.41</v>
      </c>
      <c r="E8" s="93">
        <v>359.7</v>
      </c>
      <c r="F8" s="91">
        <v>66340.2</v>
      </c>
      <c r="G8" s="91">
        <v>1769.2</v>
      </c>
      <c r="H8" s="91">
        <v>68109.399999999994</v>
      </c>
      <c r="I8" s="91">
        <v>5293.95</v>
      </c>
      <c r="J8" s="91">
        <v>3487.73</v>
      </c>
      <c r="K8" s="91">
        <v>8.58</v>
      </c>
      <c r="L8" s="95">
        <v>12.87</v>
      </c>
      <c r="M8" s="95">
        <v>19.53</v>
      </c>
      <c r="N8" s="96">
        <v>21.5</v>
      </c>
      <c r="P8" s="71" t="s">
        <v>138</v>
      </c>
      <c r="Q8" s="111">
        <f>INDEX(L24:L44,MATCH($L$22,$K$24:$K$44))</f>
        <v>10.08</v>
      </c>
      <c r="R8" s="111">
        <f>INDEX(M24:M44,MATCH($L$22,$K$24:$K$44))</f>
        <v>22.06</v>
      </c>
      <c r="S8" s="112">
        <f>INDEX(N24:N44,MATCH($L$22,$K$24:$K$44))</f>
        <v>29.02</v>
      </c>
    </row>
    <row r="9" spans="3:19" x14ac:dyDescent="0.25">
      <c r="C9" s="79" t="s">
        <v>28</v>
      </c>
      <c r="D9" s="91">
        <v>54.82</v>
      </c>
      <c r="E9" s="93">
        <v>489</v>
      </c>
      <c r="F9" s="91">
        <v>26807.1</v>
      </c>
      <c r="G9" s="91">
        <v>4981</v>
      </c>
      <c r="H9" s="91">
        <v>31800.1</v>
      </c>
      <c r="I9" s="91">
        <v>3755.71</v>
      </c>
      <c r="J9" s="91">
        <v>2027.02</v>
      </c>
      <c r="K9" s="91">
        <v>2.74</v>
      </c>
      <c r="L9" s="95">
        <v>8.4700000000000006</v>
      </c>
      <c r="M9" s="95">
        <v>15.69</v>
      </c>
      <c r="N9" s="96">
        <v>20</v>
      </c>
      <c r="P9" s="71" t="s">
        <v>139</v>
      </c>
      <c r="Q9" s="102">
        <v>2822.81</v>
      </c>
      <c r="R9" s="102">
        <v>75.41</v>
      </c>
      <c r="S9" s="103">
        <v>-3.29</v>
      </c>
    </row>
    <row r="10" spans="3:19" x14ac:dyDescent="0.25">
      <c r="C10" s="79" t="s">
        <v>29</v>
      </c>
      <c r="D10" s="91">
        <v>107.42</v>
      </c>
      <c r="E10" s="93">
        <v>559.70000000000005</v>
      </c>
      <c r="F10" s="91">
        <v>60123.5</v>
      </c>
      <c r="G10" s="91">
        <v>16642</v>
      </c>
      <c r="H10" s="91">
        <v>76820.5</v>
      </c>
      <c r="I10" s="91">
        <v>7617.79</v>
      </c>
      <c r="J10" s="91">
        <v>5008.29</v>
      </c>
      <c r="K10" s="91">
        <v>5.51</v>
      </c>
      <c r="L10" s="95">
        <v>10.08</v>
      </c>
      <c r="M10" s="95">
        <v>15.34</v>
      </c>
      <c r="N10" s="96">
        <v>19.489999999999998</v>
      </c>
      <c r="P10" s="71" t="s">
        <v>140</v>
      </c>
      <c r="Q10" s="102">
        <f>Q9*Q8</f>
        <v>28453.924800000001</v>
      </c>
      <c r="R10" s="102">
        <f>R9*R8</f>
        <v>1663.5445999999997</v>
      </c>
      <c r="S10" s="103">
        <f>S12+S11</f>
        <v>-22886.447700000001</v>
      </c>
    </row>
    <row r="11" spans="3:19" x14ac:dyDescent="0.25">
      <c r="C11" s="79" t="s">
        <v>30</v>
      </c>
      <c r="D11" s="91">
        <v>464.29</v>
      </c>
      <c r="E11" s="93">
        <v>80.099999999999994</v>
      </c>
      <c r="F11" s="91">
        <v>37172.6</v>
      </c>
      <c r="G11" s="91">
        <v>3583.7</v>
      </c>
      <c r="H11" s="91">
        <v>40756.300000000003</v>
      </c>
      <c r="I11" s="91">
        <v>2525.1999999999998</v>
      </c>
      <c r="J11" s="91">
        <v>1518.98</v>
      </c>
      <c r="K11" s="91">
        <v>13.17</v>
      </c>
      <c r="L11" s="95">
        <v>16.14</v>
      </c>
      <c r="M11" s="95">
        <v>26.83</v>
      </c>
      <c r="N11" s="96">
        <v>35.25</v>
      </c>
      <c r="P11" s="71" t="s">
        <v>141</v>
      </c>
      <c r="Q11" s="102">
        <v>-783.8</v>
      </c>
      <c r="R11" s="102">
        <v>-783.8</v>
      </c>
      <c r="S11" s="103">
        <v>-783.8</v>
      </c>
    </row>
    <row r="12" spans="3:19" x14ac:dyDescent="0.25">
      <c r="C12" s="79" t="s">
        <v>31</v>
      </c>
      <c r="D12" s="91">
        <v>60.58</v>
      </c>
      <c r="E12" s="93">
        <v>603.4</v>
      </c>
      <c r="F12" s="91">
        <v>36553.5</v>
      </c>
      <c r="G12" s="91">
        <v>723.6</v>
      </c>
      <c r="H12" s="91">
        <v>37305.599999999999</v>
      </c>
      <c r="I12" s="91">
        <v>20037.939999999999</v>
      </c>
      <c r="J12" s="91">
        <v>1340.03</v>
      </c>
      <c r="K12" s="91">
        <v>1.73</v>
      </c>
      <c r="L12" s="95">
        <v>1.86</v>
      </c>
      <c r="M12" s="95">
        <v>27.84</v>
      </c>
      <c r="N12" s="96">
        <v>35.08</v>
      </c>
      <c r="P12" s="71" t="s">
        <v>123</v>
      </c>
      <c r="Q12" s="102">
        <f>Q10-Q11</f>
        <v>29237.7248</v>
      </c>
      <c r="R12" s="102">
        <f>R10-R11</f>
        <v>2447.3445999999994</v>
      </c>
      <c r="S12" s="103">
        <f>S13*S14</f>
        <v>-22102.647700000001</v>
      </c>
    </row>
    <row r="13" spans="3:19" x14ac:dyDescent="0.25">
      <c r="C13" s="79" t="s">
        <v>32</v>
      </c>
      <c r="D13" s="91">
        <v>69.349999999999994</v>
      </c>
      <c r="E13" s="93">
        <v>211.7</v>
      </c>
      <c r="F13" s="91">
        <v>14678.4</v>
      </c>
      <c r="G13" s="91">
        <v>-1206.9000000000001</v>
      </c>
      <c r="H13" s="91" t="s">
        <v>26</v>
      </c>
      <c r="I13" s="91">
        <v>1352.4</v>
      </c>
      <c r="J13" s="91">
        <v>707.14</v>
      </c>
      <c r="K13" s="91">
        <v>2.2000000000000002</v>
      </c>
      <c r="L13" s="95" t="s">
        <v>26</v>
      </c>
      <c r="M13" s="95" t="s">
        <v>26</v>
      </c>
      <c r="N13" s="96">
        <v>31.5</v>
      </c>
      <c r="P13" s="71" t="s">
        <v>142</v>
      </c>
      <c r="Q13" s="113">
        <v>231.5</v>
      </c>
      <c r="R13" s="113">
        <v>231.5</v>
      </c>
      <c r="S13" s="114">
        <v>231.5</v>
      </c>
    </row>
    <row r="14" spans="3:19" ht="13.8" thickBot="1" x14ac:dyDescent="0.3">
      <c r="C14" s="79" t="s">
        <v>33</v>
      </c>
      <c r="D14" s="91">
        <v>410.16</v>
      </c>
      <c r="E14" s="93">
        <v>38.299999999999997</v>
      </c>
      <c r="F14" s="91">
        <v>15717.1</v>
      </c>
      <c r="G14" s="91">
        <v>1473.7</v>
      </c>
      <c r="H14" s="91">
        <v>17190.8</v>
      </c>
      <c r="I14" s="91">
        <v>2161.04</v>
      </c>
      <c r="J14" s="91">
        <v>779.17</v>
      </c>
      <c r="K14" s="91">
        <v>15.46</v>
      </c>
      <c r="L14" s="95">
        <v>7.95</v>
      </c>
      <c r="M14" s="95">
        <v>22.06</v>
      </c>
      <c r="N14" s="96">
        <v>26.54</v>
      </c>
      <c r="P14" s="88" t="s">
        <v>143</v>
      </c>
      <c r="Q14" s="104">
        <f>Q12/Q13</f>
        <v>126.29686738660907</v>
      </c>
      <c r="R14" s="105">
        <f>R12/R13</f>
        <v>10.571682937365008</v>
      </c>
      <c r="S14" s="106">
        <f>S8*S9</f>
        <v>-95.475800000000007</v>
      </c>
    </row>
    <row r="15" spans="3:19" x14ac:dyDescent="0.25">
      <c r="C15" s="79" t="s">
        <v>34</v>
      </c>
      <c r="D15" s="91">
        <v>311.39999999999998</v>
      </c>
      <c r="E15" s="93">
        <v>183.5</v>
      </c>
      <c r="F15" s="91">
        <v>57141.2</v>
      </c>
      <c r="G15" s="91">
        <v>5912</v>
      </c>
      <c r="H15" s="91">
        <v>63220.2</v>
      </c>
      <c r="I15" s="91">
        <v>6012.6</v>
      </c>
      <c r="J15" s="91">
        <v>2704.66</v>
      </c>
      <c r="K15" s="91">
        <v>9.6300000000000008</v>
      </c>
      <c r="L15" s="95">
        <v>10.51</v>
      </c>
      <c r="M15" s="95">
        <v>23.37</v>
      </c>
      <c r="N15" s="96">
        <v>32.35</v>
      </c>
      <c r="P15" s="72" t="s">
        <v>144</v>
      </c>
      <c r="Q15" s="107">
        <f>SUMPRODUCT(Q14:S14,Q7:S7)</f>
        <v>13.797583441324687</v>
      </c>
      <c r="R15" s="108"/>
      <c r="S15" s="108"/>
    </row>
    <row r="16" spans="3:19" x14ac:dyDescent="0.25">
      <c r="C16" s="79" t="s">
        <v>35</v>
      </c>
      <c r="D16" s="91">
        <v>313.16000000000003</v>
      </c>
      <c r="E16" s="93">
        <v>37.4</v>
      </c>
      <c r="F16" s="91">
        <v>11706.4</v>
      </c>
      <c r="G16" s="91">
        <v>-251.5</v>
      </c>
      <c r="H16" s="91">
        <v>11454.9</v>
      </c>
      <c r="I16" s="91">
        <v>830.82</v>
      </c>
      <c r="J16" s="91">
        <v>459.51</v>
      </c>
      <c r="K16" s="91">
        <v>7.83</v>
      </c>
      <c r="L16" s="95">
        <v>13.79</v>
      </c>
      <c r="M16" s="95">
        <v>24.93</v>
      </c>
      <c r="N16" s="96">
        <v>40.01</v>
      </c>
      <c r="P16" s="71" t="s">
        <v>145</v>
      </c>
      <c r="Q16" s="103">
        <v>54.17</v>
      </c>
      <c r="R16" s="108"/>
      <c r="S16" s="108"/>
    </row>
    <row r="17" spans="3:19" ht="13.8" thickBot="1" x14ac:dyDescent="0.3">
      <c r="C17" s="80" t="s">
        <v>36</v>
      </c>
      <c r="D17" s="92">
        <v>54.17</v>
      </c>
      <c r="E17" s="94">
        <v>231.5</v>
      </c>
      <c r="F17" s="92">
        <v>12538.9</v>
      </c>
      <c r="G17" s="92">
        <v>-783.8</v>
      </c>
      <c r="H17" s="92">
        <v>11755.2</v>
      </c>
      <c r="I17" s="92">
        <v>2822.81</v>
      </c>
      <c r="J17" s="92">
        <v>75.41</v>
      </c>
      <c r="K17" s="92">
        <v>-3.29</v>
      </c>
      <c r="L17" s="97">
        <v>4.16</v>
      </c>
      <c r="M17" s="97">
        <v>155.88</v>
      </c>
      <c r="N17" s="98" t="s">
        <v>58</v>
      </c>
      <c r="P17" s="74" t="s">
        <v>146</v>
      </c>
      <c r="Q17" s="115">
        <f>Q15/Q16-1</f>
        <v>-0.74529105701818932</v>
      </c>
      <c r="R17" s="108"/>
      <c r="S17" s="108"/>
    </row>
    <row r="20" spans="3:19" ht="39.6" x14ac:dyDescent="0.25">
      <c r="C20" s="89" t="s">
        <v>147</v>
      </c>
      <c r="D20" s="90">
        <f>Q17</f>
        <v>-0.74529105701818932</v>
      </c>
    </row>
    <row r="21" spans="3:19" ht="13.8" thickBot="1" x14ac:dyDescent="0.3"/>
    <row r="22" spans="3:19" ht="13.8" thickBot="1" x14ac:dyDescent="0.3">
      <c r="K22" s="87" t="s">
        <v>133</v>
      </c>
      <c r="L22" s="116">
        <f>BENCHMARKING!D28</f>
        <v>0.5</v>
      </c>
    </row>
    <row r="23" spans="3:19" ht="13.8" thickBot="1" x14ac:dyDescent="0.3">
      <c r="K23" s="70" t="s">
        <v>132</v>
      </c>
    </row>
    <row r="24" spans="3:19" x14ac:dyDescent="0.25">
      <c r="K24" s="99">
        <v>0</v>
      </c>
      <c r="L24" s="81">
        <f>PERCENTILE(L7:L16,K24)</f>
        <v>1.86</v>
      </c>
      <c r="M24" s="81">
        <f>PERCENTILE(M7:M16,K24)</f>
        <v>13.42</v>
      </c>
      <c r="N24" s="82">
        <f>PERCENTILE(N7:N16,K24)</f>
        <v>19.059999999999999</v>
      </c>
    </row>
    <row r="25" spans="3:19" x14ac:dyDescent="0.25">
      <c r="K25" s="100">
        <v>0.05</v>
      </c>
      <c r="L25" s="83">
        <f>PERCENTILE(L7:L16,K25)</f>
        <v>4.2959999999999994</v>
      </c>
      <c r="M25" s="83">
        <f>PERCENTILE(M7:M16,K25)</f>
        <v>14.187999999999999</v>
      </c>
      <c r="N25" s="84">
        <f>PERCENTILE(N7:N16,K25)</f>
        <v>19.253499999999999</v>
      </c>
    </row>
    <row r="26" spans="3:19" x14ac:dyDescent="0.25">
      <c r="K26" s="100">
        <v>0.1</v>
      </c>
      <c r="L26" s="83">
        <f>PERCENTILE(L7:L16,K26)</f>
        <v>6.7320000000000002</v>
      </c>
      <c r="M26" s="83">
        <f>PERCENTILE(M7:M16,K26)</f>
        <v>14.956</v>
      </c>
      <c r="N26" s="84">
        <f>PERCENTILE(N7:N16,K26)</f>
        <v>19.446999999999999</v>
      </c>
    </row>
    <row r="27" spans="3:19" x14ac:dyDescent="0.25">
      <c r="K27" s="100">
        <v>0.15</v>
      </c>
      <c r="L27" s="83">
        <f>PERCENTILE(L7:L16,K27)</f>
        <v>8.0419999999999998</v>
      </c>
      <c r="M27" s="83">
        <f>PERCENTILE(M7:M16,K27)</f>
        <v>15.41</v>
      </c>
      <c r="N27" s="84">
        <f>PERCENTILE(N7:N16,K27)</f>
        <v>19.668499999999998</v>
      </c>
    </row>
    <row r="28" spans="3:19" x14ac:dyDescent="0.25">
      <c r="K28" s="100">
        <v>0.2</v>
      </c>
      <c r="L28" s="83">
        <f>PERCENTILE(L7:L16,K28)</f>
        <v>8.2260000000000009</v>
      </c>
      <c r="M28" s="83">
        <f>PERCENTILE(M7:M16,K28)</f>
        <v>15.549999999999999</v>
      </c>
      <c r="N28" s="84">
        <f>PERCENTILE(N7:N16,K28)</f>
        <v>19.898</v>
      </c>
    </row>
    <row r="29" spans="3:19" x14ac:dyDescent="0.25">
      <c r="K29" s="100">
        <v>0.25</v>
      </c>
      <c r="L29" s="83">
        <f>PERCENTILE(L7:L16,K29)</f>
        <v>8.41</v>
      </c>
      <c r="M29" s="83">
        <f>PERCENTILE(M7:M16,K29)</f>
        <v>15.69</v>
      </c>
      <c r="N29" s="84">
        <f>PERCENTILE(N7:N16,K29)</f>
        <v>20.375</v>
      </c>
    </row>
    <row r="30" spans="3:19" x14ac:dyDescent="0.25">
      <c r="K30" s="100">
        <v>0.3</v>
      </c>
      <c r="L30" s="83">
        <f>PERCENTILE(L7:L16,K30)</f>
        <v>8.4340000000000011</v>
      </c>
      <c r="M30" s="83">
        <f>PERCENTILE(M7:M16,K30)</f>
        <v>17.225999999999999</v>
      </c>
      <c r="N30" s="84">
        <f>PERCENTILE(N7:N16,K30)</f>
        <v>21.05</v>
      </c>
    </row>
    <row r="31" spans="3:19" x14ac:dyDescent="0.25">
      <c r="K31" s="100">
        <v>0.35</v>
      </c>
      <c r="L31" s="83">
        <f>PERCENTILE(L7:L16,K31)</f>
        <v>8.4580000000000002</v>
      </c>
      <c r="M31" s="83">
        <f>PERCENTILE(M7:M16,K31)</f>
        <v>18.762</v>
      </c>
      <c r="N31" s="84">
        <f>PERCENTILE(N7:N16,K31)</f>
        <v>22.256</v>
      </c>
    </row>
    <row r="32" spans="3:19" x14ac:dyDescent="0.25">
      <c r="K32" s="100">
        <v>0.4</v>
      </c>
      <c r="L32" s="83">
        <f>PERCENTILE(L7:L16,K32)</f>
        <v>8.7920000000000016</v>
      </c>
      <c r="M32" s="83">
        <f>PERCENTILE(M7:M16,K32)</f>
        <v>20.036000000000001</v>
      </c>
      <c r="N32" s="84">
        <f>PERCENTILE(N7:N16,K32)</f>
        <v>24.523999999999997</v>
      </c>
    </row>
    <row r="33" spans="11:14" x14ac:dyDescent="0.25">
      <c r="K33" s="100">
        <v>0.45</v>
      </c>
      <c r="L33" s="83">
        <f>PERCENTILE(L7:L16,K33)</f>
        <v>9.4359999999999999</v>
      </c>
      <c r="M33" s="83">
        <f>PERCENTILE(M7:M16,K33)</f>
        <v>21.047999999999998</v>
      </c>
      <c r="N33" s="84">
        <f>PERCENTILE(N7:N16,K33)</f>
        <v>26.787999999999997</v>
      </c>
    </row>
    <row r="34" spans="11:14" x14ac:dyDescent="0.25">
      <c r="K34" s="100">
        <v>0.5</v>
      </c>
      <c r="L34" s="83">
        <f>PERCENTILE(L7:L16,K34)</f>
        <v>10.08</v>
      </c>
      <c r="M34" s="83">
        <f>PERCENTILE(M7:M16,K34)</f>
        <v>22.06</v>
      </c>
      <c r="N34" s="84">
        <f>PERCENTILE(N7:N16,K34)</f>
        <v>29.02</v>
      </c>
    </row>
    <row r="35" spans="11:14" x14ac:dyDescent="0.25">
      <c r="K35" s="100">
        <v>0.55000000000000004</v>
      </c>
      <c r="L35" s="83">
        <f>PERCENTILE(L7:L16,K35)</f>
        <v>10.252000000000001</v>
      </c>
      <c r="M35" s="83">
        <f>PERCENTILE(M7:M16,K35)</f>
        <v>22.584</v>
      </c>
      <c r="N35" s="84">
        <f>PERCENTILE(N7:N16,K35)</f>
        <v>31.252000000000002</v>
      </c>
    </row>
    <row r="36" spans="11:14" x14ac:dyDescent="0.25">
      <c r="K36" s="100">
        <v>0.6</v>
      </c>
      <c r="L36" s="83">
        <f>PERCENTILE(L7:L16,K36)</f>
        <v>10.423999999999999</v>
      </c>
      <c r="M36" s="83">
        <f>PERCENTILE(M7:M16,K36)</f>
        <v>23.108000000000001</v>
      </c>
      <c r="N36" s="84">
        <f>PERCENTILE(N7:N16,K36)</f>
        <v>31.84</v>
      </c>
    </row>
    <row r="37" spans="11:14" x14ac:dyDescent="0.25">
      <c r="K37" s="100">
        <v>0.65</v>
      </c>
      <c r="L37" s="83">
        <f>PERCENTILE(L7:L16,K37)</f>
        <v>10.981999999999999</v>
      </c>
      <c r="M37" s="83">
        <f>PERCENTILE(M7:M16,K37)</f>
        <v>23.682000000000002</v>
      </c>
      <c r="N37" s="84">
        <f>PERCENTILE(N7:N16,K37)</f>
        <v>32.222500000000004</v>
      </c>
    </row>
    <row r="38" spans="11:14" x14ac:dyDescent="0.25">
      <c r="K38" s="100">
        <v>0.7</v>
      </c>
      <c r="L38" s="83">
        <f>PERCENTILE(L7:L16,K38)</f>
        <v>11.925999999999998</v>
      </c>
      <c r="M38" s="83">
        <f>PERCENTILE(M7:M16,K38)</f>
        <v>24.306000000000001</v>
      </c>
      <c r="N38" s="84">
        <f>PERCENTILE(N7:N16,K38)</f>
        <v>33.168999999999997</v>
      </c>
    </row>
    <row r="39" spans="11:14" x14ac:dyDescent="0.25">
      <c r="K39" s="100">
        <v>0.75</v>
      </c>
      <c r="L39" s="83">
        <f>PERCENTILE(L7:L16,K39)</f>
        <v>12.87</v>
      </c>
      <c r="M39" s="83">
        <f>PERCENTILE(M7:M16,K39)</f>
        <v>24.93</v>
      </c>
      <c r="N39" s="84">
        <f>PERCENTILE(N7:N16,K39)</f>
        <v>34.397500000000001</v>
      </c>
    </row>
    <row r="40" spans="11:14" x14ac:dyDescent="0.25">
      <c r="K40" s="100">
        <v>0.8</v>
      </c>
      <c r="L40" s="83">
        <f>PERCENTILE(L7:L16,K40)</f>
        <v>13.238</v>
      </c>
      <c r="M40" s="83">
        <f>PERCENTILE(M7:M16,K40)</f>
        <v>25.69</v>
      </c>
      <c r="N40" s="84">
        <f>PERCENTILE(N7:N16,K40)</f>
        <v>35.113999999999997</v>
      </c>
    </row>
    <row r="41" spans="11:14" x14ac:dyDescent="0.25">
      <c r="K41" s="100">
        <v>0.85</v>
      </c>
      <c r="L41" s="83">
        <f>PERCENTILE(L7:L16,K41)</f>
        <v>13.605999999999998</v>
      </c>
      <c r="M41" s="83">
        <f>PERCENTILE(M7:M16,K41)</f>
        <v>26.45</v>
      </c>
      <c r="N41" s="84">
        <f>PERCENTILE(N7:N16,K41)</f>
        <v>35.1905</v>
      </c>
    </row>
    <row r="42" spans="11:14" x14ac:dyDescent="0.25">
      <c r="K42" s="100">
        <v>0.9</v>
      </c>
      <c r="L42" s="83">
        <f>PERCENTILE(L7:L16,K42)</f>
        <v>14.259999999999998</v>
      </c>
      <c r="M42" s="83">
        <f>PERCENTILE(M7:M16,K42)</f>
        <v>27.031999999999996</v>
      </c>
      <c r="N42" s="84">
        <f>PERCENTILE(N7:N16,K42)</f>
        <v>35.725999999999999</v>
      </c>
    </row>
    <row r="43" spans="11:14" x14ac:dyDescent="0.25">
      <c r="K43" s="100">
        <v>0.95</v>
      </c>
      <c r="L43" s="83">
        <f>PERCENTILE(L7:L16,K43)</f>
        <v>15.2</v>
      </c>
      <c r="M43" s="83">
        <f>PERCENTILE(M7:M16,K43)</f>
        <v>27.436</v>
      </c>
      <c r="N43" s="84">
        <f>PERCENTILE(N7:N16,K43)</f>
        <v>37.867999999999995</v>
      </c>
    </row>
    <row r="44" spans="11:14" ht="13.8" thickBot="1" x14ac:dyDescent="0.3">
      <c r="K44" s="101">
        <v>1</v>
      </c>
      <c r="L44" s="85">
        <f>PERCENTILE(L7:L16,K44)</f>
        <v>16.14</v>
      </c>
      <c r="M44" s="85">
        <f>PERCENTILE(M7:M16,K44)</f>
        <v>27.84</v>
      </c>
      <c r="N44" s="86">
        <f>PERCENTILE(N7:N16,K44)</f>
        <v>40.01</v>
      </c>
    </row>
  </sheetData>
  <conditionalFormatting sqref="Q17">
    <cfRule type="cellIs" dxfId="3" priority="4" operator="greaterThan">
      <formula>0</formula>
    </cfRule>
    <cfRule type="cellIs" dxfId="2" priority="3" operator="lessThan">
      <formula>0</formula>
    </cfRule>
    <cfRule type="cellIs" dxfId="1" priority="2" operator="greaterThan">
      <formula>0</formula>
    </cfRule>
    <cfRule type="cellIs" dxfId="0" priority="1" operator="lessThan">
      <formula>0</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D879D-BCDD-4E10-A25F-5FF34D65FB5A}">
  <sheetPr codeName="Sheet2"/>
  <dimension ref="C5:O51"/>
  <sheetViews>
    <sheetView showGridLines="0" workbookViewId="0"/>
  </sheetViews>
  <sheetFormatPr defaultRowHeight="10.199999999999999" x14ac:dyDescent="0.2"/>
  <cols>
    <col min="1" max="2" width="8.88671875" style="30"/>
    <col min="3" max="3" width="13" style="30" bestFit="1" customWidth="1"/>
    <col min="4" max="4" width="8.109375" style="30" bestFit="1" customWidth="1"/>
    <col min="5" max="5" width="7.21875" style="30" bestFit="1" customWidth="1"/>
    <col min="6" max="6" width="7.44140625" style="30" bestFit="1" customWidth="1"/>
    <col min="7" max="7" width="7.21875" style="30" bestFit="1" customWidth="1"/>
    <col min="8" max="8" width="8.109375" style="30" bestFit="1" customWidth="1"/>
    <col min="9" max="9" width="7.77734375" style="30" bestFit="1" customWidth="1"/>
    <col min="10" max="10" width="7.88671875" style="30" bestFit="1" customWidth="1"/>
    <col min="11" max="11" width="7.77734375" style="30" bestFit="1" customWidth="1"/>
    <col min="12" max="12" width="8.109375" style="30" bestFit="1" customWidth="1"/>
    <col min="13" max="14" width="8.6640625" style="30" bestFit="1" customWidth="1"/>
    <col min="15" max="16384" width="8.88671875" style="30"/>
  </cols>
  <sheetData>
    <row r="5" spans="3:15" ht="10.8" thickBot="1" x14ac:dyDescent="0.25"/>
    <row r="6" spans="3:15" ht="51.6" thickBot="1" x14ac:dyDescent="0.25">
      <c r="C6" s="44" t="s">
        <v>8</v>
      </c>
      <c r="D6" s="52" t="s">
        <v>63</v>
      </c>
      <c r="E6" s="52" t="s">
        <v>64</v>
      </c>
      <c r="F6" s="52" t="s">
        <v>65</v>
      </c>
      <c r="G6" s="52" t="s">
        <v>66</v>
      </c>
      <c r="H6" s="52" t="s">
        <v>67</v>
      </c>
      <c r="I6" s="52" t="s">
        <v>68</v>
      </c>
      <c r="J6" s="52" t="s">
        <v>69</v>
      </c>
      <c r="K6" s="52" t="s">
        <v>70</v>
      </c>
      <c r="L6" s="52" t="s">
        <v>71</v>
      </c>
      <c r="M6" s="52" t="s">
        <v>72</v>
      </c>
      <c r="N6" s="52" t="s">
        <v>73</v>
      </c>
      <c r="O6" s="53" t="s">
        <v>74</v>
      </c>
    </row>
    <row r="7" spans="3:15" ht="30.6" x14ac:dyDescent="0.2">
      <c r="C7" s="50" t="s">
        <v>25</v>
      </c>
      <c r="D7" s="56">
        <v>0.44</v>
      </c>
      <c r="E7" s="57">
        <v>0.28399999999999997</v>
      </c>
      <c r="F7" s="57">
        <v>0.24399999999999999</v>
      </c>
      <c r="G7" s="58">
        <v>5.9400000000000001E-2</v>
      </c>
      <c r="H7" s="58">
        <v>0.13270000000000001</v>
      </c>
      <c r="I7" s="58">
        <v>0.14899999999999999</v>
      </c>
      <c r="J7" s="58">
        <v>0.17879999999999999</v>
      </c>
      <c r="K7" s="58">
        <v>-0.55579999999999996</v>
      </c>
      <c r="L7" s="58">
        <v>0.35289999999999999</v>
      </c>
      <c r="M7" s="59">
        <v>1.6</v>
      </c>
      <c r="N7" s="58">
        <v>3.9699999999999999E-2</v>
      </c>
      <c r="O7" s="60">
        <v>0.49</v>
      </c>
    </row>
    <row r="8" spans="3:15" ht="20.399999999999999" x14ac:dyDescent="0.2">
      <c r="C8" s="50" t="s">
        <v>27</v>
      </c>
      <c r="D8" s="54">
        <v>1</v>
      </c>
      <c r="E8" s="40">
        <v>0.67</v>
      </c>
      <c r="F8" s="40">
        <v>0.59899999999999998</v>
      </c>
      <c r="G8" s="41">
        <v>0.56110000000000004</v>
      </c>
      <c r="H8" s="41">
        <v>6.9400000000000003E-2</v>
      </c>
      <c r="I8" s="41">
        <v>9.6600000000000005E-2</v>
      </c>
      <c r="J8" s="41">
        <v>0.1164</v>
      </c>
      <c r="K8" s="41">
        <v>3.27E-2</v>
      </c>
      <c r="L8" s="41">
        <v>0.1116</v>
      </c>
      <c r="M8" s="42">
        <v>1</v>
      </c>
      <c r="N8" s="41">
        <v>3.7699999999999997E-2</v>
      </c>
      <c r="O8" s="48">
        <v>0.43</v>
      </c>
    </row>
    <row r="9" spans="3:15" ht="30.6" x14ac:dyDescent="0.2">
      <c r="C9" s="50" t="s">
        <v>28</v>
      </c>
      <c r="D9" s="54">
        <v>0.57899999999999996</v>
      </c>
      <c r="E9" s="40">
        <v>0.315</v>
      </c>
      <c r="F9" s="40">
        <v>0.27400000000000002</v>
      </c>
      <c r="G9" s="41">
        <v>0.18360000000000001</v>
      </c>
      <c r="H9" s="41">
        <v>7.8700000000000006E-2</v>
      </c>
      <c r="I9" s="41">
        <v>2.9600000000000001E-2</v>
      </c>
      <c r="J9" s="41">
        <v>5.11E-2</v>
      </c>
      <c r="K9" s="41">
        <v>-2.5600000000000001E-2</v>
      </c>
      <c r="L9" s="41">
        <v>0.47320000000000001</v>
      </c>
      <c r="M9" s="42">
        <v>2.7</v>
      </c>
      <c r="N9" s="41">
        <v>4.4699999999999997E-2</v>
      </c>
      <c r="O9" s="48">
        <v>0.97</v>
      </c>
    </row>
    <row r="10" spans="3:15" ht="30.6" x14ac:dyDescent="0.2">
      <c r="C10" s="50" t="s">
        <v>29</v>
      </c>
      <c r="D10" s="54">
        <v>1</v>
      </c>
      <c r="E10" s="40">
        <v>0.61899999999999999</v>
      </c>
      <c r="F10" s="40">
        <v>0.51100000000000001</v>
      </c>
      <c r="G10" s="41">
        <v>0.1983</v>
      </c>
      <c r="H10" s="41">
        <v>2.0400000000000001E-2</v>
      </c>
      <c r="I10" s="41">
        <v>3.8899999999999997E-2</v>
      </c>
      <c r="J10" s="41">
        <v>5.0999999999999997E-2</v>
      </c>
      <c r="K10" s="41">
        <v>-0.64370000000000005</v>
      </c>
      <c r="L10" s="41">
        <v>0.4476</v>
      </c>
      <c r="M10" s="42">
        <v>4</v>
      </c>
      <c r="N10" s="41">
        <v>7.6499999999999999E-2</v>
      </c>
      <c r="O10" s="48">
        <v>0.93</v>
      </c>
    </row>
    <row r="11" spans="3:15" ht="20.399999999999999" x14ac:dyDescent="0.2">
      <c r="C11" s="50" t="s">
        <v>30</v>
      </c>
      <c r="D11" s="54">
        <v>0.82</v>
      </c>
      <c r="E11" s="40">
        <v>0.58099999999999996</v>
      </c>
      <c r="F11" s="40">
        <v>0.54100000000000004</v>
      </c>
      <c r="G11" s="41">
        <v>0.38619999999999999</v>
      </c>
      <c r="H11" s="41">
        <v>7.3300000000000004E-2</v>
      </c>
      <c r="I11" s="41">
        <v>8.9200000000000002E-2</v>
      </c>
      <c r="J11" s="41">
        <v>8.5599999999999996E-2</v>
      </c>
      <c r="K11" s="41">
        <v>0.16270000000000001</v>
      </c>
      <c r="L11" s="41">
        <v>1.2395</v>
      </c>
      <c r="M11" s="42">
        <v>3.4</v>
      </c>
      <c r="N11" s="41">
        <v>0.15049999999999999</v>
      </c>
      <c r="O11" s="48">
        <v>1.1499999999999999</v>
      </c>
    </row>
    <row r="12" spans="3:15" ht="20.399999999999999" x14ac:dyDescent="0.2">
      <c r="C12" s="50" t="s">
        <v>31</v>
      </c>
      <c r="D12" s="54">
        <v>0.34599999999999997</v>
      </c>
      <c r="E12" s="40">
        <v>-1.4E-2</v>
      </c>
      <c r="F12" s="40">
        <v>-3.3000000000000002E-2</v>
      </c>
      <c r="G12" s="41">
        <v>-3.0800000000000001E-2</v>
      </c>
      <c r="H12" s="41">
        <v>-7.3000000000000001E-3</v>
      </c>
      <c r="I12" s="43" t="s">
        <v>26</v>
      </c>
      <c r="J12" s="43" t="s">
        <v>26</v>
      </c>
      <c r="K12" s="43" t="s">
        <v>26</v>
      </c>
      <c r="L12" s="41">
        <v>0.26900000000000002</v>
      </c>
      <c r="M12" s="43" t="s">
        <v>58</v>
      </c>
      <c r="N12" s="41">
        <v>0.30980000000000002</v>
      </c>
      <c r="O12" s="48">
        <v>2.35</v>
      </c>
    </row>
    <row r="13" spans="3:15" ht="30.6" x14ac:dyDescent="0.2">
      <c r="C13" s="50" t="s">
        <v>32</v>
      </c>
      <c r="D13" s="54">
        <v>0.94399999999999995</v>
      </c>
      <c r="E13" s="43" t="s">
        <v>26</v>
      </c>
      <c r="F13" s="43" t="s">
        <v>26</v>
      </c>
      <c r="G13" s="41">
        <v>0.26040000000000002</v>
      </c>
      <c r="H13" s="41">
        <v>8.3599999999999994E-2</v>
      </c>
      <c r="I13" s="43" t="s">
        <v>26</v>
      </c>
      <c r="J13" s="43" t="s">
        <v>26</v>
      </c>
      <c r="K13" s="41">
        <v>0.29880000000000001</v>
      </c>
      <c r="L13" s="41">
        <v>4.5999999999999999E-3</v>
      </c>
      <c r="M13" s="43" t="s">
        <v>26</v>
      </c>
      <c r="N13" s="41">
        <v>0.1143</v>
      </c>
      <c r="O13" s="48">
        <v>0.97</v>
      </c>
    </row>
    <row r="14" spans="3:15" ht="40.799999999999997" x14ac:dyDescent="0.2">
      <c r="C14" s="50" t="s">
        <v>33</v>
      </c>
      <c r="D14" s="54">
        <v>0.53600000000000003</v>
      </c>
      <c r="E14" s="40">
        <v>0.36199999999999999</v>
      </c>
      <c r="F14" s="40">
        <v>0.31</v>
      </c>
      <c r="G14" s="41">
        <v>0.223</v>
      </c>
      <c r="H14" s="41">
        <v>0.20430000000000001</v>
      </c>
      <c r="I14" s="41">
        <v>0.29199999999999998</v>
      </c>
      <c r="J14" s="41">
        <v>0.25109999999999999</v>
      </c>
      <c r="K14" s="41">
        <v>6.7699999999999996E-2</v>
      </c>
      <c r="L14" s="41">
        <v>0.54959999999999998</v>
      </c>
      <c r="M14" s="42">
        <v>2.5</v>
      </c>
      <c r="N14" s="41">
        <v>0.1045</v>
      </c>
      <c r="O14" s="48">
        <v>0.83</v>
      </c>
    </row>
    <row r="15" spans="3:15" ht="30.6" x14ac:dyDescent="0.2">
      <c r="C15" s="50" t="s">
        <v>34</v>
      </c>
      <c r="D15" s="54">
        <v>0.7</v>
      </c>
      <c r="E15" s="40">
        <v>0.41699999999999998</v>
      </c>
      <c r="F15" s="40">
        <v>0.35399999999999998</v>
      </c>
      <c r="G15" s="41">
        <v>0.25419999999999998</v>
      </c>
      <c r="H15" s="41">
        <v>-0.1179</v>
      </c>
      <c r="I15" s="41">
        <v>-0.22570000000000001</v>
      </c>
      <c r="J15" s="41">
        <v>-0.27389999999999998</v>
      </c>
      <c r="K15" s="41">
        <v>-0.30309999999999998</v>
      </c>
      <c r="L15" s="41">
        <v>0.72619999999999996</v>
      </c>
      <c r="M15" s="42">
        <v>3.4</v>
      </c>
      <c r="N15" s="41">
        <v>7.0499999999999993E-2</v>
      </c>
      <c r="O15" s="48">
        <v>1.3</v>
      </c>
    </row>
    <row r="16" spans="3:15" ht="40.799999999999997" x14ac:dyDescent="0.2">
      <c r="C16" s="50" t="s">
        <v>35</v>
      </c>
      <c r="D16" s="54">
        <v>0.92400000000000004</v>
      </c>
      <c r="E16" s="40">
        <v>0.52400000000000002</v>
      </c>
      <c r="F16" s="40">
        <v>0.45400000000000001</v>
      </c>
      <c r="G16" s="41">
        <v>0.3523</v>
      </c>
      <c r="H16" s="41">
        <v>6.6500000000000004E-2</v>
      </c>
      <c r="I16" s="41">
        <v>3.5099999999999999E-2</v>
      </c>
      <c r="J16" s="41">
        <v>3.7999999999999999E-2</v>
      </c>
      <c r="K16" s="41">
        <v>6.9699999999999998E-2</v>
      </c>
      <c r="L16" s="41">
        <v>6.7599999999999993E-2</v>
      </c>
      <c r="M16" s="42">
        <v>0.2</v>
      </c>
      <c r="N16" s="41">
        <v>0.13589999999999999</v>
      </c>
      <c r="O16" s="48">
        <v>0.8</v>
      </c>
    </row>
    <row r="17" spans="3:15" ht="41.4" thickBot="1" x14ac:dyDescent="0.25">
      <c r="C17" s="51" t="s">
        <v>36</v>
      </c>
      <c r="D17" s="55">
        <v>1</v>
      </c>
      <c r="E17" s="45">
        <v>-0.60299999999999998</v>
      </c>
      <c r="F17" s="45">
        <v>-0.65200000000000002</v>
      </c>
      <c r="G17" s="46">
        <v>-0.83350000000000002</v>
      </c>
      <c r="H17" s="46">
        <v>-0.59809999999999997</v>
      </c>
      <c r="I17" s="47" t="s">
        <v>26</v>
      </c>
      <c r="J17" s="47" t="s">
        <v>26</v>
      </c>
      <c r="K17" s="47" t="s">
        <v>26</v>
      </c>
      <c r="L17" s="46">
        <v>0.40029999999999999</v>
      </c>
      <c r="M17" s="47" t="s">
        <v>58</v>
      </c>
      <c r="N17" s="47" t="s">
        <v>26</v>
      </c>
      <c r="O17" s="49">
        <v>2.63</v>
      </c>
    </row>
    <row r="27" spans="3:15" ht="10.8" thickBot="1" x14ac:dyDescent="0.25"/>
    <row r="28" spans="3:15" ht="10.8" thickBot="1" x14ac:dyDescent="0.25">
      <c r="C28" s="38" t="s">
        <v>130</v>
      </c>
      <c r="D28" s="36">
        <f>AVERAGE(D29:O29)</f>
        <v>0.5</v>
      </c>
    </row>
    <row r="29" spans="3:15" ht="10.8" thickBot="1" x14ac:dyDescent="0.25">
      <c r="C29" s="39" t="s">
        <v>131</v>
      </c>
      <c r="D29" s="37">
        <f>IFERROR(INDEX(C31:C51,MATCH(D17,D31:D51)),"NA")</f>
        <v>1</v>
      </c>
      <c r="E29" s="34" t="str">
        <f>IFERROR(INDEX(C31:C51,MATCH(E17,E31:E51)),"NA")</f>
        <v>NA</v>
      </c>
      <c r="F29" s="34" t="str">
        <f>IFERROR(INDEX(C31:C51,MATCH(F17,F31:F51)),"NA")</f>
        <v>NA</v>
      </c>
      <c r="G29" s="34" t="str">
        <f>IFERROR(INDEX(C31:C51,MATCH(G17,G31:G51)),"NA")</f>
        <v>NA</v>
      </c>
      <c r="H29" s="34" t="str">
        <f>IFERROR(INDEX(C31:C51,MATCH(H17,H31:H51)),"NA")</f>
        <v>NA</v>
      </c>
      <c r="I29" s="34" t="str">
        <f>IFERROR(INDEX(C31:C51,MATCH(I17,I31:I51)),"NA")</f>
        <v>NA</v>
      </c>
      <c r="J29" s="34" t="str">
        <f>IFERROR(INDEX(C31:C51,MATCH(J17,J31:J51)),"NA")</f>
        <v>NA</v>
      </c>
      <c r="K29" s="34" t="str">
        <f>IFERROR(INDEX(C31:C51,MATCH(K17,K31:K51)),"NA")</f>
        <v>NA</v>
      </c>
      <c r="L29" s="34">
        <f>IFERROR(INDEX(C31:C51,MATCH(L17,L31:L51)),"NA")</f>
        <v>0.5</v>
      </c>
      <c r="M29" s="34" t="str">
        <f>IFERROR((1-INDEX(C31:C51,MATCH(M17,M31:M51))),"NA")</f>
        <v>NA</v>
      </c>
      <c r="N29" s="34" t="str">
        <f>IFERROR(INDEX(C31:C51,MATCH(N17,N31:N51)),"NA")</f>
        <v>NA</v>
      </c>
      <c r="O29" s="35">
        <f>IFERROR((1-INDEX(C31:C51,MATCH(O17,O31:O51))),"NA")</f>
        <v>0</v>
      </c>
    </row>
    <row r="30" spans="3:15" ht="10.8" thickBot="1" x14ac:dyDescent="0.25">
      <c r="C30" s="30" t="s">
        <v>132</v>
      </c>
    </row>
    <row r="31" spans="3:15" x14ac:dyDescent="0.2">
      <c r="C31" s="32">
        <v>0</v>
      </c>
      <c r="D31" s="61">
        <f>PERCENTILE(D7:D16,C31)</f>
        <v>0.34599999999999997</v>
      </c>
      <c r="E31" s="61">
        <f>PERCENTILE(E7:E16,C31)</f>
        <v>-1.4E-2</v>
      </c>
      <c r="F31" s="61">
        <f>PERCENTILE(F7:F16,C31)</f>
        <v>-3.3000000000000002E-2</v>
      </c>
      <c r="G31" s="61">
        <f>PERCENTILE(G7:G16,C31)</f>
        <v>-3.0800000000000001E-2</v>
      </c>
      <c r="H31" s="61">
        <f>PERCENTILE(H7:H16,C31)</f>
        <v>-0.1179</v>
      </c>
      <c r="I31" s="61">
        <f>PERCENTILE(I7:I16,C31)</f>
        <v>-0.22570000000000001</v>
      </c>
      <c r="J31" s="61">
        <f>PERCENTILE(J7:J16,C31)</f>
        <v>-0.27389999999999998</v>
      </c>
      <c r="K31" s="61">
        <f>PERCENTILE(K7:K16,C31)</f>
        <v>-0.64370000000000005</v>
      </c>
      <c r="L31" s="61">
        <f>PERCENTILE(L7:L16,C31)</f>
        <v>4.5999999999999999E-3</v>
      </c>
      <c r="M31" s="64">
        <f>PERCENTILE(M7:M16,C31)</f>
        <v>0.2</v>
      </c>
      <c r="N31" s="61">
        <f>PERCENTILE(N7:N16,C31)</f>
        <v>3.7699999999999997E-2</v>
      </c>
      <c r="O31" s="67">
        <f>PERCENTILE(O7:O16,C31)</f>
        <v>0.43</v>
      </c>
    </row>
    <row r="32" spans="3:15" x14ac:dyDescent="0.2">
      <c r="C32" s="31">
        <v>0.05</v>
      </c>
      <c r="D32" s="62">
        <f>PERCENTILE(D7:D16,C32)</f>
        <v>0.38829999999999998</v>
      </c>
      <c r="E32" s="62">
        <f>PERCENTILE(E7:E16,C32)</f>
        <v>0.10519999999999997</v>
      </c>
      <c r="F32" s="62">
        <f>PERCENTILE(F7:F16,C32)</f>
        <v>7.779999999999998E-2</v>
      </c>
      <c r="G32" s="62">
        <f>PERCENTILE(G7:G16,C32)</f>
        <v>9.7899999999999932E-3</v>
      </c>
      <c r="H32" s="62">
        <f>PERCENTILE(H7:H16,C32)</f>
        <v>-6.813000000000001E-2</v>
      </c>
      <c r="I32" s="62">
        <f>PERCENTILE(I7:I16,C32)</f>
        <v>-0.13634499999999999</v>
      </c>
      <c r="J32" s="62">
        <f>PERCENTILE(J7:J16,C32)</f>
        <v>-0.16473499999999996</v>
      </c>
      <c r="K32" s="62">
        <f>PERCENTILE(K7:K16,C32)</f>
        <v>-0.60854000000000008</v>
      </c>
      <c r="L32" s="62">
        <f>PERCENTILE(L7:L16,C32)</f>
        <v>3.2949999999999993E-2</v>
      </c>
      <c r="M32" s="65">
        <f>PERCENTILE(M7:M16,C32)</f>
        <v>0.48000000000000009</v>
      </c>
      <c r="N32" s="62">
        <f>PERCENTILE(N7:N16,C32)</f>
        <v>3.8599999999999995E-2</v>
      </c>
      <c r="O32" s="68">
        <f>PERCENTILE(O7:O16,C32)</f>
        <v>0.45699999999999996</v>
      </c>
    </row>
    <row r="33" spans="3:15" x14ac:dyDescent="0.2">
      <c r="C33" s="31">
        <v>0.1</v>
      </c>
      <c r="D33" s="62">
        <f>PERCENTILE(D7:D16,C33)</f>
        <v>0.43059999999999998</v>
      </c>
      <c r="E33" s="62">
        <f>PERCENTILE(E7:E16,C33)</f>
        <v>0.22439999999999999</v>
      </c>
      <c r="F33" s="62">
        <f>PERCENTILE(F7:F16,C33)</f>
        <v>0.18860000000000002</v>
      </c>
      <c r="G33" s="62">
        <f>PERCENTILE(G7:G16,C33)</f>
        <v>5.0379999999999987E-2</v>
      </c>
      <c r="H33" s="62">
        <f>PERCENTILE(H7:H16,C33)</f>
        <v>-1.8360000000000015E-2</v>
      </c>
      <c r="I33" s="62">
        <f>PERCENTILE(I7:I16,C33)</f>
        <v>-4.6989999999999948E-2</v>
      </c>
      <c r="J33" s="62">
        <f>PERCENTILE(J7:J16,C33)</f>
        <v>-5.5569999999999953E-2</v>
      </c>
      <c r="K33" s="62">
        <f>PERCENTILE(K7:K16,C33)</f>
        <v>-0.57338</v>
      </c>
      <c r="L33" s="62">
        <f>PERCENTILE(L7:L16,C33)</f>
        <v>6.1299999999999993E-2</v>
      </c>
      <c r="M33" s="65">
        <f>PERCENTILE(M7:M16,C33)</f>
        <v>0.76000000000000023</v>
      </c>
      <c r="N33" s="62">
        <f>PERCENTILE(N7:N16,C33)</f>
        <v>3.95E-2</v>
      </c>
      <c r="O33" s="68">
        <f>PERCENTILE(O7:O16,C33)</f>
        <v>0.48399999999999999</v>
      </c>
    </row>
    <row r="34" spans="3:15" x14ac:dyDescent="0.2">
      <c r="C34" s="31">
        <v>0.15</v>
      </c>
      <c r="D34" s="62">
        <f>PERCENTILE(D7:D16,C34)</f>
        <v>0.47359999999999997</v>
      </c>
      <c r="E34" s="62">
        <f>PERCENTILE(E7:E16,C34)</f>
        <v>0.29020000000000001</v>
      </c>
      <c r="F34" s="62">
        <f>PERCENTILE(F7:F16,C34)</f>
        <v>0.25</v>
      </c>
      <c r="G34" s="62">
        <f>PERCENTILE(G7:G16,C34)</f>
        <v>0.10286999999999996</v>
      </c>
      <c r="H34" s="62">
        <f>PERCENTILE(H7:H16,C34)</f>
        <v>2.3949999999999918E-3</v>
      </c>
      <c r="I34" s="62">
        <f>PERCENTILE(I7:I16,C34)</f>
        <v>2.9874999999999999E-2</v>
      </c>
      <c r="J34" s="62">
        <f>PERCENTILE(J7:J16,C34)</f>
        <v>3.8649999999999997E-2</v>
      </c>
      <c r="K34" s="62">
        <f>PERCENTILE(K7:K16,C34)</f>
        <v>-0.50525999999999993</v>
      </c>
      <c r="L34" s="62">
        <f>PERCENTILE(L7:L16,C34)</f>
        <v>8.2999999999999977E-2</v>
      </c>
      <c r="M34" s="65">
        <f>PERCENTILE(M7:M16,C34)</f>
        <v>1.0299999999999998</v>
      </c>
      <c r="N34" s="62">
        <f>PERCENTILE(N7:N16,C34)</f>
        <v>4.1449999999999994E-2</v>
      </c>
      <c r="O34" s="68">
        <f>PERCENTILE(O7:O16,C34)</f>
        <v>0.59849999999999992</v>
      </c>
    </row>
    <row r="35" spans="3:15" x14ac:dyDescent="0.2">
      <c r="C35" s="31">
        <v>0.2</v>
      </c>
      <c r="D35" s="62">
        <f>PERCENTILE(D7:D16,C35)</f>
        <v>0.51680000000000004</v>
      </c>
      <c r="E35" s="62">
        <f>PERCENTILE(E7:E16,C35)</f>
        <v>0.30259999999999998</v>
      </c>
      <c r="F35" s="62">
        <f>PERCENTILE(F7:F16,C35)</f>
        <v>0.26200000000000001</v>
      </c>
      <c r="G35" s="62">
        <f>PERCENTILE(G7:G16,C35)</f>
        <v>0.15875999999999998</v>
      </c>
      <c r="H35" s="62">
        <f>PERCENTILE(H7:H16,C35)</f>
        <v>1.4859999999999995E-2</v>
      </c>
      <c r="I35" s="62">
        <f>PERCENTILE(I7:I16,C35)</f>
        <v>3.1800000000000002E-2</v>
      </c>
      <c r="J35" s="62">
        <f>PERCENTILE(J7:J16,C35)</f>
        <v>4.3200000000000002E-2</v>
      </c>
      <c r="K35" s="62">
        <f>PERCENTILE(K7:K16,C35)</f>
        <v>-0.40417999999999998</v>
      </c>
      <c r="L35" s="62">
        <f>PERCENTILE(L7:L16,C35)</f>
        <v>0.1028</v>
      </c>
      <c r="M35" s="65">
        <f>PERCENTILE(M7:M16,C35)</f>
        <v>1.2400000000000002</v>
      </c>
      <c r="N35" s="62">
        <f>PERCENTILE(N7:N16,C35)</f>
        <v>4.3699999999999996E-2</v>
      </c>
      <c r="O35" s="68">
        <f>PERCENTILE(O7:O16,C35)</f>
        <v>0.73799999999999999</v>
      </c>
    </row>
    <row r="36" spans="3:15" x14ac:dyDescent="0.2">
      <c r="C36" s="31">
        <v>0.25</v>
      </c>
      <c r="D36" s="62">
        <f>PERCENTILE(D7:D16,C36)</f>
        <v>0.54675000000000007</v>
      </c>
      <c r="E36" s="62">
        <f>PERCENTILE(E7:E16,C36)</f>
        <v>0.315</v>
      </c>
      <c r="F36" s="62">
        <f>PERCENTILE(F7:F16,C36)</f>
        <v>0.27400000000000002</v>
      </c>
      <c r="G36" s="62">
        <f>PERCENTILE(G7:G16,C36)</f>
        <v>0.18727500000000002</v>
      </c>
      <c r="H36" s="62">
        <f>PERCENTILE(H7:H16,C36)</f>
        <v>3.1925000000000002E-2</v>
      </c>
      <c r="I36" s="62">
        <f>PERCENTILE(I7:I16,C36)</f>
        <v>3.3724999999999998E-2</v>
      </c>
      <c r="J36" s="62">
        <f>PERCENTILE(J7:J16,C36)</f>
        <v>4.7750000000000001E-2</v>
      </c>
      <c r="K36" s="62">
        <f>PERCENTILE(K7:K16,C36)</f>
        <v>-0.30309999999999998</v>
      </c>
      <c r="L36" s="62">
        <f>PERCENTILE(L7:L16,C36)</f>
        <v>0.15095</v>
      </c>
      <c r="M36" s="65">
        <f>PERCENTILE(M7:M16,C36)</f>
        <v>1.4500000000000002</v>
      </c>
      <c r="N36" s="62">
        <f>PERCENTILE(N7:N16,C36)</f>
        <v>5.1149999999999994E-2</v>
      </c>
      <c r="O36" s="68">
        <f>PERCENTILE(O7:O16,C36)</f>
        <v>0.8075</v>
      </c>
    </row>
    <row r="37" spans="3:15" x14ac:dyDescent="0.2">
      <c r="C37" s="31">
        <v>0.3</v>
      </c>
      <c r="D37" s="62">
        <f>PERCENTILE(D7:D16,C37)</f>
        <v>0.56609999999999994</v>
      </c>
      <c r="E37" s="62">
        <f>PERCENTILE(E7:E16,C37)</f>
        <v>0.33379999999999999</v>
      </c>
      <c r="F37" s="62">
        <f>PERCENTILE(F7:F16,C37)</f>
        <v>0.28839999999999999</v>
      </c>
      <c r="G37" s="62">
        <f>PERCENTILE(G7:G16,C37)</f>
        <v>0.19389000000000001</v>
      </c>
      <c r="H37" s="62">
        <f>PERCENTILE(H7:H16,C37)</f>
        <v>5.2669999999999988E-2</v>
      </c>
      <c r="I37" s="62">
        <f>PERCENTILE(I7:I16,C37)</f>
        <v>3.5479999999999998E-2</v>
      </c>
      <c r="J37" s="62">
        <f>PERCENTILE(J7:J16,C37)</f>
        <v>5.101E-2</v>
      </c>
      <c r="K37" s="62">
        <f>PERCENTILE(K7:K16,C37)</f>
        <v>-0.19210000000000002</v>
      </c>
      <c r="L37" s="62">
        <f>PERCENTILE(L7:L16,C37)</f>
        <v>0.22177999999999998</v>
      </c>
      <c r="M37" s="65">
        <f>PERCENTILE(M7:M16,C37)</f>
        <v>1.6900000000000002</v>
      </c>
      <c r="N37" s="62">
        <f>PERCENTILE(N7:N16,C37)</f>
        <v>6.2759999999999982E-2</v>
      </c>
      <c r="O37" s="68">
        <f>PERCENTILE(O7:O16,C37)</f>
        <v>0.82099999999999995</v>
      </c>
    </row>
    <row r="38" spans="3:15" x14ac:dyDescent="0.2">
      <c r="C38" s="31">
        <v>0.35</v>
      </c>
      <c r="D38" s="62">
        <f>PERCENTILE(D7:D16,C38)</f>
        <v>0.59714999999999996</v>
      </c>
      <c r="E38" s="62">
        <f>PERCENTILE(E7:E16,C38)</f>
        <v>0.35259999999999997</v>
      </c>
      <c r="F38" s="62">
        <f>PERCENTILE(F7:F16,C38)</f>
        <v>0.30280000000000001</v>
      </c>
      <c r="G38" s="62">
        <f>PERCENTILE(G7:G16,C38)</f>
        <v>0.20200500000000002</v>
      </c>
      <c r="H38" s="62">
        <f>PERCENTILE(H7:H16,C38)</f>
        <v>6.6935000000000008E-2</v>
      </c>
      <c r="I38" s="62">
        <f>PERCENTILE(I7:I16,C38)</f>
        <v>3.6809999999999996E-2</v>
      </c>
      <c r="J38" s="62">
        <f>PERCENTILE(J7:J16,C38)</f>
        <v>5.1045E-2</v>
      </c>
      <c r="K38" s="62">
        <f>PERCENTILE(K7:K16,C38)</f>
        <v>-8.1100000000000061E-2</v>
      </c>
      <c r="L38" s="62">
        <f>PERCENTILE(L7:L16,C38)</f>
        <v>0.28158500000000003</v>
      </c>
      <c r="M38" s="65">
        <f>PERCENTILE(M7:M16,C38)</f>
        <v>2.0049999999999999</v>
      </c>
      <c r="N38" s="62">
        <f>PERCENTILE(N7:N16,C38)</f>
        <v>7.1399999999999991E-2</v>
      </c>
      <c r="O38" s="68">
        <f>PERCENTILE(O7:O16,C38)</f>
        <v>0.84499999999999997</v>
      </c>
    </row>
    <row r="39" spans="3:15" x14ac:dyDescent="0.2">
      <c r="C39" s="31">
        <v>0.4</v>
      </c>
      <c r="D39" s="62">
        <f>PERCENTILE(D7:D16,C39)</f>
        <v>0.65159999999999996</v>
      </c>
      <c r="E39" s="62">
        <f>PERCENTILE(E7:E16,C39)</f>
        <v>0.373</v>
      </c>
      <c r="F39" s="62">
        <f>PERCENTILE(F7:F16,C39)</f>
        <v>0.31880000000000003</v>
      </c>
      <c r="G39" s="62">
        <f>PERCENTILE(G7:G16,C39)</f>
        <v>0.21312</v>
      </c>
      <c r="H39" s="62">
        <f>PERCENTILE(H7:H16,C39)</f>
        <v>6.8240000000000009E-2</v>
      </c>
      <c r="I39" s="62">
        <f>PERCENTILE(I7:I16,C39)</f>
        <v>3.814E-2</v>
      </c>
      <c r="J39" s="62">
        <f>PERCENTILE(J7:J16,C39)</f>
        <v>5.108E-2</v>
      </c>
      <c r="K39" s="62">
        <f>PERCENTILE(K7:K16,C39)</f>
        <v>-1.3939999999999991E-2</v>
      </c>
      <c r="L39" s="62">
        <f>PERCENTILE(L7:L16,C39)</f>
        <v>0.31933999999999996</v>
      </c>
      <c r="M39" s="65">
        <f>PERCENTILE(M7:M16,C39)</f>
        <v>2.3200000000000003</v>
      </c>
      <c r="N39" s="62">
        <f>PERCENTILE(N7:N16,C39)</f>
        <v>7.4099999999999999E-2</v>
      </c>
      <c r="O39" s="68">
        <f>PERCENTILE(O7:O16,C39)</f>
        <v>0.89</v>
      </c>
    </row>
    <row r="40" spans="3:15" x14ac:dyDescent="0.2">
      <c r="C40" s="31">
        <v>0.45</v>
      </c>
      <c r="D40" s="62">
        <f>PERCENTILE(D7:D16,C40)</f>
        <v>0.70599999999999996</v>
      </c>
      <c r="E40" s="62">
        <f>PERCENTILE(E7:E16,C40)</f>
        <v>0.39499999999999996</v>
      </c>
      <c r="F40" s="62">
        <f>PERCENTILE(F7:F16,C40)</f>
        <v>0.33639999999999998</v>
      </c>
      <c r="G40" s="62">
        <f>PERCENTILE(G7:G16,C40)</f>
        <v>0.22456000000000001</v>
      </c>
      <c r="H40" s="62">
        <f>PERCENTILE(H7:H16,C40)</f>
        <v>6.9595000000000004E-2</v>
      </c>
      <c r="I40" s="62">
        <f>PERCENTILE(I7:I16,C40)</f>
        <v>4.6445000000000014E-2</v>
      </c>
      <c r="J40" s="62">
        <f>PERCENTILE(J7:J16,C40)</f>
        <v>5.6275000000000013E-2</v>
      </c>
      <c r="K40" s="62">
        <f>PERCENTILE(K7:K16,C40)</f>
        <v>9.3799999999999821E-3</v>
      </c>
      <c r="L40" s="62">
        <f>PERCENTILE(L7:L16,C40)</f>
        <v>0.35763499999999998</v>
      </c>
      <c r="M40" s="65">
        <f>PERCENTILE(M7:M16,C40)</f>
        <v>2.5300000000000002</v>
      </c>
      <c r="N40" s="62">
        <f>PERCENTILE(N7:N16,C40)</f>
        <v>7.7899999999999997E-2</v>
      </c>
      <c r="O40" s="68">
        <f>PERCENTILE(O7:O16,C40)</f>
        <v>0.93200000000000005</v>
      </c>
    </row>
    <row r="41" spans="3:15" x14ac:dyDescent="0.2">
      <c r="C41" s="31">
        <v>0.5</v>
      </c>
      <c r="D41" s="62">
        <f>PERCENTILE(D7:D16,C41)</f>
        <v>0.76</v>
      </c>
      <c r="E41" s="62">
        <f>PERCENTILE(E7:E16,C41)</f>
        <v>0.41699999999999998</v>
      </c>
      <c r="F41" s="62">
        <f>PERCENTILE(F7:F16,C41)</f>
        <v>0.35399999999999998</v>
      </c>
      <c r="G41" s="62">
        <f>PERCENTILE(G7:G16,C41)</f>
        <v>0.23859999999999998</v>
      </c>
      <c r="H41" s="62">
        <f>PERCENTILE(H7:H16,C41)</f>
        <v>7.1349999999999997E-2</v>
      </c>
      <c r="I41" s="62">
        <f>PERCENTILE(I7:I16,C41)</f>
        <v>6.4049999999999996E-2</v>
      </c>
      <c r="J41" s="62">
        <f>PERCENTILE(J7:J16,C41)</f>
        <v>6.8349999999999994E-2</v>
      </c>
      <c r="K41" s="62">
        <f>PERCENTILE(K7:K16,C41)</f>
        <v>3.27E-2</v>
      </c>
      <c r="L41" s="62">
        <f>PERCENTILE(L7:L16,C41)</f>
        <v>0.40024999999999999</v>
      </c>
      <c r="M41" s="65">
        <f>PERCENTILE(M7:M16,C41)</f>
        <v>2.6</v>
      </c>
      <c r="N41" s="62">
        <f>PERCENTILE(N7:N16,C41)</f>
        <v>9.0499999999999997E-2</v>
      </c>
      <c r="O41" s="68">
        <f>PERCENTILE(O7:O16,C41)</f>
        <v>0.95</v>
      </c>
    </row>
    <row r="42" spans="3:15" x14ac:dyDescent="0.2">
      <c r="C42" s="31">
        <v>0.55000000000000004</v>
      </c>
      <c r="D42" s="62">
        <f>PERCENTILE(D7:D16,C42)</f>
        <v>0.81399999999999995</v>
      </c>
      <c r="E42" s="62">
        <f>PERCENTILE(E7:E16,C42)</f>
        <v>0.45980000000000004</v>
      </c>
      <c r="F42" s="62">
        <f>PERCENTILE(F7:F16,C42)</f>
        <v>0.39400000000000002</v>
      </c>
      <c r="G42" s="62">
        <f>PERCENTILE(G7:G16,C42)</f>
        <v>0.25263999999999998</v>
      </c>
      <c r="H42" s="62">
        <f>PERCENTILE(H7:H16,C42)</f>
        <v>7.3105000000000003E-2</v>
      </c>
      <c r="I42" s="62">
        <f>PERCENTILE(I7:I16,C42)</f>
        <v>8.1655000000000033E-2</v>
      </c>
      <c r="J42" s="62">
        <f>PERCENTILE(J7:J16,C42)</f>
        <v>8.042500000000001E-2</v>
      </c>
      <c r="K42" s="62">
        <f>PERCENTILE(K7:K16,C42)</f>
        <v>4.6700000000000012E-2</v>
      </c>
      <c r="L42" s="62">
        <f>PERCENTILE(L7:L16,C42)</f>
        <v>0.44286500000000001</v>
      </c>
      <c r="M42" s="65">
        <f>PERCENTILE(M7:M16,C42)</f>
        <v>2.6700000000000004</v>
      </c>
      <c r="N42" s="62">
        <f>PERCENTILE(N7:N16,C42)</f>
        <v>0.1031</v>
      </c>
      <c r="O42" s="68">
        <f>PERCENTILE(O7:O16,C42)</f>
        <v>0.96799999999999997</v>
      </c>
    </row>
    <row r="43" spans="3:15" x14ac:dyDescent="0.2">
      <c r="C43" s="31">
        <v>0.6</v>
      </c>
      <c r="D43" s="62">
        <f>PERCENTILE(D7:D16,C43)</f>
        <v>0.86159999999999992</v>
      </c>
      <c r="E43" s="62">
        <f>PERCENTILE(E7:E16,C43)</f>
        <v>0.50259999999999994</v>
      </c>
      <c r="F43" s="62">
        <f>PERCENTILE(F7:F16,C43)</f>
        <v>0.434</v>
      </c>
      <c r="G43" s="62">
        <f>PERCENTILE(G7:G16,C43)</f>
        <v>0.25668000000000002</v>
      </c>
      <c r="H43" s="62">
        <f>PERCENTILE(H7:H16,C43)</f>
        <v>7.5459999999999999E-2</v>
      </c>
      <c r="I43" s="62">
        <f>PERCENTILE(I7:I16,C43)</f>
        <v>9.0680000000000011E-2</v>
      </c>
      <c r="J43" s="62">
        <f>PERCENTILE(J7:J16,C43)</f>
        <v>9.1760000000000008E-2</v>
      </c>
      <c r="K43" s="62">
        <f>PERCENTILE(K7:K16,C43)</f>
        <v>6.069999999999999E-2</v>
      </c>
      <c r="L43" s="62">
        <f>PERCENTILE(L7:L16,C43)</f>
        <v>0.45783999999999997</v>
      </c>
      <c r="M43" s="65">
        <f>PERCENTILE(M7:M16,C43)</f>
        <v>2.8400000000000003</v>
      </c>
      <c r="N43" s="62">
        <f>PERCENTILE(N7:N16,C43)</f>
        <v>0.10841999999999999</v>
      </c>
      <c r="O43" s="68">
        <f>PERCENTILE(O7:O16,C43)</f>
        <v>0.97</v>
      </c>
    </row>
    <row r="44" spans="3:15" x14ac:dyDescent="0.2">
      <c r="C44" s="31">
        <v>0.65</v>
      </c>
      <c r="D44" s="62">
        <f>PERCENTILE(D7:D16,C44)</f>
        <v>0.9084000000000001</v>
      </c>
      <c r="E44" s="62">
        <f>PERCENTILE(E7:E16,C44)</f>
        <v>0.53539999999999999</v>
      </c>
      <c r="F44" s="62">
        <f>PERCENTILE(F7:F16,C44)</f>
        <v>0.46540000000000004</v>
      </c>
      <c r="G44" s="62">
        <f>PERCENTILE(G7:G16,C44)</f>
        <v>0.25947000000000003</v>
      </c>
      <c r="H44" s="62">
        <f>PERCENTILE(H7:H16,C44)</f>
        <v>7.7890000000000015E-2</v>
      </c>
      <c r="I44" s="62">
        <f>PERCENTILE(I7:I16,C44)</f>
        <v>9.3270000000000006E-2</v>
      </c>
      <c r="J44" s="62">
        <f>PERCENTILE(J7:J16,C44)</f>
        <v>0.10253999999999999</v>
      </c>
      <c r="K44" s="62">
        <f>PERCENTILE(K7:K16,C44)</f>
        <v>6.8099999999999994E-2</v>
      </c>
      <c r="L44" s="62">
        <f>PERCENTILE(L7:L16,C44)</f>
        <v>0.46936</v>
      </c>
      <c r="M44" s="65">
        <f>PERCENTILE(M7:M16,C44)</f>
        <v>3.085</v>
      </c>
      <c r="N44" s="62">
        <f>PERCENTILE(N7:N16,C44)</f>
        <v>0.11283</v>
      </c>
      <c r="O44" s="68">
        <f>PERCENTILE(O7:O16,C44)</f>
        <v>0.97</v>
      </c>
    </row>
    <row r="45" spans="3:15" x14ac:dyDescent="0.2">
      <c r="C45" s="31">
        <v>0.7</v>
      </c>
      <c r="D45" s="62">
        <f>PERCENTILE(D7:D16,C45)</f>
        <v>0.93</v>
      </c>
      <c r="E45" s="62">
        <f>PERCENTILE(E7:E16,C45)</f>
        <v>0.55819999999999992</v>
      </c>
      <c r="F45" s="62">
        <f>PERCENTILE(F7:F16,C45)</f>
        <v>0.48819999999999997</v>
      </c>
      <c r="G45" s="62">
        <f>PERCENTILE(G7:G16,C45)</f>
        <v>0.28797</v>
      </c>
      <c r="H45" s="62">
        <f>PERCENTILE(H7:H16,C45)</f>
        <v>8.0170000000000005E-2</v>
      </c>
      <c r="I45" s="62">
        <f>PERCENTILE(I7:I16,C45)</f>
        <v>9.5860000000000001E-2</v>
      </c>
      <c r="J45" s="62">
        <f>PERCENTILE(J7:J16,C45)</f>
        <v>0.11331999999999999</v>
      </c>
      <c r="K45" s="62">
        <f>PERCENTILE(K7:K16,C45)</f>
        <v>6.8900000000000003E-2</v>
      </c>
      <c r="L45" s="62">
        <f>PERCENTILE(L7:L16,C45)</f>
        <v>0.49612000000000001</v>
      </c>
      <c r="M45" s="65">
        <f>PERCENTILE(M7:M16,C45)</f>
        <v>3.3299999999999996</v>
      </c>
      <c r="N45" s="62">
        <f>PERCENTILE(N7:N16,C45)</f>
        <v>0.12078</v>
      </c>
      <c r="O45" s="68">
        <f>PERCENTILE(O7:O16,C45)</f>
        <v>1.024</v>
      </c>
    </row>
    <row r="46" spans="3:15" x14ac:dyDescent="0.2">
      <c r="C46" s="31">
        <v>0.75</v>
      </c>
      <c r="D46" s="62">
        <f>PERCENTILE(D7:D16,C46)</f>
        <v>0.93899999999999995</v>
      </c>
      <c r="E46" s="62">
        <f>PERCENTILE(E7:E16,C46)</f>
        <v>0.58099999999999996</v>
      </c>
      <c r="F46" s="62">
        <f>PERCENTILE(F7:F16,C46)</f>
        <v>0.51100000000000001</v>
      </c>
      <c r="G46" s="62">
        <f>PERCENTILE(G7:G16,C46)</f>
        <v>0.32932499999999998</v>
      </c>
      <c r="H46" s="62">
        <f>PERCENTILE(H7:H16,C46)</f>
        <v>8.2375000000000004E-2</v>
      </c>
      <c r="I46" s="62">
        <f>PERCENTILE(I7:I16,C46)</f>
        <v>0.10970000000000001</v>
      </c>
      <c r="J46" s="62">
        <f>PERCENTILE(J7:J16,C46)</f>
        <v>0.13200000000000001</v>
      </c>
      <c r="K46" s="62">
        <f>PERCENTILE(K7:K16,C46)</f>
        <v>6.9699999999999998E-2</v>
      </c>
      <c r="L46" s="62">
        <f>PERCENTILE(L7:L16,C46)</f>
        <v>0.53049999999999997</v>
      </c>
      <c r="M46" s="65">
        <f>PERCENTILE(M7:M16,C46)</f>
        <v>3.4</v>
      </c>
      <c r="N46" s="62">
        <f>PERCENTILE(N7:N16,C46)</f>
        <v>0.1305</v>
      </c>
      <c r="O46" s="68">
        <f>PERCENTILE(O7:O16,C46)</f>
        <v>1.105</v>
      </c>
    </row>
    <row r="47" spans="3:15" x14ac:dyDescent="0.2">
      <c r="C47" s="31">
        <v>0.8</v>
      </c>
      <c r="D47" s="62">
        <f>PERCENTILE(D7:D16,C47)</f>
        <v>0.95519999999999994</v>
      </c>
      <c r="E47" s="62">
        <f>PERCENTILE(E7:E16,C47)</f>
        <v>0.59619999999999995</v>
      </c>
      <c r="F47" s="62">
        <f>PERCENTILE(F7:F16,C47)</f>
        <v>0.52300000000000002</v>
      </c>
      <c r="G47" s="62">
        <f>PERCENTILE(G7:G16,C47)</f>
        <v>0.35907999999999995</v>
      </c>
      <c r="H47" s="62">
        <f>PERCENTILE(H7:H16,C47)</f>
        <v>9.3419999999999961E-2</v>
      </c>
      <c r="I47" s="62">
        <f>PERCENTILE(I7:I16,C47)</f>
        <v>0.12804000000000004</v>
      </c>
      <c r="J47" s="62">
        <f>PERCENTILE(J7:J16,C47)</f>
        <v>0.15384000000000003</v>
      </c>
      <c r="K47" s="62">
        <f>PERCENTILE(K7:K16,C47)</f>
        <v>0.10690000000000004</v>
      </c>
      <c r="L47" s="62">
        <f>PERCENTILE(L7:L16,C47)</f>
        <v>0.58491999999999988</v>
      </c>
      <c r="M47" s="65">
        <f>PERCENTILE(M7:M16,C47)</f>
        <v>3.4</v>
      </c>
      <c r="N47" s="62">
        <f>PERCENTILE(N7:N16,C47)</f>
        <v>0.13881999999999997</v>
      </c>
      <c r="O47" s="68">
        <f>PERCENTILE(O7:O16,C47)</f>
        <v>1.18</v>
      </c>
    </row>
    <row r="48" spans="3:15" x14ac:dyDescent="0.2">
      <c r="C48" s="31">
        <v>0.85</v>
      </c>
      <c r="D48" s="62">
        <f>PERCENTILE(D7:D16,C48)</f>
        <v>0.98039999999999994</v>
      </c>
      <c r="E48" s="62">
        <f>PERCENTILE(E7:E16,C48)</f>
        <v>0.61139999999999994</v>
      </c>
      <c r="F48" s="62">
        <f>PERCENTILE(F7:F16,C48)</f>
        <v>0.53500000000000003</v>
      </c>
      <c r="G48" s="62">
        <f>PERCENTILE(G7:G16,C48)</f>
        <v>0.37433499999999997</v>
      </c>
      <c r="H48" s="62">
        <f>PERCENTILE(H7:H16,C48)</f>
        <v>0.11551499999999994</v>
      </c>
      <c r="I48" s="62">
        <f>PERCENTILE(I7:I16,C48)</f>
        <v>0.14638000000000001</v>
      </c>
      <c r="J48" s="62">
        <f>PERCENTILE(J7:J16,C48)</f>
        <v>0.17568</v>
      </c>
      <c r="K48" s="62">
        <f>PERCENTILE(K7:K16,C48)</f>
        <v>0.14410000000000001</v>
      </c>
      <c r="L48" s="62">
        <f>PERCENTILE(L7:L16,C48)</f>
        <v>0.6643899999999997</v>
      </c>
      <c r="M48" s="65">
        <f>PERCENTILE(M7:M16,C48)</f>
        <v>3.4</v>
      </c>
      <c r="N48" s="62">
        <f>PERCENTILE(N7:N16,C48)</f>
        <v>0.14538999999999996</v>
      </c>
      <c r="O48" s="68">
        <f>PERCENTILE(O7:O16,C48)</f>
        <v>1.2474999999999998</v>
      </c>
    </row>
    <row r="49" spans="3:15" x14ac:dyDescent="0.2">
      <c r="C49" s="31">
        <v>0.9</v>
      </c>
      <c r="D49" s="62">
        <f>PERCENTILE(D7:D16,C49)</f>
        <v>1</v>
      </c>
      <c r="E49" s="62">
        <f>PERCENTILE(E7:E16,C49)</f>
        <v>0.62919999999999998</v>
      </c>
      <c r="F49" s="62">
        <f>PERCENTILE(F7:F16,C49)</f>
        <v>0.55259999999999998</v>
      </c>
      <c r="G49" s="62">
        <f>PERCENTILE(G7:G16,C49)</f>
        <v>0.40368999999999994</v>
      </c>
      <c r="H49" s="62">
        <f>PERCENTILE(H7:H16,C49)</f>
        <v>0.13985999999999998</v>
      </c>
      <c r="I49" s="62">
        <f>PERCENTILE(I7:I16,C49)</f>
        <v>0.19189999999999996</v>
      </c>
      <c r="J49" s="62">
        <f>PERCENTILE(J7:J16,C49)</f>
        <v>0.20048999999999997</v>
      </c>
      <c r="K49" s="62">
        <f>PERCENTILE(K7:K16,C49)</f>
        <v>0.18991999999999992</v>
      </c>
      <c r="L49" s="62">
        <f>PERCENTILE(L7:L16,C49)</f>
        <v>0.77752999999999983</v>
      </c>
      <c r="M49" s="65">
        <f>PERCENTILE(M7:M16,C49)</f>
        <v>3.5799999999999996</v>
      </c>
      <c r="N49" s="62">
        <f>PERCENTILE(N7:N16,C49)</f>
        <v>0.16642999999999994</v>
      </c>
      <c r="O49" s="68">
        <f>PERCENTILE(O7:O16,C49)</f>
        <v>1.4049999999999996</v>
      </c>
    </row>
    <row r="50" spans="3:15" x14ac:dyDescent="0.2">
      <c r="C50" s="31">
        <v>0.95</v>
      </c>
      <c r="D50" s="62">
        <f>PERCENTILE(D7:D16,C50)</f>
        <v>1</v>
      </c>
      <c r="E50" s="62">
        <f>PERCENTILE(E7:E16,C50)</f>
        <v>0.64959999999999996</v>
      </c>
      <c r="F50" s="62">
        <f>PERCENTILE(F7:F16,C50)</f>
        <v>0.57579999999999998</v>
      </c>
      <c r="G50" s="62">
        <f>PERCENTILE(G7:G16,C50)</f>
        <v>0.48239499999999985</v>
      </c>
      <c r="H50" s="62">
        <f>PERCENTILE(H7:H16,C50)</f>
        <v>0.17207999999999993</v>
      </c>
      <c r="I50" s="62">
        <f>PERCENTILE(I7:I16,C50)</f>
        <v>0.24194999999999992</v>
      </c>
      <c r="J50" s="62">
        <f>PERCENTILE(J7:J16,C50)</f>
        <v>0.22579499999999994</v>
      </c>
      <c r="K50" s="62">
        <f>PERCENTILE(K7:K16,C50)</f>
        <v>0.24435999999999997</v>
      </c>
      <c r="L50" s="62">
        <f>PERCENTILE(L7:L16,C50)</f>
        <v>1.0085149999999994</v>
      </c>
      <c r="M50" s="65">
        <f>PERCENTILE(M7:M16,C50)</f>
        <v>3.7899999999999996</v>
      </c>
      <c r="N50" s="62">
        <f>PERCENTILE(N7:N16,C50)</f>
        <v>0.23811499999999985</v>
      </c>
      <c r="O50" s="68">
        <f>PERCENTILE(O7:O16,C50)</f>
        <v>1.8774999999999991</v>
      </c>
    </row>
    <row r="51" spans="3:15" ht="10.8" thickBot="1" x14ac:dyDescent="0.25">
      <c r="C51" s="33">
        <v>1</v>
      </c>
      <c r="D51" s="63">
        <f>PERCENTILE(D7:D16,C51)</f>
        <v>1</v>
      </c>
      <c r="E51" s="63">
        <f>PERCENTILE(E7:E16,C51)</f>
        <v>0.67</v>
      </c>
      <c r="F51" s="63">
        <f>PERCENTILE(F7:F16,C51)</f>
        <v>0.59899999999999998</v>
      </c>
      <c r="G51" s="63">
        <f>PERCENTILE(G7:G16,C51)</f>
        <v>0.56110000000000004</v>
      </c>
      <c r="H51" s="63">
        <f>PERCENTILE(H7:H16,C51)</f>
        <v>0.20430000000000001</v>
      </c>
      <c r="I51" s="63">
        <f>PERCENTILE(I7:I16,C51)</f>
        <v>0.29199999999999998</v>
      </c>
      <c r="J51" s="63">
        <f>PERCENTILE(J7:J16,C51)</f>
        <v>0.25109999999999999</v>
      </c>
      <c r="K51" s="63">
        <f>PERCENTILE(K7:K16,C51)</f>
        <v>0.29880000000000001</v>
      </c>
      <c r="L51" s="63">
        <f>PERCENTILE(L7:L16,C51)</f>
        <v>1.2395</v>
      </c>
      <c r="M51" s="66">
        <f>PERCENTILE(M7:M16,C51)</f>
        <v>4</v>
      </c>
      <c r="N51" s="63">
        <f>PERCENTILE(N7:N16,C51)</f>
        <v>0.30980000000000002</v>
      </c>
      <c r="O51" s="69">
        <f>PERCENTILE(O7:O16,C51)</f>
        <v>2.35</v>
      </c>
    </row>
  </sheetData>
  <conditionalFormatting sqref="D29:O29">
    <cfRule type="colorScale" priority="1">
      <colorScale>
        <cfvo type="min"/>
        <cfvo type="percentile" val="50"/>
        <cfvo type="max"/>
        <color rgb="FFF8696B"/>
        <color rgb="FFFFEB84"/>
        <color rgb="FF63BE7B"/>
      </colorScale>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33FA0D-264A-4986-A311-969D14E5B8BD}">
  <sheetPr codeName="Sheet3">
    <outlinePr summaryBelow="0" summaryRight="0"/>
  </sheetPr>
  <dimension ref="A4:IU50"/>
  <sheetViews>
    <sheetView defaultGridColor="0" colorId="0" workbookViewId="0"/>
  </sheetViews>
  <sheetFormatPr defaultRowHeight="10.199999999999999" x14ac:dyDescent="0.2"/>
  <cols>
    <col min="1" max="1" width="47.88671875" customWidth="1"/>
    <col min="2" max="17" width="20.88671875" customWidth="1"/>
  </cols>
  <sheetData>
    <row r="4" spans="1:255" ht="16.2" x14ac:dyDescent="0.25">
      <c r="A4" s="1" t="s">
        <v>0</v>
      </c>
    </row>
    <row r="7" spans="1:255" x14ac:dyDescent="0.2">
      <c r="A7" s="2" t="s">
        <v>1</v>
      </c>
      <c r="B7" s="2"/>
      <c r="C7" s="2"/>
      <c r="D7" s="2"/>
      <c r="E7" s="2"/>
      <c r="F7" s="2"/>
      <c r="G7" s="2"/>
      <c r="H7" s="2"/>
      <c r="I7" s="2"/>
      <c r="J7" s="2"/>
      <c r="K7" s="2"/>
      <c r="L7" s="2"/>
      <c r="M7" s="2"/>
      <c r="N7" s="2"/>
      <c r="O7" s="2"/>
      <c r="P7" s="2"/>
      <c r="Q7" s="2"/>
      <c r="R7" s="28"/>
      <c r="S7" s="28"/>
      <c r="T7" s="28"/>
      <c r="U7" s="28"/>
      <c r="V7" s="28"/>
      <c r="W7" s="28"/>
      <c r="X7" s="28"/>
      <c r="Y7" s="28"/>
      <c r="Z7" s="28"/>
      <c r="AA7" s="28"/>
      <c r="AB7" s="28"/>
      <c r="AC7" s="28"/>
      <c r="AD7" s="28"/>
      <c r="AE7" s="28"/>
      <c r="AF7" s="28"/>
      <c r="AG7" s="28"/>
      <c r="AH7" s="28"/>
      <c r="AI7" s="28"/>
      <c r="AJ7" s="28"/>
      <c r="AK7" s="28"/>
      <c r="AL7" s="28"/>
      <c r="AM7" s="28"/>
      <c r="AN7" s="28"/>
      <c r="AO7" s="28"/>
      <c r="AP7" s="28"/>
      <c r="AQ7" s="28"/>
      <c r="AR7" s="28"/>
      <c r="AS7" s="28"/>
      <c r="AT7" s="28"/>
      <c r="AU7" s="28"/>
      <c r="AV7" s="28"/>
      <c r="AW7" s="28"/>
      <c r="AX7" s="28"/>
      <c r="AY7" s="28"/>
      <c r="AZ7" s="28"/>
      <c r="BA7" s="28"/>
      <c r="BB7" s="28"/>
      <c r="BC7" s="28"/>
      <c r="BD7" s="28"/>
      <c r="BE7" s="28"/>
      <c r="BF7" s="28"/>
      <c r="BG7" s="28"/>
      <c r="BH7" s="28"/>
      <c r="BI7" s="28"/>
      <c r="BJ7" s="28"/>
      <c r="BK7" s="28"/>
      <c r="BL7" s="28"/>
      <c r="BM7" s="28"/>
      <c r="BN7" s="28"/>
      <c r="BO7" s="28"/>
      <c r="BP7" s="28"/>
      <c r="BQ7" s="28"/>
      <c r="BR7" s="28"/>
      <c r="BS7" s="28"/>
      <c r="BT7" s="28"/>
      <c r="BU7" s="28"/>
      <c r="BV7" s="28"/>
      <c r="BW7" s="28"/>
      <c r="BX7" s="28"/>
      <c r="BY7" s="28"/>
      <c r="BZ7" s="28"/>
      <c r="CA7" s="28"/>
      <c r="CB7" s="28"/>
      <c r="CC7" s="28"/>
      <c r="CD7" s="28"/>
      <c r="CE7" s="28"/>
      <c r="CF7" s="28"/>
      <c r="CG7" s="28"/>
      <c r="CH7" s="28"/>
      <c r="CI7" s="28"/>
      <c r="CJ7" s="28"/>
      <c r="CK7" s="28"/>
      <c r="CL7" s="28"/>
      <c r="CM7" s="28"/>
      <c r="CN7" s="28"/>
      <c r="CO7" s="28"/>
      <c r="CP7" s="28"/>
      <c r="CQ7" s="28"/>
      <c r="CR7" s="28"/>
      <c r="CS7" s="28"/>
      <c r="CT7" s="28"/>
      <c r="CU7" s="28"/>
      <c r="CV7" s="28"/>
      <c r="CW7" s="28"/>
      <c r="CX7" s="28"/>
      <c r="CY7" s="28"/>
      <c r="CZ7" s="28"/>
      <c r="DA7" s="28"/>
      <c r="DB7" s="28"/>
      <c r="DC7" s="28"/>
      <c r="DD7" s="28"/>
      <c r="DE7" s="28"/>
      <c r="DF7" s="28"/>
      <c r="DG7" s="28"/>
      <c r="DH7" s="28"/>
      <c r="DI7" s="28"/>
      <c r="DJ7" s="28"/>
      <c r="DK7" s="28"/>
      <c r="DL7" s="28"/>
      <c r="DM7" s="28"/>
      <c r="DN7" s="28"/>
      <c r="DO7" s="28"/>
      <c r="DP7" s="28"/>
      <c r="DQ7" s="28"/>
      <c r="DR7" s="28"/>
      <c r="DS7" s="28"/>
      <c r="DT7" s="28"/>
      <c r="DU7" s="28"/>
      <c r="DV7" s="28"/>
      <c r="DW7" s="28"/>
      <c r="DX7" s="28"/>
      <c r="DY7" s="28"/>
      <c r="DZ7" s="28"/>
      <c r="EA7" s="28"/>
      <c r="EB7" s="28"/>
      <c r="EC7" s="28"/>
      <c r="ED7" s="28"/>
      <c r="EE7" s="28"/>
      <c r="EF7" s="28"/>
      <c r="EG7" s="28"/>
      <c r="EH7" s="28"/>
      <c r="EI7" s="28"/>
      <c r="EJ7" s="28"/>
      <c r="EK7" s="28"/>
      <c r="EL7" s="28"/>
      <c r="EM7" s="28"/>
      <c r="EN7" s="28"/>
      <c r="EO7" s="28"/>
      <c r="EP7" s="28"/>
      <c r="EQ7" s="28"/>
      <c r="ER7" s="28"/>
      <c r="ES7" s="28"/>
      <c r="ET7" s="28"/>
      <c r="EU7" s="28"/>
      <c r="EV7" s="28"/>
      <c r="EW7" s="28"/>
      <c r="EX7" s="28"/>
      <c r="EY7" s="28"/>
      <c r="EZ7" s="28"/>
      <c r="FA7" s="28"/>
      <c r="FB7" s="28"/>
      <c r="FC7" s="28"/>
      <c r="FD7" s="28"/>
      <c r="FE7" s="28"/>
      <c r="FF7" s="28"/>
      <c r="FG7" s="28"/>
      <c r="FH7" s="28"/>
      <c r="FI7" s="28"/>
      <c r="FJ7" s="28"/>
      <c r="FK7" s="28"/>
      <c r="FL7" s="28"/>
      <c r="FM7" s="28"/>
      <c r="FN7" s="28"/>
      <c r="FO7" s="28"/>
      <c r="FP7" s="28"/>
      <c r="FQ7" s="28"/>
      <c r="FR7" s="28"/>
      <c r="FS7" s="28"/>
      <c r="FT7" s="28"/>
      <c r="FU7" s="28"/>
      <c r="FV7" s="28"/>
      <c r="FW7" s="28"/>
      <c r="FX7" s="28"/>
      <c r="FY7" s="28"/>
      <c r="FZ7" s="28"/>
      <c r="GA7" s="28"/>
      <c r="GB7" s="28"/>
      <c r="GC7" s="28"/>
      <c r="GD7" s="28"/>
      <c r="GE7" s="28"/>
      <c r="GF7" s="28"/>
      <c r="GG7" s="28"/>
      <c r="GH7" s="28"/>
      <c r="GI7" s="28"/>
      <c r="GJ7" s="28"/>
      <c r="GK7" s="28"/>
      <c r="GL7" s="28"/>
      <c r="GM7" s="28"/>
      <c r="GN7" s="28"/>
      <c r="GO7" s="28"/>
      <c r="GP7" s="28"/>
      <c r="GQ7" s="28"/>
      <c r="GR7" s="28"/>
      <c r="GS7" s="28"/>
      <c r="GT7" s="28"/>
      <c r="GU7" s="28"/>
      <c r="GV7" s="28"/>
      <c r="GW7" s="28"/>
      <c r="GX7" s="28"/>
      <c r="GY7" s="28"/>
      <c r="GZ7" s="28"/>
      <c r="HA7" s="28"/>
      <c r="HB7" s="28"/>
      <c r="HC7" s="28"/>
      <c r="HD7" s="28"/>
      <c r="HE7" s="28"/>
      <c r="HF7" s="28"/>
      <c r="HG7" s="28"/>
      <c r="HH7" s="28"/>
      <c r="HI7" s="28"/>
      <c r="HJ7" s="28"/>
      <c r="HK7" s="28"/>
      <c r="HL7" s="28"/>
      <c r="HM7" s="28"/>
      <c r="HN7" s="28"/>
      <c r="HO7" s="28"/>
      <c r="HP7" s="28"/>
      <c r="HQ7" s="28"/>
      <c r="HR7" s="28"/>
      <c r="HS7" s="28"/>
      <c r="HT7" s="28"/>
      <c r="HU7" s="28"/>
      <c r="HV7" s="28"/>
      <c r="HW7" s="28"/>
      <c r="HX7" s="28"/>
      <c r="HY7" s="28"/>
      <c r="HZ7" s="28"/>
      <c r="IA7" s="28"/>
      <c r="IB7" s="28"/>
      <c r="IC7" s="28"/>
      <c r="ID7" s="28"/>
      <c r="IE7" s="28"/>
      <c r="IF7" s="28"/>
      <c r="IG7" s="28"/>
      <c r="IH7" s="28"/>
      <c r="II7" s="28"/>
      <c r="IJ7" s="28"/>
      <c r="IK7" s="28"/>
      <c r="IL7" s="28"/>
      <c r="IM7" s="28"/>
      <c r="IN7" s="28"/>
      <c r="IO7" s="28"/>
      <c r="IP7" s="28"/>
      <c r="IQ7" s="28"/>
      <c r="IR7" s="28"/>
      <c r="IS7" s="28"/>
      <c r="IT7" s="28"/>
      <c r="IU7" s="28"/>
    </row>
    <row r="8" spans="1:255" x14ac:dyDescent="0.2">
      <c r="A8" s="3" t="s">
        <v>2</v>
      </c>
      <c r="B8" s="4" t="s">
        <v>3</v>
      </c>
    </row>
    <row r="9" spans="1:255" x14ac:dyDescent="0.2">
      <c r="A9" s="3" t="s">
        <v>4</v>
      </c>
      <c r="B9" s="4" t="s">
        <v>5</v>
      </c>
    </row>
    <row r="10" spans="1:255" x14ac:dyDescent="0.2">
      <c r="A10" s="3" t="s">
        <v>6</v>
      </c>
      <c r="B10" s="5">
        <v>45043</v>
      </c>
    </row>
    <row r="11" spans="1:255" x14ac:dyDescent="0.2">
      <c r="A11" s="6"/>
    </row>
    <row r="13" spans="1:255" x14ac:dyDescent="0.2">
      <c r="A13" s="2" t="s">
        <v>7</v>
      </c>
      <c r="B13" s="2"/>
      <c r="C13" s="2"/>
      <c r="D13" s="2"/>
      <c r="E13" s="2"/>
      <c r="F13" s="2"/>
      <c r="G13" s="2"/>
      <c r="H13" s="2"/>
      <c r="I13" s="2"/>
      <c r="J13" s="2"/>
      <c r="K13" s="2"/>
      <c r="L13" s="2"/>
      <c r="M13" s="2"/>
      <c r="N13" s="2"/>
      <c r="O13" s="2"/>
      <c r="P13" s="2"/>
      <c r="Q13" s="2"/>
      <c r="R13" s="28"/>
      <c r="S13" s="28"/>
      <c r="T13" s="28"/>
      <c r="U13" s="28"/>
      <c r="V13" s="28"/>
      <c r="W13" s="28"/>
      <c r="X13" s="28"/>
      <c r="Y13" s="28"/>
      <c r="Z13" s="28"/>
      <c r="AA13" s="28"/>
      <c r="AB13" s="28"/>
      <c r="AC13" s="28"/>
      <c r="AD13" s="28"/>
      <c r="AE13" s="28"/>
      <c r="AF13" s="28"/>
      <c r="AG13" s="28"/>
      <c r="AH13" s="28"/>
      <c r="AI13" s="28"/>
      <c r="AJ13" s="28"/>
      <c r="AK13" s="28"/>
      <c r="AL13" s="28"/>
      <c r="AM13" s="28"/>
      <c r="AN13" s="28"/>
      <c r="AO13" s="28"/>
      <c r="AP13" s="28"/>
      <c r="AQ13" s="28"/>
      <c r="AR13" s="28"/>
      <c r="AS13" s="28"/>
      <c r="AT13" s="28"/>
      <c r="AU13" s="28"/>
      <c r="AV13" s="28"/>
      <c r="AW13" s="28"/>
      <c r="AX13" s="28"/>
      <c r="AY13" s="28"/>
      <c r="AZ13" s="28"/>
      <c r="BA13" s="28"/>
      <c r="BB13" s="28"/>
      <c r="BC13" s="28"/>
      <c r="BD13" s="28"/>
      <c r="BE13" s="28"/>
      <c r="BF13" s="28"/>
      <c r="BG13" s="28"/>
      <c r="BH13" s="28"/>
      <c r="BI13" s="28"/>
      <c r="BJ13" s="28"/>
      <c r="BK13" s="28"/>
      <c r="BL13" s="28"/>
      <c r="BM13" s="28"/>
      <c r="BN13" s="28"/>
      <c r="BO13" s="28"/>
      <c r="BP13" s="28"/>
      <c r="BQ13" s="28"/>
      <c r="BR13" s="28"/>
      <c r="BS13" s="28"/>
      <c r="BT13" s="28"/>
      <c r="BU13" s="28"/>
      <c r="BV13" s="28"/>
      <c r="BW13" s="28"/>
      <c r="BX13" s="28"/>
      <c r="BY13" s="28"/>
      <c r="BZ13" s="28"/>
      <c r="CA13" s="28"/>
      <c r="CB13" s="28"/>
      <c r="CC13" s="28"/>
      <c r="CD13" s="28"/>
      <c r="CE13" s="28"/>
      <c r="CF13" s="28"/>
      <c r="CG13" s="28"/>
      <c r="CH13" s="28"/>
      <c r="CI13" s="28"/>
      <c r="CJ13" s="28"/>
      <c r="CK13" s="28"/>
      <c r="CL13" s="28"/>
      <c r="CM13" s="28"/>
      <c r="CN13" s="28"/>
      <c r="CO13" s="28"/>
      <c r="CP13" s="28"/>
      <c r="CQ13" s="28"/>
      <c r="CR13" s="28"/>
      <c r="CS13" s="28"/>
      <c r="CT13" s="28"/>
      <c r="CU13" s="28"/>
      <c r="CV13" s="28"/>
      <c r="CW13" s="28"/>
      <c r="CX13" s="28"/>
      <c r="CY13" s="28"/>
      <c r="CZ13" s="28"/>
      <c r="DA13" s="28"/>
      <c r="DB13" s="28"/>
      <c r="DC13" s="28"/>
      <c r="DD13" s="28"/>
      <c r="DE13" s="28"/>
      <c r="DF13" s="28"/>
      <c r="DG13" s="28"/>
      <c r="DH13" s="28"/>
      <c r="DI13" s="28"/>
      <c r="DJ13" s="28"/>
      <c r="DK13" s="28"/>
      <c r="DL13" s="28"/>
      <c r="DM13" s="28"/>
      <c r="DN13" s="28"/>
      <c r="DO13" s="28"/>
      <c r="DP13" s="28"/>
      <c r="DQ13" s="28"/>
      <c r="DR13" s="28"/>
      <c r="DS13" s="28"/>
      <c r="DT13" s="28"/>
      <c r="DU13" s="28"/>
      <c r="DV13" s="28"/>
      <c r="DW13" s="28"/>
      <c r="DX13" s="28"/>
      <c r="DY13" s="28"/>
      <c r="DZ13" s="28"/>
      <c r="EA13" s="28"/>
      <c r="EB13" s="28"/>
      <c r="EC13" s="28"/>
      <c r="ED13" s="28"/>
      <c r="EE13" s="28"/>
      <c r="EF13" s="28"/>
      <c r="EG13" s="28"/>
      <c r="EH13" s="28"/>
      <c r="EI13" s="28"/>
      <c r="EJ13" s="28"/>
      <c r="EK13" s="28"/>
      <c r="EL13" s="28"/>
      <c r="EM13" s="28"/>
      <c r="EN13" s="28"/>
      <c r="EO13" s="28"/>
      <c r="EP13" s="28"/>
      <c r="EQ13" s="28"/>
      <c r="ER13" s="28"/>
      <c r="ES13" s="28"/>
      <c r="ET13" s="28"/>
      <c r="EU13" s="28"/>
      <c r="EV13" s="28"/>
      <c r="EW13" s="28"/>
      <c r="EX13" s="28"/>
      <c r="EY13" s="28"/>
      <c r="EZ13" s="28"/>
      <c r="FA13" s="28"/>
      <c r="FB13" s="28"/>
      <c r="FC13" s="28"/>
      <c r="FD13" s="28"/>
      <c r="FE13" s="28"/>
      <c r="FF13" s="28"/>
      <c r="FG13" s="28"/>
      <c r="FH13" s="28"/>
      <c r="FI13" s="28"/>
      <c r="FJ13" s="28"/>
      <c r="FK13" s="28"/>
      <c r="FL13" s="28"/>
      <c r="FM13" s="28"/>
      <c r="FN13" s="28"/>
      <c r="FO13" s="28"/>
      <c r="FP13" s="28"/>
      <c r="FQ13" s="28"/>
      <c r="FR13" s="28"/>
      <c r="FS13" s="28"/>
      <c r="FT13" s="28"/>
      <c r="FU13" s="28"/>
      <c r="FV13" s="28"/>
      <c r="FW13" s="28"/>
      <c r="FX13" s="28"/>
      <c r="FY13" s="28"/>
      <c r="FZ13" s="28"/>
      <c r="GA13" s="28"/>
      <c r="GB13" s="28"/>
      <c r="GC13" s="28"/>
      <c r="GD13" s="28"/>
      <c r="GE13" s="28"/>
      <c r="GF13" s="28"/>
      <c r="GG13" s="28"/>
      <c r="GH13" s="28"/>
      <c r="GI13" s="28"/>
      <c r="GJ13" s="28"/>
      <c r="GK13" s="28"/>
      <c r="GL13" s="28"/>
      <c r="GM13" s="28"/>
      <c r="GN13" s="28"/>
      <c r="GO13" s="28"/>
      <c r="GP13" s="28"/>
      <c r="GQ13" s="28"/>
      <c r="GR13" s="28"/>
      <c r="GS13" s="28"/>
      <c r="GT13" s="28"/>
      <c r="GU13" s="28"/>
      <c r="GV13" s="28"/>
      <c r="GW13" s="28"/>
      <c r="GX13" s="28"/>
      <c r="GY13" s="28"/>
      <c r="GZ13" s="28"/>
      <c r="HA13" s="28"/>
      <c r="HB13" s="28"/>
      <c r="HC13" s="28"/>
      <c r="HD13" s="28"/>
      <c r="HE13" s="28"/>
      <c r="HF13" s="28"/>
      <c r="HG13" s="28"/>
      <c r="HH13" s="28"/>
      <c r="HI13" s="28"/>
      <c r="HJ13" s="28"/>
      <c r="HK13" s="28"/>
      <c r="HL13" s="28"/>
      <c r="HM13" s="28"/>
      <c r="HN13" s="28"/>
      <c r="HO13" s="28"/>
      <c r="HP13" s="28"/>
      <c r="HQ13" s="28"/>
      <c r="HR13" s="28"/>
      <c r="HS13" s="28"/>
      <c r="HT13" s="28"/>
      <c r="HU13" s="28"/>
      <c r="HV13" s="28"/>
      <c r="HW13" s="28"/>
      <c r="HX13" s="28"/>
      <c r="HY13" s="28"/>
      <c r="HZ13" s="28"/>
      <c r="IA13" s="28"/>
      <c r="IB13" s="28"/>
      <c r="IC13" s="28"/>
      <c r="ID13" s="28"/>
      <c r="IE13" s="28"/>
      <c r="IF13" s="28"/>
      <c r="IG13" s="28"/>
      <c r="IH13" s="28"/>
      <c r="II13" s="28"/>
      <c r="IJ13" s="28"/>
      <c r="IK13" s="28"/>
      <c r="IL13" s="28"/>
      <c r="IM13" s="28"/>
      <c r="IN13" s="28"/>
      <c r="IO13" s="28"/>
      <c r="IP13" s="28"/>
      <c r="IQ13" s="28"/>
      <c r="IR13" s="28"/>
      <c r="IS13" s="28"/>
      <c r="IT13" s="28"/>
      <c r="IU13" s="28"/>
    </row>
    <row r="14" spans="1:255" ht="20.399999999999999" x14ac:dyDescent="0.2">
      <c r="A14" s="7" t="s">
        <v>8</v>
      </c>
      <c r="B14" s="11" t="s">
        <v>9</v>
      </c>
      <c r="C14" s="11" t="s">
        <v>10</v>
      </c>
      <c r="D14" s="11" t="s">
        <v>11</v>
      </c>
      <c r="E14" s="11" t="s">
        <v>12</v>
      </c>
      <c r="F14" s="11" t="s">
        <v>13</v>
      </c>
      <c r="G14" s="11" t="s">
        <v>14</v>
      </c>
      <c r="H14" s="11" t="s">
        <v>15</v>
      </c>
      <c r="I14" s="11" t="s">
        <v>16</v>
      </c>
      <c r="J14" s="15" t="s">
        <v>17</v>
      </c>
      <c r="K14" s="11" t="s">
        <v>18</v>
      </c>
      <c r="L14" s="11" t="s">
        <v>19</v>
      </c>
      <c r="M14" s="11" t="s">
        <v>20</v>
      </c>
      <c r="N14" s="11" t="s">
        <v>21</v>
      </c>
      <c r="O14" s="11" t="s">
        <v>22</v>
      </c>
      <c r="P14" s="11" t="s">
        <v>23</v>
      </c>
      <c r="Q14" s="11" t="s">
        <v>24</v>
      </c>
    </row>
    <row r="15" spans="1:255" ht="12" customHeight="1" x14ac:dyDescent="0.2">
      <c r="A15" s="7" t="s">
        <v>25</v>
      </c>
      <c r="B15" s="12">
        <v>138.19999999999999</v>
      </c>
      <c r="C15" s="13">
        <v>105.7</v>
      </c>
      <c r="D15" s="13">
        <v>14613.6</v>
      </c>
      <c r="E15" s="13">
        <v>1365.2</v>
      </c>
      <c r="F15" s="14" t="s">
        <v>26</v>
      </c>
      <c r="G15" s="14" t="s">
        <v>26</v>
      </c>
      <c r="H15" s="13">
        <v>15978.8</v>
      </c>
      <c r="I15" s="12">
        <v>-12.97</v>
      </c>
      <c r="J15" s="16">
        <v>44974</v>
      </c>
      <c r="K15" s="13">
        <v>3958.5</v>
      </c>
      <c r="L15" s="13">
        <v>1124.8</v>
      </c>
      <c r="M15" s="13">
        <v>965.2</v>
      </c>
      <c r="N15" s="12">
        <v>2.19</v>
      </c>
      <c r="O15" s="12">
        <v>1900.35</v>
      </c>
      <c r="P15" s="12">
        <v>1190.5899999999999</v>
      </c>
      <c r="Q15" s="12">
        <v>7.25</v>
      </c>
    </row>
    <row r="16" spans="1:255" ht="12" customHeight="1" x14ac:dyDescent="0.2">
      <c r="A16" s="7" t="s">
        <v>27</v>
      </c>
      <c r="B16" s="12">
        <v>184.41</v>
      </c>
      <c r="C16" s="13">
        <v>359.7</v>
      </c>
      <c r="D16" s="13">
        <v>66340.2</v>
      </c>
      <c r="E16" s="13">
        <v>1769.2</v>
      </c>
      <c r="F16" s="14" t="s">
        <v>26</v>
      </c>
      <c r="G16" s="14" t="s">
        <v>26</v>
      </c>
      <c r="H16" s="13">
        <v>68109.399999999994</v>
      </c>
      <c r="I16" s="12">
        <v>-9.75</v>
      </c>
      <c r="J16" s="16">
        <v>45042</v>
      </c>
      <c r="K16" s="13">
        <v>5103.8</v>
      </c>
      <c r="L16" s="13">
        <v>3418.7</v>
      </c>
      <c r="M16" s="13">
        <v>3057.3</v>
      </c>
      <c r="N16" s="12">
        <v>7.88</v>
      </c>
      <c r="O16" s="12">
        <v>5293.95</v>
      </c>
      <c r="P16" s="12">
        <v>3487.73</v>
      </c>
      <c r="Q16" s="12">
        <v>8.58</v>
      </c>
    </row>
    <row r="17" spans="1:17" ht="12" customHeight="1" x14ac:dyDescent="0.2">
      <c r="A17" s="7" t="s">
        <v>28</v>
      </c>
      <c r="B17" s="12">
        <v>54.82</v>
      </c>
      <c r="C17" s="13">
        <v>489</v>
      </c>
      <c r="D17" s="13">
        <v>26807.1</v>
      </c>
      <c r="E17" s="13">
        <v>4981</v>
      </c>
      <c r="F17" s="14" t="s">
        <v>26</v>
      </c>
      <c r="G17" s="12">
        <v>12</v>
      </c>
      <c r="H17" s="13">
        <v>31800.1</v>
      </c>
      <c r="I17" s="12">
        <v>-9.15</v>
      </c>
      <c r="J17" s="16">
        <v>45035</v>
      </c>
      <c r="K17" s="13">
        <v>6224</v>
      </c>
      <c r="L17" s="13">
        <v>1962.5</v>
      </c>
      <c r="M17" s="13">
        <v>1707</v>
      </c>
      <c r="N17" s="12">
        <v>2.2999999999999998</v>
      </c>
      <c r="O17" s="12">
        <v>3755.71</v>
      </c>
      <c r="P17" s="12">
        <v>2027.02</v>
      </c>
      <c r="Q17" s="12">
        <v>2.74</v>
      </c>
    </row>
    <row r="18" spans="1:17" ht="12" customHeight="1" x14ac:dyDescent="0.2">
      <c r="A18" s="7" t="s">
        <v>29</v>
      </c>
      <c r="B18" s="12">
        <v>107.42</v>
      </c>
      <c r="C18" s="13">
        <v>559.70000000000005</v>
      </c>
      <c r="D18" s="13">
        <v>60123.5</v>
      </c>
      <c r="E18" s="13">
        <v>16642</v>
      </c>
      <c r="F18" s="14" t="s">
        <v>26</v>
      </c>
      <c r="G18" s="12">
        <v>55</v>
      </c>
      <c r="H18" s="13">
        <v>76820.5</v>
      </c>
      <c r="I18" s="12">
        <v>-21.33</v>
      </c>
      <c r="J18" s="16">
        <v>44959</v>
      </c>
      <c r="K18" s="13">
        <v>7292</v>
      </c>
      <c r="L18" s="13">
        <v>4513</v>
      </c>
      <c r="M18" s="13">
        <v>3729</v>
      </c>
      <c r="N18" s="12">
        <v>2.58</v>
      </c>
      <c r="O18" s="12">
        <v>7617.79</v>
      </c>
      <c r="P18" s="12">
        <v>5008.29</v>
      </c>
      <c r="Q18" s="12">
        <v>5.51</v>
      </c>
    </row>
    <row r="19" spans="1:17" ht="12" customHeight="1" x14ac:dyDescent="0.2">
      <c r="A19" s="7" t="s">
        <v>30</v>
      </c>
      <c r="B19" s="12">
        <v>464.29</v>
      </c>
      <c r="C19" s="13">
        <v>80.099999999999994</v>
      </c>
      <c r="D19" s="13">
        <v>37172.6</v>
      </c>
      <c r="E19" s="13">
        <v>3583.7</v>
      </c>
      <c r="F19" s="14" t="s">
        <v>26</v>
      </c>
      <c r="G19" s="14" t="s">
        <v>26</v>
      </c>
      <c r="H19" s="13">
        <v>40756.300000000003</v>
      </c>
      <c r="I19" s="12">
        <v>-46.01</v>
      </c>
      <c r="J19" s="16">
        <v>45041</v>
      </c>
      <c r="K19" s="13">
        <v>2280.9</v>
      </c>
      <c r="L19" s="13">
        <v>1324.1</v>
      </c>
      <c r="M19" s="13">
        <v>1235</v>
      </c>
      <c r="N19" s="12">
        <v>10.91</v>
      </c>
      <c r="O19" s="12">
        <v>2525.1999999999998</v>
      </c>
      <c r="P19" s="12">
        <v>1518.98</v>
      </c>
      <c r="Q19" s="12">
        <v>13.17</v>
      </c>
    </row>
    <row r="20" spans="1:17" ht="12" customHeight="1" x14ac:dyDescent="0.2">
      <c r="A20" s="7" t="s">
        <v>31</v>
      </c>
      <c r="B20" s="12">
        <v>60.58</v>
      </c>
      <c r="C20" s="13">
        <v>603.4</v>
      </c>
      <c r="D20" s="13">
        <v>36553.5</v>
      </c>
      <c r="E20" s="13">
        <v>723.6</v>
      </c>
      <c r="F20" s="14" t="s">
        <v>26</v>
      </c>
      <c r="G20" s="12">
        <v>28.48</v>
      </c>
      <c r="H20" s="13">
        <v>37305.599999999999</v>
      </c>
      <c r="I20" s="12">
        <v>5.4</v>
      </c>
      <c r="J20" s="16">
        <v>44980</v>
      </c>
      <c r="K20" s="13">
        <v>17531.599999999999</v>
      </c>
      <c r="L20" s="13">
        <v>-237.4</v>
      </c>
      <c r="M20" s="13">
        <v>-578</v>
      </c>
      <c r="N20" s="12">
        <v>-0.93</v>
      </c>
      <c r="O20" s="12">
        <v>20037.939999999999</v>
      </c>
      <c r="P20" s="12">
        <v>1340.03</v>
      </c>
      <c r="Q20" s="12">
        <v>1.73</v>
      </c>
    </row>
    <row r="21" spans="1:17" ht="12" customHeight="1" x14ac:dyDescent="0.2">
      <c r="A21" s="7" t="s">
        <v>32</v>
      </c>
      <c r="B21" s="12">
        <v>69.349999999999994</v>
      </c>
      <c r="C21" s="13">
        <v>211.7</v>
      </c>
      <c r="D21" s="13">
        <v>14678.4</v>
      </c>
      <c r="E21" s="13">
        <v>-1206.9000000000001</v>
      </c>
      <c r="F21" s="14" t="s">
        <v>26</v>
      </c>
      <c r="G21" s="12">
        <v>597.97</v>
      </c>
      <c r="H21" s="14" t="s">
        <v>26</v>
      </c>
      <c r="I21" s="12">
        <v>4.9800000000000004</v>
      </c>
      <c r="J21" s="16">
        <v>45043</v>
      </c>
      <c r="K21" s="13">
        <v>1206.5</v>
      </c>
      <c r="L21" s="14" t="s">
        <v>26</v>
      </c>
      <c r="M21" s="14" t="s">
        <v>26</v>
      </c>
      <c r="N21" s="12">
        <v>1.5</v>
      </c>
      <c r="O21" s="12">
        <v>1352.4</v>
      </c>
      <c r="P21" s="12">
        <v>707.14</v>
      </c>
      <c r="Q21" s="12">
        <v>2.2000000000000002</v>
      </c>
    </row>
    <row r="22" spans="1:17" ht="12" customHeight="1" x14ac:dyDescent="0.2">
      <c r="A22" s="7" t="s">
        <v>33</v>
      </c>
      <c r="B22" s="12">
        <v>410.16</v>
      </c>
      <c r="C22" s="13">
        <v>38.299999999999997</v>
      </c>
      <c r="D22" s="13">
        <v>15717.1</v>
      </c>
      <c r="E22" s="13">
        <v>1473.7</v>
      </c>
      <c r="F22" s="14" t="s">
        <v>26</v>
      </c>
      <c r="G22" s="14" t="s">
        <v>26</v>
      </c>
      <c r="H22" s="13">
        <v>17190.8</v>
      </c>
      <c r="I22" s="12">
        <v>-32.36</v>
      </c>
      <c r="J22" s="16">
        <v>45019</v>
      </c>
      <c r="K22" s="13">
        <v>2007.9</v>
      </c>
      <c r="L22" s="13">
        <v>727.7</v>
      </c>
      <c r="M22" s="13">
        <v>621.6</v>
      </c>
      <c r="N22" s="12">
        <v>11.52</v>
      </c>
      <c r="O22" s="12">
        <v>2161.04</v>
      </c>
      <c r="P22" s="12">
        <v>779.17</v>
      </c>
      <c r="Q22" s="12">
        <v>15.46</v>
      </c>
    </row>
    <row r="23" spans="1:17" ht="12" customHeight="1" x14ac:dyDescent="0.2">
      <c r="A23" s="7" t="s">
        <v>34</v>
      </c>
      <c r="B23" s="12">
        <v>311.39999999999998</v>
      </c>
      <c r="C23" s="13">
        <v>183.5</v>
      </c>
      <c r="D23" s="13">
        <v>57141.2</v>
      </c>
      <c r="E23" s="13">
        <v>5912</v>
      </c>
      <c r="F23" s="14" t="s">
        <v>26</v>
      </c>
      <c r="G23" s="12">
        <v>167</v>
      </c>
      <c r="H23" s="13">
        <v>63220.2</v>
      </c>
      <c r="I23" s="12">
        <v>-28.22</v>
      </c>
      <c r="J23" s="16">
        <v>45042</v>
      </c>
      <c r="K23" s="13">
        <v>5416</v>
      </c>
      <c r="L23" s="13">
        <v>2258</v>
      </c>
      <c r="M23" s="13">
        <v>1917</v>
      </c>
      <c r="N23" s="12">
        <v>7.47</v>
      </c>
      <c r="O23" s="12">
        <v>6012.6</v>
      </c>
      <c r="P23" s="12">
        <v>2704.66</v>
      </c>
      <c r="Q23" s="12">
        <v>9.6300000000000008</v>
      </c>
    </row>
    <row r="24" spans="1:17" ht="12" customHeight="1" x14ac:dyDescent="0.2">
      <c r="A24" s="7" t="s">
        <v>35</v>
      </c>
      <c r="B24" s="12">
        <v>313.16000000000003</v>
      </c>
      <c r="C24" s="13">
        <v>37.4</v>
      </c>
      <c r="D24" s="13">
        <v>11706.4</v>
      </c>
      <c r="E24" s="13">
        <v>-251.5</v>
      </c>
      <c r="F24" s="14" t="s">
        <v>26</v>
      </c>
      <c r="G24" s="14" t="s">
        <v>26</v>
      </c>
      <c r="H24" s="13">
        <v>11454.9</v>
      </c>
      <c r="I24" s="12">
        <v>23.28</v>
      </c>
      <c r="J24" s="16">
        <v>45042</v>
      </c>
      <c r="K24" s="13">
        <v>735.4</v>
      </c>
      <c r="L24" s="13">
        <v>385.4</v>
      </c>
      <c r="M24" s="13">
        <v>334.1</v>
      </c>
      <c r="N24" s="12">
        <v>6.9</v>
      </c>
      <c r="O24" s="12">
        <v>830.82</v>
      </c>
      <c r="P24" s="12">
        <v>459.51</v>
      </c>
      <c r="Q24" s="12">
        <v>7.83</v>
      </c>
    </row>
    <row r="25" spans="1:17" x14ac:dyDescent="0.2">
      <c r="A25" s="7" t="s">
        <v>36</v>
      </c>
      <c r="B25" s="12">
        <v>54.17</v>
      </c>
      <c r="C25" s="13">
        <v>231.5</v>
      </c>
      <c r="D25" s="13">
        <v>12538.9</v>
      </c>
      <c r="E25" s="13">
        <v>-783.8</v>
      </c>
      <c r="F25" s="14" t="s">
        <v>26</v>
      </c>
      <c r="G25" s="14" t="s">
        <v>26</v>
      </c>
      <c r="H25" s="13">
        <v>11755.2</v>
      </c>
      <c r="I25" s="12">
        <v>18.39</v>
      </c>
      <c r="J25" s="16">
        <v>44978</v>
      </c>
      <c r="K25" s="13">
        <v>3149.4</v>
      </c>
      <c r="L25" s="13">
        <v>-1899.7</v>
      </c>
      <c r="M25" s="13">
        <v>-2053.8000000000002</v>
      </c>
      <c r="N25" s="12">
        <v>-11.83</v>
      </c>
      <c r="O25" s="12">
        <v>2822.81</v>
      </c>
      <c r="P25" s="12">
        <v>75.41</v>
      </c>
      <c r="Q25" s="12">
        <v>-3.29</v>
      </c>
    </row>
    <row r="26" spans="1:17" x14ac:dyDescent="0.2">
      <c r="A26" s="8"/>
      <c r="B26" s="8"/>
      <c r="C26" s="8"/>
      <c r="D26" s="8"/>
      <c r="E26" s="8"/>
      <c r="F26" s="8"/>
      <c r="G26" s="8"/>
      <c r="H26" s="8"/>
      <c r="I26" s="8"/>
      <c r="J26" s="8"/>
      <c r="K26" s="8"/>
      <c r="L26" s="8"/>
      <c r="M26" s="8"/>
      <c r="N26" s="8"/>
      <c r="O26" s="8"/>
      <c r="P26" s="8"/>
      <c r="Q26" s="8"/>
    </row>
    <row r="27" spans="1:17" ht="12" customHeight="1" x14ac:dyDescent="0.2">
      <c r="A27" s="7" t="s">
        <v>37</v>
      </c>
      <c r="B27" s="11" t="s">
        <v>9</v>
      </c>
      <c r="C27" s="11" t="s">
        <v>10</v>
      </c>
      <c r="D27" s="11" t="s">
        <v>11</v>
      </c>
      <c r="E27" s="11" t="s">
        <v>12</v>
      </c>
      <c r="F27" s="11" t="s">
        <v>13</v>
      </c>
      <c r="G27" s="11" t="s">
        <v>14</v>
      </c>
      <c r="H27" s="11" t="s">
        <v>15</v>
      </c>
      <c r="I27" s="11" t="s">
        <v>16</v>
      </c>
      <c r="J27" s="15" t="s">
        <v>17</v>
      </c>
      <c r="K27" s="11" t="s">
        <v>18</v>
      </c>
      <c r="L27" s="11" t="s">
        <v>19</v>
      </c>
      <c r="M27" s="11" t="s">
        <v>20</v>
      </c>
      <c r="N27" s="11" t="s">
        <v>21</v>
      </c>
      <c r="O27" s="11" t="s">
        <v>22</v>
      </c>
      <c r="P27" s="11" t="s">
        <v>23</v>
      </c>
      <c r="Q27" s="11" t="s">
        <v>24</v>
      </c>
    </row>
    <row r="28" spans="1:17" x14ac:dyDescent="0.2">
      <c r="A28" s="7" t="s">
        <v>38</v>
      </c>
      <c r="B28" s="12">
        <v>464.29</v>
      </c>
      <c r="C28" s="13">
        <v>603.4</v>
      </c>
      <c r="D28" s="13">
        <v>66340.2</v>
      </c>
      <c r="E28" s="13">
        <v>16642</v>
      </c>
      <c r="F28" s="14" t="s">
        <v>26</v>
      </c>
      <c r="G28" s="12">
        <v>597.97</v>
      </c>
      <c r="H28" s="13">
        <v>76820.5</v>
      </c>
      <c r="I28" s="12">
        <v>23.28</v>
      </c>
      <c r="J28" s="17" t="s">
        <v>26</v>
      </c>
      <c r="K28" s="13">
        <v>17531.599999999999</v>
      </c>
      <c r="L28" s="13">
        <v>4513</v>
      </c>
      <c r="M28" s="13">
        <v>3729</v>
      </c>
      <c r="N28" s="12">
        <v>11.52</v>
      </c>
      <c r="O28" s="12">
        <v>20037.939999999999</v>
      </c>
      <c r="P28" s="12">
        <v>5008.29</v>
      </c>
      <c r="Q28" s="12">
        <v>15.46</v>
      </c>
    </row>
    <row r="29" spans="1:17" x14ac:dyDescent="0.2">
      <c r="A29" s="7" t="s">
        <v>39</v>
      </c>
      <c r="B29" s="12">
        <v>54.82</v>
      </c>
      <c r="C29" s="13">
        <v>37.4</v>
      </c>
      <c r="D29" s="13">
        <v>11706.4</v>
      </c>
      <c r="E29" s="13">
        <v>-1206.9000000000001</v>
      </c>
      <c r="F29" s="14" t="s">
        <v>26</v>
      </c>
      <c r="G29" s="12">
        <v>12</v>
      </c>
      <c r="H29" s="13">
        <v>11454.9</v>
      </c>
      <c r="I29" s="12">
        <v>-46.01</v>
      </c>
      <c r="J29" s="17" t="s">
        <v>26</v>
      </c>
      <c r="K29" s="13">
        <v>735.4</v>
      </c>
      <c r="L29" s="13">
        <v>-237.4</v>
      </c>
      <c r="M29" s="13">
        <v>-578</v>
      </c>
      <c r="N29" s="12">
        <v>-0.93</v>
      </c>
      <c r="O29" s="12">
        <v>830.82</v>
      </c>
      <c r="P29" s="12">
        <v>459.51</v>
      </c>
      <c r="Q29" s="12">
        <v>1.73</v>
      </c>
    </row>
    <row r="30" spans="1:17" x14ac:dyDescent="0.2">
      <c r="A30" s="7" t="s">
        <v>40</v>
      </c>
      <c r="B30" s="12">
        <v>211.38</v>
      </c>
      <c r="C30" s="13">
        <v>266.89999999999998</v>
      </c>
      <c r="D30" s="13">
        <v>34085.4</v>
      </c>
      <c r="E30" s="13">
        <v>3499.2</v>
      </c>
      <c r="F30" s="14" t="s">
        <v>26</v>
      </c>
      <c r="G30" s="12">
        <v>172.09</v>
      </c>
      <c r="H30" s="13">
        <v>40293</v>
      </c>
      <c r="I30" s="12">
        <v>-12.61</v>
      </c>
      <c r="J30" s="17" t="s">
        <v>26</v>
      </c>
      <c r="K30" s="13">
        <v>5175.7</v>
      </c>
      <c r="L30" s="13">
        <v>1719.6</v>
      </c>
      <c r="M30" s="13">
        <v>1443.1</v>
      </c>
      <c r="N30" s="12">
        <v>5.23</v>
      </c>
      <c r="O30" s="12">
        <v>5148.78</v>
      </c>
      <c r="P30" s="12">
        <v>1922.31</v>
      </c>
      <c r="Q30" s="12">
        <v>7.41</v>
      </c>
    </row>
    <row r="31" spans="1:17" x14ac:dyDescent="0.2">
      <c r="A31" s="7" t="s">
        <v>41</v>
      </c>
      <c r="B31" s="12">
        <v>161.31</v>
      </c>
      <c r="C31" s="13">
        <v>197.6</v>
      </c>
      <c r="D31" s="13">
        <v>31680.3</v>
      </c>
      <c r="E31" s="13">
        <v>1621.4</v>
      </c>
      <c r="F31" s="14" t="s">
        <v>26</v>
      </c>
      <c r="G31" s="12">
        <v>55</v>
      </c>
      <c r="H31" s="13">
        <v>37305.599999999999</v>
      </c>
      <c r="I31" s="12">
        <v>-11.36</v>
      </c>
      <c r="J31" s="17" t="s">
        <v>26</v>
      </c>
      <c r="K31" s="13">
        <v>4531.2</v>
      </c>
      <c r="L31" s="13">
        <v>1324.1</v>
      </c>
      <c r="M31" s="13">
        <v>1235</v>
      </c>
      <c r="N31" s="12">
        <v>4.74</v>
      </c>
      <c r="O31" s="12">
        <v>3140.45</v>
      </c>
      <c r="P31" s="12">
        <v>1429.51</v>
      </c>
      <c r="Q31" s="12">
        <v>7.54</v>
      </c>
    </row>
    <row r="32" spans="1:17" x14ac:dyDescent="0.2">
      <c r="A32" s="10"/>
      <c r="B32" s="10"/>
      <c r="C32" s="10"/>
      <c r="D32" s="10"/>
      <c r="E32" s="10"/>
      <c r="F32" s="10"/>
      <c r="G32" s="10"/>
      <c r="H32" s="10"/>
      <c r="I32" s="10"/>
      <c r="J32" s="10"/>
      <c r="K32" s="10"/>
      <c r="L32" s="10"/>
      <c r="M32" s="10"/>
      <c r="N32" s="10"/>
      <c r="O32" s="10"/>
      <c r="P32" s="10"/>
      <c r="Q32" s="10"/>
    </row>
    <row r="34" spans="1:1" x14ac:dyDescent="0.2">
      <c r="A34" s="6" t="s">
        <v>42</v>
      </c>
    </row>
    <row r="39" spans="1:1" x14ac:dyDescent="0.2">
      <c r="A39" t="s">
        <v>43</v>
      </c>
    </row>
    <row r="40" spans="1:1" x14ac:dyDescent="0.2">
      <c r="A40" t="s">
        <v>44</v>
      </c>
    </row>
    <row r="48" spans="1:1" ht="20.399999999999999" x14ac:dyDescent="0.2">
      <c r="A48" s="18" t="s">
        <v>45</v>
      </c>
    </row>
    <row r="50" ht="25.05" customHeight="1" x14ac:dyDescent="0.2"/>
  </sheetData>
  <pageMargins left="0.2" right="0.2" top="0.5" bottom="0.5" header="0.5" footer="0.5"/>
  <pageSetup fitToWidth="0" fitToHeight="0" orientation="landscape" horizontalDpi="300" verticalDpi="300"/>
  <headerFooter alignWithMargins="0"/>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26E89E-F26D-47A0-BE78-F769818AB7A7}">
  <sheetPr codeName="Sheet4">
    <outlinePr summaryBelow="0" summaryRight="0"/>
  </sheetPr>
  <dimension ref="A4:IU50"/>
  <sheetViews>
    <sheetView defaultGridColor="0" colorId="0" workbookViewId="0"/>
  </sheetViews>
  <sheetFormatPr defaultRowHeight="10.199999999999999" x14ac:dyDescent="0.2"/>
  <cols>
    <col min="1" max="1" width="47.88671875" customWidth="1"/>
    <col min="2" max="9" width="20.88671875" customWidth="1"/>
  </cols>
  <sheetData>
    <row r="4" spans="1:255" ht="16.2" x14ac:dyDescent="0.25">
      <c r="A4" s="1" t="s">
        <v>46</v>
      </c>
    </row>
    <row r="7" spans="1:255" x14ac:dyDescent="0.2">
      <c r="A7" s="2" t="s">
        <v>1</v>
      </c>
      <c r="B7" s="2"/>
      <c r="C7" s="2"/>
      <c r="D7" s="2"/>
      <c r="E7" s="2"/>
      <c r="F7" s="2"/>
      <c r="G7" s="2"/>
      <c r="H7" s="2"/>
      <c r="I7" s="2"/>
      <c r="J7" s="28"/>
      <c r="K7" s="28"/>
      <c r="L7" s="28"/>
      <c r="M7" s="28"/>
      <c r="N7" s="28"/>
      <c r="O7" s="28"/>
      <c r="P7" s="28"/>
      <c r="Q7" s="28"/>
      <c r="R7" s="28"/>
      <c r="S7" s="28"/>
      <c r="T7" s="28"/>
      <c r="U7" s="28"/>
      <c r="V7" s="28"/>
      <c r="W7" s="28"/>
      <c r="X7" s="28"/>
      <c r="Y7" s="28"/>
      <c r="Z7" s="28"/>
      <c r="AA7" s="28"/>
      <c r="AB7" s="28"/>
      <c r="AC7" s="28"/>
      <c r="AD7" s="28"/>
      <c r="AE7" s="28"/>
      <c r="AF7" s="28"/>
      <c r="AG7" s="28"/>
      <c r="AH7" s="28"/>
      <c r="AI7" s="28"/>
      <c r="AJ7" s="28"/>
      <c r="AK7" s="28"/>
      <c r="AL7" s="28"/>
      <c r="AM7" s="28"/>
      <c r="AN7" s="28"/>
      <c r="AO7" s="28"/>
      <c r="AP7" s="28"/>
      <c r="AQ7" s="28"/>
      <c r="AR7" s="28"/>
      <c r="AS7" s="28"/>
      <c r="AT7" s="28"/>
      <c r="AU7" s="28"/>
      <c r="AV7" s="28"/>
      <c r="AW7" s="28"/>
      <c r="AX7" s="28"/>
      <c r="AY7" s="28"/>
      <c r="AZ7" s="28"/>
      <c r="BA7" s="28"/>
      <c r="BB7" s="28"/>
      <c r="BC7" s="28"/>
      <c r="BD7" s="28"/>
      <c r="BE7" s="28"/>
      <c r="BF7" s="28"/>
      <c r="BG7" s="28"/>
      <c r="BH7" s="28"/>
      <c r="BI7" s="28"/>
      <c r="BJ7" s="28"/>
      <c r="BK7" s="28"/>
      <c r="BL7" s="28"/>
      <c r="BM7" s="28"/>
      <c r="BN7" s="28"/>
      <c r="BO7" s="28"/>
      <c r="BP7" s="28"/>
      <c r="BQ7" s="28"/>
      <c r="BR7" s="28"/>
      <c r="BS7" s="28"/>
      <c r="BT7" s="28"/>
      <c r="BU7" s="28"/>
      <c r="BV7" s="28"/>
      <c r="BW7" s="28"/>
      <c r="BX7" s="28"/>
      <c r="BY7" s="28"/>
      <c r="BZ7" s="28"/>
      <c r="CA7" s="28"/>
      <c r="CB7" s="28"/>
      <c r="CC7" s="28"/>
      <c r="CD7" s="28"/>
      <c r="CE7" s="28"/>
      <c r="CF7" s="28"/>
      <c r="CG7" s="28"/>
      <c r="CH7" s="28"/>
      <c r="CI7" s="28"/>
      <c r="CJ7" s="28"/>
      <c r="CK7" s="28"/>
      <c r="CL7" s="28"/>
      <c r="CM7" s="28"/>
      <c r="CN7" s="28"/>
      <c r="CO7" s="28"/>
      <c r="CP7" s="28"/>
      <c r="CQ7" s="28"/>
      <c r="CR7" s="28"/>
      <c r="CS7" s="28"/>
      <c r="CT7" s="28"/>
      <c r="CU7" s="28"/>
      <c r="CV7" s="28"/>
      <c r="CW7" s="28"/>
      <c r="CX7" s="28"/>
      <c r="CY7" s="28"/>
      <c r="CZ7" s="28"/>
      <c r="DA7" s="28"/>
      <c r="DB7" s="28"/>
      <c r="DC7" s="28"/>
      <c r="DD7" s="28"/>
      <c r="DE7" s="28"/>
      <c r="DF7" s="28"/>
      <c r="DG7" s="28"/>
      <c r="DH7" s="28"/>
      <c r="DI7" s="28"/>
      <c r="DJ7" s="28"/>
      <c r="DK7" s="28"/>
      <c r="DL7" s="28"/>
      <c r="DM7" s="28"/>
      <c r="DN7" s="28"/>
      <c r="DO7" s="28"/>
      <c r="DP7" s="28"/>
      <c r="DQ7" s="28"/>
      <c r="DR7" s="28"/>
      <c r="DS7" s="28"/>
      <c r="DT7" s="28"/>
      <c r="DU7" s="28"/>
      <c r="DV7" s="28"/>
      <c r="DW7" s="28"/>
      <c r="DX7" s="28"/>
      <c r="DY7" s="28"/>
      <c r="DZ7" s="28"/>
      <c r="EA7" s="28"/>
      <c r="EB7" s="28"/>
      <c r="EC7" s="28"/>
      <c r="ED7" s="28"/>
      <c r="EE7" s="28"/>
      <c r="EF7" s="28"/>
      <c r="EG7" s="28"/>
      <c r="EH7" s="28"/>
      <c r="EI7" s="28"/>
      <c r="EJ7" s="28"/>
      <c r="EK7" s="28"/>
      <c r="EL7" s="28"/>
      <c r="EM7" s="28"/>
      <c r="EN7" s="28"/>
      <c r="EO7" s="28"/>
      <c r="EP7" s="28"/>
      <c r="EQ7" s="28"/>
      <c r="ER7" s="28"/>
      <c r="ES7" s="28"/>
      <c r="ET7" s="28"/>
      <c r="EU7" s="28"/>
      <c r="EV7" s="28"/>
      <c r="EW7" s="28"/>
      <c r="EX7" s="28"/>
      <c r="EY7" s="28"/>
      <c r="EZ7" s="28"/>
      <c r="FA7" s="28"/>
      <c r="FB7" s="28"/>
      <c r="FC7" s="28"/>
      <c r="FD7" s="28"/>
      <c r="FE7" s="28"/>
      <c r="FF7" s="28"/>
      <c r="FG7" s="28"/>
      <c r="FH7" s="28"/>
      <c r="FI7" s="28"/>
      <c r="FJ7" s="28"/>
      <c r="FK7" s="28"/>
      <c r="FL7" s="28"/>
      <c r="FM7" s="28"/>
      <c r="FN7" s="28"/>
      <c r="FO7" s="28"/>
      <c r="FP7" s="28"/>
      <c r="FQ7" s="28"/>
      <c r="FR7" s="28"/>
      <c r="FS7" s="28"/>
      <c r="FT7" s="28"/>
      <c r="FU7" s="28"/>
      <c r="FV7" s="28"/>
      <c r="FW7" s="28"/>
      <c r="FX7" s="28"/>
      <c r="FY7" s="28"/>
      <c r="FZ7" s="28"/>
      <c r="GA7" s="28"/>
      <c r="GB7" s="28"/>
      <c r="GC7" s="28"/>
      <c r="GD7" s="28"/>
      <c r="GE7" s="28"/>
      <c r="GF7" s="28"/>
      <c r="GG7" s="28"/>
      <c r="GH7" s="28"/>
      <c r="GI7" s="28"/>
      <c r="GJ7" s="28"/>
      <c r="GK7" s="28"/>
      <c r="GL7" s="28"/>
      <c r="GM7" s="28"/>
      <c r="GN7" s="28"/>
      <c r="GO7" s="28"/>
      <c r="GP7" s="28"/>
      <c r="GQ7" s="28"/>
      <c r="GR7" s="28"/>
      <c r="GS7" s="28"/>
      <c r="GT7" s="28"/>
      <c r="GU7" s="28"/>
      <c r="GV7" s="28"/>
      <c r="GW7" s="28"/>
      <c r="GX7" s="28"/>
      <c r="GY7" s="28"/>
      <c r="GZ7" s="28"/>
      <c r="HA7" s="28"/>
      <c r="HB7" s="28"/>
      <c r="HC7" s="28"/>
      <c r="HD7" s="28"/>
      <c r="HE7" s="28"/>
      <c r="HF7" s="28"/>
      <c r="HG7" s="28"/>
      <c r="HH7" s="28"/>
      <c r="HI7" s="28"/>
      <c r="HJ7" s="28"/>
      <c r="HK7" s="28"/>
      <c r="HL7" s="28"/>
      <c r="HM7" s="28"/>
      <c r="HN7" s="28"/>
      <c r="HO7" s="28"/>
      <c r="HP7" s="28"/>
      <c r="HQ7" s="28"/>
      <c r="HR7" s="28"/>
      <c r="HS7" s="28"/>
      <c r="HT7" s="28"/>
      <c r="HU7" s="28"/>
      <c r="HV7" s="28"/>
      <c r="HW7" s="28"/>
      <c r="HX7" s="28"/>
      <c r="HY7" s="28"/>
      <c r="HZ7" s="28"/>
      <c r="IA7" s="28"/>
      <c r="IB7" s="28"/>
      <c r="IC7" s="28"/>
      <c r="ID7" s="28"/>
      <c r="IE7" s="28"/>
      <c r="IF7" s="28"/>
      <c r="IG7" s="28"/>
      <c r="IH7" s="28"/>
      <c r="II7" s="28"/>
      <c r="IJ7" s="28"/>
      <c r="IK7" s="28"/>
      <c r="IL7" s="28"/>
      <c r="IM7" s="28"/>
      <c r="IN7" s="28"/>
      <c r="IO7" s="28"/>
      <c r="IP7" s="28"/>
      <c r="IQ7" s="28"/>
      <c r="IR7" s="28"/>
      <c r="IS7" s="28"/>
      <c r="IT7" s="28"/>
      <c r="IU7" s="28"/>
    </row>
    <row r="8" spans="1:255" x14ac:dyDescent="0.2">
      <c r="A8" s="3" t="s">
        <v>47</v>
      </c>
      <c r="B8" s="4" t="s">
        <v>3</v>
      </c>
    </row>
    <row r="9" spans="1:255" x14ac:dyDescent="0.2">
      <c r="A9" s="3" t="s">
        <v>48</v>
      </c>
      <c r="B9" s="4" t="s">
        <v>5</v>
      </c>
    </row>
    <row r="10" spans="1:255" x14ac:dyDescent="0.2">
      <c r="A10" s="3" t="s">
        <v>49</v>
      </c>
      <c r="B10" s="5">
        <v>45043</v>
      </c>
    </row>
    <row r="11" spans="1:255" x14ac:dyDescent="0.2">
      <c r="A11" s="6"/>
    </row>
    <row r="13" spans="1:255" x14ac:dyDescent="0.2">
      <c r="A13" s="2" t="s">
        <v>7</v>
      </c>
      <c r="B13" s="2"/>
      <c r="C13" s="2"/>
      <c r="D13" s="2"/>
      <c r="E13" s="2"/>
      <c r="F13" s="2"/>
      <c r="G13" s="2"/>
      <c r="H13" s="2"/>
      <c r="I13" s="2"/>
      <c r="J13" s="28"/>
      <c r="K13" s="28"/>
      <c r="L13" s="28"/>
      <c r="M13" s="28"/>
      <c r="N13" s="28"/>
      <c r="O13" s="28"/>
      <c r="P13" s="28"/>
      <c r="Q13" s="28"/>
      <c r="R13" s="28"/>
      <c r="S13" s="28"/>
      <c r="T13" s="28"/>
      <c r="U13" s="28"/>
      <c r="V13" s="28"/>
      <c r="W13" s="28"/>
      <c r="X13" s="28"/>
      <c r="Y13" s="28"/>
      <c r="Z13" s="28"/>
      <c r="AA13" s="28"/>
      <c r="AB13" s="28"/>
      <c r="AC13" s="28"/>
      <c r="AD13" s="28"/>
      <c r="AE13" s="28"/>
      <c r="AF13" s="28"/>
      <c r="AG13" s="28"/>
      <c r="AH13" s="28"/>
      <c r="AI13" s="28"/>
      <c r="AJ13" s="28"/>
      <c r="AK13" s="28"/>
      <c r="AL13" s="28"/>
      <c r="AM13" s="28"/>
      <c r="AN13" s="28"/>
      <c r="AO13" s="28"/>
      <c r="AP13" s="28"/>
      <c r="AQ13" s="28"/>
      <c r="AR13" s="28"/>
      <c r="AS13" s="28"/>
      <c r="AT13" s="28"/>
      <c r="AU13" s="28"/>
      <c r="AV13" s="28"/>
      <c r="AW13" s="28"/>
      <c r="AX13" s="28"/>
      <c r="AY13" s="28"/>
      <c r="AZ13" s="28"/>
      <c r="BA13" s="28"/>
      <c r="BB13" s="28"/>
      <c r="BC13" s="28"/>
      <c r="BD13" s="28"/>
      <c r="BE13" s="28"/>
      <c r="BF13" s="28"/>
      <c r="BG13" s="28"/>
      <c r="BH13" s="28"/>
      <c r="BI13" s="28"/>
      <c r="BJ13" s="28"/>
      <c r="BK13" s="28"/>
      <c r="BL13" s="28"/>
      <c r="BM13" s="28"/>
      <c r="BN13" s="28"/>
      <c r="BO13" s="28"/>
      <c r="BP13" s="28"/>
      <c r="BQ13" s="28"/>
      <c r="BR13" s="28"/>
      <c r="BS13" s="28"/>
      <c r="BT13" s="28"/>
      <c r="BU13" s="28"/>
      <c r="BV13" s="28"/>
      <c r="BW13" s="28"/>
      <c r="BX13" s="28"/>
      <c r="BY13" s="28"/>
      <c r="BZ13" s="28"/>
      <c r="CA13" s="28"/>
      <c r="CB13" s="28"/>
      <c r="CC13" s="28"/>
      <c r="CD13" s="28"/>
      <c r="CE13" s="28"/>
      <c r="CF13" s="28"/>
      <c r="CG13" s="28"/>
      <c r="CH13" s="28"/>
      <c r="CI13" s="28"/>
      <c r="CJ13" s="28"/>
      <c r="CK13" s="28"/>
      <c r="CL13" s="28"/>
      <c r="CM13" s="28"/>
      <c r="CN13" s="28"/>
      <c r="CO13" s="28"/>
      <c r="CP13" s="28"/>
      <c r="CQ13" s="28"/>
      <c r="CR13" s="28"/>
      <c r="CS13" s="28"/>
      <c r="CT13" s="28"/>
      <c r="CU13" s="28"/>
      <c r="CV13" s="28"/>
      <c r="CW13" s="28"/>
      <c r="CX13" s="28"/>
      <c r="CY13" s="28"/>
      <c r="CZ13" s="28"/>
      <c r="DA13" s="28"/>
      <c r="DB13" s="28"/>
      <c r="DC13" s="28"/>
      <c r="DD13" s="28"/>
      <c r="DE13" s="28"/>
      <c r="DF13" s="28"/>
      <c r="DG13" s="28"/>
      <c r="DH13" s="28"/>
      <c r="DI13" s="28"/>
      <c r="DJ13" s="28"/>
      <c r="DK13" s="28"/>
      <c r="DL13" s="28"/>
      <c r="DM13" s="28"/>
      <c r="DN13" s="28"/>
      <c r="DO13" s="28"/>
      <c r="DP13" s="28"/>
      <c r="DQ13" s="28"/>
      <c r="DR13" s="28"/>
      <c r="DS13" s="28"/>
      <c r="DT13" s="28"/>
      <c r="DU13" s="28"/>
      <c r="DV13" s="28"/>
      <c r="DW13" s="28"/>
      <c r="DX13" s="28"/>
      <c r="DY13" s="28"/>
      <c r="DZ13" s="28"/>
      <c r="EA13" s="28"/>
      <c r="EB13" s="28"/>
      <c r="EC13" s="28"/>
      <c r="ED13" s="28"/>
      <c r="EE13" s="28"/>
      <c r="EF13" s="28"/>
      <c r="EG13" s="28"/>
      <c r="EH13" s="28"/>
      <c r="EI13" s="28"/>
      <c r="EJ13" s="28"/>
      <c r="EK13" s="28"/>
      <c r="EL13" s="28"/>
      <c r="EM13" s="28"/>
      <c r="EN13" s="28"/>
      <c r="EO13" s="28"/>
      <c r="EP13" s="28"/>
      <c r="EQ13" s="28"/>
      <c r="ER13" s="28"/>
      <c r="ES13" s="28"/>
      <c r="ET13" s="28"/>
      <c r="EU13" s="28"/>
      <c r="EV13" s="28"/>
      <c r="EW13" s="28"/>
      <c r="EX13" s="28"/>
      <c r="EY13" s="28"/>
      <c r="EZ13" s="28"/>
      <c r="FA13" s="28"/>
      <c r="FB13" s="28"/>
      <c r="FC13" s="28"/>
      <c r="FD13" s="28"/>
      <c r="FE13" s="28"/>
      <c r="FF13" s="28"/>
      <c r="FG13" s="28"/>
      <c r="FH13" s="28"/>
      <c r="FI13" s="28"/>
      <c r="FJ13" s="28"/>
      <c r="FK13" s="28"/>
      <c r="FL13" s="28"/>
      <c r="FM13" s="28"/>
      <c r="FN13" s="28"/>
      <c r="FO13" s="28"/>
      <c r="FP13" s="28"/>
      <c r="FQ13" s="28"/>
      <c r="FR13" s="28"/>
      <c r="FS13" s="28"/>
      <c r="FT13" s="28"/>
      <c r="FU13" s="28"/>
      <c r="FV13" s="28"/>
      <c r="FW13" s="28"/>
      <c r="FX13" s="28"/>
      <c r="FY13" s="28"/>
      <c r="FZ13" s="28"/>
      <c r="GA13" s="28"/>
      <c r="GB13" s="28"/>
      <c r="GC13" s="28"/>
      <c r="GD13" s="28"/>
      <c r="GE13" s="28"/>
      <c r="GF13" s="28"/>
      <c r="GG13" s="28"/>
      <c r="GH13" s="28"/>
      <c r="GI13" s="28"/>
      <c r="GJ13" s="28"/>
      <c r="GK13" s="28"/>
      <c r="GL13" s="28"/>
      <c r="GM13" s="28"/>
      <c r="GN13" s="28"/>
      <c r="GO13" s="28"/>
      <c r="GP13" s="28"/>
      <c r="GQ13" s="28"/>
      <c r="GR13" s="28"/>
      <c r="GS13" s="28"/>
      <c r="GT13" s="28"/>
      <c r="GU13" s="28"/>
      <c r="GV13" s="28"/>
      <c r="GW13" s="28"/>
      <c r="GX13" s="28"/>
      <c r="GY13" s="28"/>
      <c r="GZ13" s="28"/>
      <c r="HA13" s="28"/>
      <c r="HB13" s="28"/>
      <c r="HC13" s="28"/>
      <c r="HD13" s="28"/>
      <c r="HE13" s="28"/>
      <c r="HF13" s="28"/>
      <c r="HG13" s="28"/>
      <c r="HH13" s="28"/>
      <c r="HI13" s="28"/>
      <c r="HJ13" s="28"/>
      <c r="HK13" s="28"/>
      <c r="HL13" s="28"/>
      <c r="HM13" s="28"/>
      <c r="HN13" s="28"/>
      <c r="HO13" s="28"/>
      <c r="HP13" s="28"/>
      <c r="HQ13" s="28"/>
      <c r="HR13" s="28"/>
      <c r="HS13" s="28"/>
      <c r="HT13" s="28"/>
      <c r="HU13" s="28"/>
      <c r="HV13" s="28"/>
      <c r="HW13" s="28"/>
      <c r="HX13" s="28"/>
      <c r="HY13" s="28"/>
      <c r="HZ13" s="28"/>
      <c r="IA13" s="28"/>
      <c r="IB13" s="28"/>
      <c r="IC13" s="28"/>
      <c r="ID13" s="28"/>
      <c r="IE13" s="28"/>
      <c r="IF13" s="28"/>
      <c r="IG13" s="28"/>
      <c r="IH13" s="28"/>
      <c r="II13" s="28"/>
      <c r="IJ13" s="28"/>
      <c r="IK13" s="28"/>
      <c r="IL13" s="28"/>
      <c r="IM13" s="28"/>
      <c r="IN13" s="28"/>
      <c r="IO13" s="28"/>
      <c r="IP13" s="28"/>
      <c r="IQ13" s="28"/>
      <c r="IR13" s="28"/>
      <c r="IS13" s="28"/>
      <c r="IT13" s="28"/>
      <c r="IU13" s="28"/>
    </row>
    <row r="14" spans="1:255" ht="20.399999999999999" x14ac:dyDescent="0.2">
      <c r="A14" s="7" t="s">
        <v>8</v>
      </c>
      <c r="B14" s="11" t="s">
        <v>50</v>
      </c>
      <c r="C14" s="11" t="s">
        <v>51</v>
      </c>
      <c r="D14" s="11" t="s">
        <v>52</v>
      </c>
      <c r="E14" s="11" t="s">
        <v>53</v>
      </c>
      <c r="F14" s="11" t="s">
        <v>54</v>
      </c>
      <c r="G14" s="11" t="s">
        <v>55</v>
      </c>
      <c r="H14" s="11" t="s">
        <v>56</v>
      </c>
      <c r="I14" s="11" t="s">
        <v>57</v>
      </c>
    </row>
    <row r="15" spans="1:255" ht="12" customHeight="1" x14ac:dyDescent="0.2">
      <c r="A15" s="7" t="s">
        <v>25</v>
      </c>
      <c r="B15" s="14" t="s">
        <v>26</v>
      </c>
      <c r="C15" s="14" t="s">
        <v>26</v>
      </c>
      <c r="D15" s="14" t="s">
        <v>26</v>
      </c>
      <c r="E15" s="14" t="s">
        <v>26</v>
      </c>
      <c r="F15" s="14" t="s">
        <v>26</v>
      </c>
      <c r="G15" s="19">
        <v>8.41</v>
      </c>
      <c r="H15" s="19">
        <v>13.42</v>
      </c>
      <c r="I15" s="19">
        <v>19.059999999999999</v>
      </c>
    </row>
    <row r="16" spans="1:255" ht="12" customHeight="1" x14ac:dyDescent="0.2">
      <c r="A16" s="7" t="s">
        <v>27</v>
      </c>
      <c r="B16" s="14" t="s">
        <v>26</v>
      </c>
      <c r="C16" s="14" t="s">
        <v>26</v>
      </c>
      <c r="D16" s="14" t="s">
        <v>26</v>
      </c>
      <c r="E16" s="14" t="s">
        <v>26</v>
      </c>
      <c r="F16" s="14" t="s">
        <v>26</v>
      </c>
      <c r="G16" s="19">
        <v>12.87</v>
      </c>
      <c r="H16" s="19">
        <v>19.53</v>
      </c>
      <c r="I16" s="19">
        <v>21.5</v>
      </c>
    </row>
    <row r="17" spans="1:9" ht="12" customHeight="1" x14ac:dyDescent="0.2">
      <c r="A17" s="7" t="s">
        <v>28</v>
      </c>
      <c r="B17" s="14" t="s">
        <v>26</v>
      </c>
      <c r="C17" s="14" t="s">
        <v>26</v>
      </c>
      <c r="D17" s="14" t="s">
        <v>26</v>
      </c>
      <c r="E17" s="14" t="s">
        <v>26</v>
      </c>
      <c r="F17" s="14" t="s">
        <v>26</v>
      </c>
      <c r="G17" s="19">
        <v>8.4700000000000006</v>
      </c>
      <c r="H17" s="19">
        <v>15.69</v>
      </c>
      <c r="I17" s="19">
        <v>20</v>
      </c>
    </row>
    <row r="18" spans="1:9" ht="12" customHeight="1" x14ac:dyDescent="0.2">
      <c r="A18" s="7" t="s">
        <v>29</v>
      </c>
      <c r="B18" s="14" t="s">
        <v>26</v>
      </c>
      <c r="C18" s="14" t="s">
        <v>26</v>
      </c>
      <c r="D18" s="14" t="s">
        <v>26</v>
      </c>
      <c r="E18" s="14" t="s">
        <v>26</v>
      </c>
      <c r="F18" s="14" t="s">
        <v>26</v>
      </c>
      <c r="G18" s="19">
        <v>10.08</v>
      </c>
      <c r="H18" s="19">
        <v>15.34</v>
      </c>
      <c r="I18" s="19">
        <v>19.489999999999998</v>
      </c>
    </row>
    <row r="19" spans="1:9" ht="12" customHeight="1" x14ac:dyDescent="0.2">
      <c r="A19" s="7" t="s">
        <v>30</v>
      </c>
      <c r="B19" s="14" t="s">
        <v>26</v>
      </c>
      <c r="C19" s="14" t="s">
        <v>26</v>
      </c>
      <c r="D19" s="14" t="s">
        <v>26</v>
      </c>
      <c r="E19" s="14" t="s">
        <v>26</v>
      </c>
      <c r="F19" s="14" t="s">
        <v>26</v>
      </c>
      <c r="G19" s="19">
        <v>16.14</v>
      </c>
      <c r="H19" s="19">
        <v>26.83</v>
      </c>
      <c r="I19" s="19">
        <v>35.25</v>
      </c>
    </row>
    <row r="20" spans="1:9" ht="12" customHeight="1" x14ac:dyDescent="0.2">
      <c r="A20" s="7" t="s">
        <v>31</v>
      </c>
      <c r="B20" s="14" t="s">
        <v>26</v>
      </c>
      <c r="C20" s="14" t="s">
        <v>26</v>
      </c>
      <c r="D20" s="14" t="s">
        <v>26</v>
      </c>
      <c r="E20" s="14" t="s">
        <v>26</v>
      </c>
      <c r="F20" s="14" t="s">
        <v>26</v>
      </c>
      <c r="G20" s="19">
        <v>1.86</v>
      </c>
      <c r="H20" s="19">
        <v>27.84</v>
      </c>
      <c r="I20" s="19">
        <v>35.08</v>
      </c>
    </row>
    <row r="21" spans="1:9" ht="12" customHeight="1" x14ac:dyDescent="0.2">
      <c r="A21" s="7" t="s">
        <v>32</v>
      </c>
      <c r="B21" s="14" t="s">
        <v>26</v>
      </c>
      <c r="C21" s="14" t="s">
        <v>26</v>
      </c>
      <c r="D21" s="14" t="s">
        <v>26</v>
      </c>
      <c r="E21" s="14" t="s">
        <v>26</v>
      </c>
      <c r="F21" s="14" t="s">
        <v>26</v>
      </c>
      <c r="G21" s="14" t="s">
        <v>26</v>
      </c>
      <c r="H21" s="14" t="s">
        <v>26</v>
      </c>
      <c r="I21" s="19">
        <v>31.5</v>
      </c>
    </row>
    <row r="22" spans="1:9" ht="12" customHeight="1" x14ac:dyDescent="0.2">
      <c r="A22" s="7" t="s">
        <v>33</v>
      </c>
      <c r="B22" s="14" t="s">
        <v>26</v>
      </c>
      <c r="C22" s="14" t="s">
        <v>26</v>
      </c>
      <c r="D22" s="14" t="s">
        <v>26</v>
      </c>
      <c r="E22" s="14" t="s">
        <v>26</v>
      </c>
      <c r="F22" s="14" t="s">
        <v>26</v>
      </c>
      <c r="G22" s="19">
        <v>7.95</v>
      </c>
      <c r="H22" s="19">
        <v>22.06</v>
      </c>
      <c r="I22" s="19">
        <v>26.54</v>
      </c>
    </row>
    <row r="23" spans="1:9" ht="12" customHeight="1" x14ac:dyDescent="0.2">
      <c r="A23" s="7" t="s">
        <v>34</v>
      </c>
      <c r="B23" s="14" t="s">
        <v>26</v>
      </c>
      <c r="C23" s="14" t="s">
        <v>26</v>
      </c>
      <c r="D23" s="14" t="s">
        <v>26</v>
      </c>
      <c r="E23" s="14" t="s">
        <v>26</v>
      </c>
      <c r="F23" s="14" t="s">
        <v>26</v>
      </c>
      <c r="G23" s="19">
        <v>10.51</v>
      </c>
      <c r="H23" s="19">
        <v>23.37</v>
      </c>
      <c r="I23" s="19">
        <v>32.35</v>
      </c>
    </row>
    <row r="24" spans="1:9" ht="12" customHeight="1" x14ac:dyDescent="0.2">
      <c r="A24" s="7" t="s">
        <v>35</v>
      </c>
      <c r="B24" s="14" t="s">
        <v>26</v>
      </c>
      <c r="C24" s="14" t="s">
        <v>26</v>
      </c>
      <c r="D24" s="14" t="s">
        <v>26</v>
      </c>
      <c r="E24" s="14" t="s">
        <v>26</v>
      </c>
      <c r="F24" s="14" t="s">
        <v>26</v>
      </c>
      <c r="G24" s="19">
        <v>13.79</v>
      </c>
      <c r="H24" s="19">
        <v>24.93</v>
      </c>
      <c r="I24" s="19">
        <v>40.01</v>
      </c>
    </row>
    <row r="25" spans="1:9" x14ac:dyDescent="0.2">
      <c r="A25" s="7" t="s">
        <v>36</v>
      </c>
      <c r="B25" s="14" t="s">
        <v>26</v>
      </c>
      <c r="C25" s="14" t="s">
        <v>26</v>
      </c>
      <c r="D25" s="14" t="s">
        <v>26</v>
      </c>
      <c r="E25" s="14" t="s">
        <v>26</v>
      </c>
      <c r="F25" s="14" t="s">
        <v>26</v>
      </c>
      <c r="G25" s="19">
        <v>4.16</v>
      </c>
      <c r="H25" s="19">
        <v>155.88</v>
      </c>
      <c r="I25" s="14" t="s">
        <v>58</v>
      </c>
    </row>
    <row r="26" spans="1:9" x14ac:dyDescent="0.2">
      <c r="A26" s="8"/>
      <c r="B26" s="8"/>
      <c r="C26" s="8"/>
      <c r="D26" s="8"/>
      <c r="E26" s="8"/>
      <c r="F26" s="8"/>
      <c r="G26" s="8"/>
      <c r="H26" s="8"/>
      <c r="I26" s="8"/>
    </row>
    <row r="27" spans="1:9" ht="12" customHeight="1" x14ac:dyDescent="0.2">
      <c r="A27" s="7" t="s">
        <v>37</v>
      </c>
      <c r="B27" s="11" t="s">
        <v>50</v>
      </c>
      <c r="C27" s="11" t="s">
        <v>51</v>
      </c>
      <c r="D27" s="11" t="s">
        <v>52</v>
      </c>
      <c r="E27" s="11" t="s">
        <v>53</v>
      </c>
      <c r="F27" s="11" t="s">
        <v>54</v>
      </c>
      <c r="G27" s="11" t="s">
        <v>55</v>
      </c>
      <c r="H27" s="11" t="s">
        <v>56</v>
      </c>
      <c r="I27" s="11" t="s">
        <v>57</v>
      </c>
    </row>
    <row r="28" spans="1:9" x14ac:dyDescent="0.2">
      <c r="A28" s="7" t="s">
        <v>38</v>
      </c>
      <c r="B28" s="14" t="s">
        <v>26</v>
      </c>
      <c r="C28" s="14" t="s">
        <v>26</v>
      </c>
      <c r="D28" s="14" t="s">
        <v>26</v>
      </c>
      <c r="E28" s="14" t="s">
        <v>26</v>
      </c>
      <c r="F28" s="14" t="s">
        <v>26</v>
      </c>
      <c r="G28" s="19">
        <v>16.14</v>
      </c>
      <c r="H28" s="19">
        <v>27.84</v>
      </c>
      <c r="I28" s="19">
        <v>40.01</v>
      </c>
    </row>
    <row r="29" spans="1:9" x14ac:dyDescent="0.2">
      <c r="A29" s="7" t="s">
        <v>39</v>
      </c>
      <c r="B29" s="14" t="s">
        <v>26</v>
      </c>
      <c r="C29" s="14" t="s">
        <v>26</v>
      </c>
      <c r="D29" s="14" t="s">
        <v>26</v>
      </c>
      <c r="E29" s="14" t="s">
        <v>26</v>
      </c>
      <c r="F29" s="14" t="s">
        <v>26</v>
      </c>
      <c r="G29" s="19">
        <v>1.86</v>
      </c>
      <c r="H29" s="19">
        <v>13.42</v>
      </c>
      <c r="I29" s="19">
        <v>19.059999999999999</v>
      </c>
    </row>
    <row r="30" spans="1:9" x14ac:dyDescent="0.2">
      <c r="A30" s="7" t="s">
        <v>40</v>
      </c>
      <c r="B30" s="14" t="s">
        <v>26</v>
      </c>
      <c r="C30" s="14" t="s">
        <v>26</v>
      </c>
      <c r="D30" s="14" t="s">
        <v>26</v>
      </c>
      <c r="E30" s="14" t="s">
        <v>26</v>
      </c>
      <c r="F30" s="14" t="s">
        <v>26</v>
      </c>
      <c r="G30" s="19">
        <v>10.01</v>
      </c>
      <c r="H30" s="19">
        <v>21</v>
      </c>
      <c r="I30" s="19">
        <v>28.08</v>
      </c>
    </row>
    <row r="31" spans="1:9" x14ac:dyDescent="0.2">
      <c r="A31" s="7" t="s">
        <v>41</v>
      </c>
      <c r="B31" s="14" t="s">
        <v>26</v>
      </c>
      <c r="C31" s="14" t="s">
        <v>26</v>
      </c>
      <c r="D31" s="14" t="s">
        <v>26</v>
      </c>
      <c r="E31" s="14" t="s">
        <v>26</v>
      </c>
      <c r="F31" s="14" t="s">
        <v>26</v>
      </c>
      <c r="G31" s="19">
        <v>10.08</v>
      </c>
      <c r="H31" s="19">
        <v>22.06</v>
      </c>
      <c r="I31" s="19">
        <v>29.02</v>
      </c>
    </row>
    <row r="32" spans="1:9" x14ac:dyDescent="0.2">
      <c r="A32" s="10"/>
      <c r="B32" s="10"/>
      <c r="C32" s="10"/>
      <c r="D32" s="10"/>
      <c r="E32" s="10"/>
      <c r="F32" s="10"/>
      <c r="G32" s="10"/>
      <c r="H32" s="10"/>
      <c r="I32" s="10"/>
    </row>
    <row r="34" spans="1:1" x14ac:dyDescent="0.2">
      <c r="A34" s="6" t="s">
        <v>42</v>
      </c>
    </row>
    <row r="39" spans="1:1" x14ac:dyDescent="0.2">
      <c r="A39" t="s">
        <v>43</v>
      </c>
    </row>
    <row r="40" spans="1:1" x14ac:dyDescent="0.2">
      <c r="A40" t="s">
        <v>44</v>
      </c>
    </row>
    <row r="48" spans="1:1" ht="20.399999999999999" x14ac:dyDescent="0.2">
      <c r="A48" s="18" t="s">
        <v>45</v>
      </c>
    </row>
    <row r="50" ht="25.05" customHeight="1" x14ac:dyDescent="0.2"/>
  </sheetData>
  <pageMargins left="0.2" right="0.2" top="0.5" bottom="0.5" header="0.5" footer="0.5"/>
  <pageSetup fitToWidth="0" fitToHeight="0" orientation="landscape" horizontalDpi="300" verticalDpi="300"/>
  <headerFooter alignWithMargins="0"/>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A05AE2-8EC9-4706-95B1-33C7C0B27DD1}">
  <sheetPr codeName="Sheet5">
    <outlinePr summaryBelow="0" summaryRight="0"/>
  </sheetPr>
  <dimension ref="A4:IU50"/>
  <sheetViews>
    <sheetView defaultGridColor="0" colorId="0" workbookViewId="0"/>
  </sheetViews>
  <sheetFormatPr defaultRowHeight="10.199999999999999" x14ac:dyDescent="0.2"/>
  <cols>
    <col min="1" max="1" width="47.88671875" customWidth="1"/>
    <col min="2" max="13" width="20.88671875" customWidth="1"/>
  </cols>
  <sheetData>
    <row r="4" spans="1:255" ht="16.2" x14ac:dyDescent="0.25">
      <c r="A4" s="1" t="s">
        <v>59</v>
      </c>
    </row>
    <row r="7" spans="1:255" x14ac:dyDescent="0.2">
      <c r="A7" s="2" t="s">
        <v>1</v>
      </c>
      <c r="B7" s="2"/>
      <c r="C7" s="2"/>
      <c r="D7" s="2"/>
      <c r="E7" s="2"/>
      <c r="F7" s="2"/>
      <c r="G7" s="2"/>
      <c r="H7" s="2"/>
      <c r="I7" s="2"/>
      <c r="J7" s="2"/>
      <c r="K7" s="2"/>
      <c r="L7" s="2"/>
      <c r="M7" s="2"/>
      <c r="N7" s="28"/>
      <c r="O7" s="28"/>
      <c r="P7" s="28"/>
      <c r="Q7" s="28"/>
      <c r="R7" s="28"/>
      <c r="S7" s="28"/>
      <c r="T7" s="28"/>
      <c r="U7" s="28"/>
      <c r="V7" s="28"/>
      <c r="W7" s="28"/>
      <c r="X7" s="28"/>
      <c r="Y7" s="28"/>
      <c r="Z7" s="28"/>
      <c r="AA7" s="28"/>
      <c r="AB7" s="28"/>
      <c r="AC7" s="28"/>
      <c r="AD7" s="28"/>
      <c r="AE7" s="28"/>
      <c r="AF7" s="28"/>
      <c r="AG7" s="28"/>
      <c r="AH7" s="28"/>
      <c r="AI7" s="28"/>
      <c r="AJ7" s="28"/>
      <c r="AK7" s="28"/>
      <c r="AL7" s="28"/>
      <c r="AM7" s="28"/>
      <c r="AN7" s="28"/>
      <c r="AO7" s="28"/>
      <c r="AP7" s="28"/>
      <c r="AQ7" s="28"/>
      <c r="AR7" s="28"/>
      <c r="AS7" s="28"/>
      <c r="AT7" s="28"/>
      <c r="AU7" s="28"/>
      <c r="AV7" s="28"/>
      <c r="AW7" s="28"/>
      <c r="AX7" s="28"/>
      <c r="AY7" s="28"/>
      <c r="AZ7" s="28"/>
      <c r="BA7" s="28"/>
      <c r="BB7" s="28"/>
      <c r="BC7" s="28"/>
      <c r="BD7" s="28"/>
      <c r="BE7" s="28"/>
      <c r="BF7" s="28"/>
      <c r="BG7" s="28"/>
      <c r="BH7" s="28"/>
      <c r="BI7" s="28"/>
      <c r="BJ7" s="28"/>
      <c r="BK7" s="28"/>
      <c r="BL7" s="28"/>
      <c r="BM7" s="28"/>
      <c r="BN7" s="28"/>
      <c r="BO7" s="28"/>
      <c r="BP7" s="28"/>
      <c r="BQ7" s="28"/>
      <c r="BR7" s="28"/>
      <c r="BS7" s="28"/>
      <c r="BT7" s="28"/>
      <c r="BU7" s="28"/>
      <c r="BV7" s="28"/>
      <c r="BW7" s="28"/>
      <c r="BX7" s="28"/>
      <c r="BY7" s="28"/>
      <c r="BZ7" s="28"/>
      <c r="CA7" s="28"/>
      <c r="CB7" s="28"/>
      <c r="CC7" s="28"/>
      <c r="CD7" s="28"/>
      <c r="CE7" s="28"/>
      <c r="CF7" s="28"/>
      <c r="CG7" s="28"/>
      <c r="CH7" s="28"/>
      <c r="CI7" s="28"/>
      <c r="CJ7" s="28"/>
      <c r="CK7" s="28"/>
      <c r="CL7" s="28"/>
      <c r="CM7" s="28"/>
      <c r="CN7" s="28"/>
      <c r="CO7" s="28"/>
      <c r="CP7" s="28"/>
      <c r="CQ7" s="28"/>
      <c r="CR7" s="28"/>
      <c r="CS7" s="28"/>
      <c r="CT7" s="28"/>
      <c r="CU7" s="28"/>
      <c r="CV7" s="28"/>
      <c r="CW7" s="28"/>
      <c r="CX7" s="28"/>
      <c r="CY7" s="28"/>
      <c r="CZ7" s="28"/>
      <c r="DA7" s="28"/>
      <c r="DB7" s="28"/>
      <c r="DC7" s="28"/>
      <c r="DD7" s="28"/>
      <c r="DE7" s="28"/>
      <c r="DF7" s="28"/>
      <c r="DG7" s="28"/>
      <c r="DH7" s="28"/>
      <c r="DI7" s="28"/>
      <c r="DJ7" s="28"/>
      <c r="DK7" s="28"/>
      <c r="DL7" s="28"/>
      <c r="DM7" s="28"/>
      <c r="DN7" s="28"/>
      <c r="DO7" s="28"/>
      <c r="DP7" s="28"/>
      <c r="DQ7" s="28"/>
      <c r="DR7" s="28"/>
      <c r="DS7" s="28"/>
      <c r="DT7" s="28"/>
      <c r="DU7" s="28"/>
      <c r="DV7" s="28"/>
      <c r="DW7" s="28"/>
      <c r="DX7" s="28"/>
      <c r="DY7" s="28"/>
      <c r="DZ7" s="28"/>
      <c r="EA7" s="28"/>
      <c r="EB7" s="28"/>
      <c r="EC7" s="28"/>
      <c r="ED7" s="28"/>
      <c r="EE7" s="28"/>
      <c r="EF7" s="28"/>
      <c r="EG7" s="28"/>
      <c r="EH7" s="28"/>
      <c r="EI7" s="28"/>
      <c r="EJ7" s="28"/>
      <c r="EK7" s="28"/>
      <c r="EL7" s="28"/>
      <c r="EM7" s="28"/>
      <c r="EN7" s="28"/>
      <c r="EO7" s="28"/>
      <c r="EP7" s="28"/>
      <c r="EQ7" s="28"/>
      <c r="ER7" s="28"/>
      <c r="ES7" s="28"/>
      <c r="ET7" s="28"/>
      <c r="EU7" s="28"/>
      <c r="EV7" s="28"/>
      <c r="EW7" s="28"/>
      <c r="EX7" s="28"/>
      <c r="EY7" s="28"/>
      <c r="EZ7" s="28"/>
      <c r="FA7" s="28"/>
      <c r="FB7" s="28"/>
      <c r="FC7" s="28"/>
      <c r="FD7" s="28"/>
      <c r="FE7" s="28"/>
      <c r="FF7" s="28"/>
      <c r="FG7" s="28"/>
      <c r="FH7" s="28"/>
      <c r="FI7" s="28"/>
      <c r="FJ7" s="28"/>
      <c r="FK7" s="28"/>
      <c r="FL7" s="28"/>
      <c r="FM7" s="28"/>
      <c r="FN7" s="28"/>
      <c r="FO7" s="28"/>
      <c r="FP7" s="28"/>
      <c r="FQ7" s="28"/>
      <c r="FR7" s="28"/>
      <c r="FS7" s="28"/>
      <c r="FT7" s="28"/>
      <c r="FU7" s="28"/>
      <c r="FV7" s="28"/>
      <c r="FW7" s="28"/>
      <c r="FX7" s="28"/>
      <c r="FY7" s="28"/>
      <c r="FZ7" s="28"/>
      <c r="GA7" s="28"/>
      <c r="GB7" s="28"/>
      <c r="GC7" s="28"/>
      <c r="GD7" s="28"/>
      <c r="GE7" s="28"/>
      <c r="GF7" s="28"/>
      <c r="GG7" s="28"/>
      <c r="GH7" s="28"/>
      <c r="GI7" s="28"/>
      <c r="GJ7" s="28"/>
      <c r="GK7" s="28"/>
      <c r="GL7" s="28"/>
      <c r="GM7" s="28"/>
      <c r="GN7" s="28"/>
      <c r="GO7" s="28"/>
      <c r="GP7" s="28"/>
      <c r="GQ7" s="28"/>
      <c r="GR7" s="28"/>
      <c r="GS7" s="28"/>
      <c r="GT7" s="28"/>
      <c r="GU7" s="28"/>
      <c r="GV7" s="28"/>
      <c r="GW7" s="28"/>
      <c r="GX7" s="28"/>
      <c r="GY7" s="28"/>
      <c r="GZ7" s="28"/>
      <c r="HA7" s="28"/>
      <c r="HB7" s="28"/>
      <c r="HC7" s="28"/>
      <c r="HD7" s="28"/>
      <c r="HE7" s="28"/>
      <c r="HF7" s="28"/>
      <c r="HG7" s="28"/>
      <c r="HH7" s="28"/>
      <c r="HI7" s="28"/>
      <c r="HJ7" s="28"/>
      <c r="HK7" s="28"/>
      <c r="HL7" s="28"/>
      <c r="HM7" s="28"/>
      <c r="HN7" s="28"/>
      <c r="HO7" s="28"/>
      <c r="HP7" s="28"/>
      <c r="HQ7" s="28"/>
      <c r="HR7" s="28"/>
      <c r="HS7" s="28"/>
      <c r="HT7" s="28"/>
      <c r="HU7" s="28"/>
      <c r="HV7" s="28"/>
      <c r="HW7" s="28"/>
      <c r="HX7" s="28"/>
      <c r="HY7" s="28"/>
      <c r="HZ7" s="28"/>
      <c r="IA7" s="28"/>
      <c r="IB7" s="28"/>
      <c r="IC7" s="28"/>
      <c r="ID7" s="28"/>
      <c r="IE7" s="28"/>
      <c r="IF7" s="28"/>
      <c r="IG7" s="28"/>
      <c r="IH7" s="28"/>
      <c r="II7" s="28"/>
      <c r="IJ7" s="28"/>
      <c r="IK7" s="28"/>
      <c r="IL7" s="28"/>
      <c r="IM7" s="28"/>
      <c r="IN7" s="28"/>
      <c r="IO7" s="28"/>
      <c r="IP7" s="28"/>
      <c r="IQ7" s="28"/>
      <c r="IR7" s="28"/>
      <c r="IS7" s="28"/>
      <c r="IT7" s="28"/>
      <c r="IU7" s="28"/>
    </row>
    <row r="8" spans="1:255" x14ac:dyDescent="0.2">
      <c r="A8" s="3" t="s">
        <v>60</v>
      </c>
      <c r="B8" s="4" t="s">
        <v>3</v>
      </c>
    </row>
    <row r="9" spans="1:255" x14ac:dyDescent="0.2">
      <c r="A9" s="3" t="s">
        <v>61</v>
      </c>
      <c r="B9" s="4" t="s">
        <v>5</v>
      </c>
    </row>
    <row r="10" spans="1:255" x14ac:dyDescent="0.2">
      <c r="A10" s="3" t="s">
        <v>62</v>
      </c>
      <c r="B10" s="5">
        <v>45043</v>
      </c>
    </row>
    <row r="11" spans="1:255" x14ac:dyDescent="0.2">
      <c r="A11" s="6"/>
    </row>
    <row r="13" spans="1:255" x14ac:dyDescent="0.2">
      <c r="A13" s="2" t="s">
        <v>7</v>
      </c>
      <c r="B13" s="2"/>
      <c r="C13" s="2"/>
      <c r="D13" s="2"/>
      <c r="E13" s="2"/>
      <c r="F13" s="2"/>
      <c r="G13" s="2"/>
      <c r="H13" s="2"/>
      <c r="I13" s="2"/>
      <c r="J13" s="2"/>
      <c r="K13" s="2"/>
      <c r="L13" s="2"/>
      <c r="M13" s="2"/>
      <c r="N13" s="28"/>
      <c r="O13" s="28"/>
      <c r="P13" s="28"/>
      <c r="Q13" s="28"/>
      <c r="R13" s="28"/>
      <c r="S13" s="28"/>
      <c r="T13" s="28"/>
      <c r="U13" s="28"/>
      <c r="V13" s="28"/>
      <c r="W13" s="28"/>
      <c r="X13" s="28"/>
      <c r="Y13" s="28"/>
      <c r="Z13" s="28"/>
      <c r="AA13" s="28"/>
      <c r="AB13" s="28"/>
      <c r="AC13" s="28"/>
      <c r="AD13" s="28"/>
      <c r="AE13" s="28"/>
      <c r="AF13" s="28"/>
      <c r="AG13" s="28"/>
      <c r="AH13" s="28"/>
      <c r="AI13" s="28"/>
      <c r="AJ13" s="28"/>
      <c r="AK13" s="28"/>
      <c r="AL13" s="28"/>
      <c r="AM13" s="28"/>
      <c r="AN13" s="28"/>
      <c r="AO13" s="28"/>
      <c r="AP13" s="28"/>
      <c r="AQ13" s="28"/>
      <c r="AR13" s="28"/>
      <c r="AS13" s="28"/>
      <c r="AT13" s="28"/>
      <c r="AU13" s="28"/>
      <c r="AV13" s="28"/>
      <c r="AW13" s="28"/>
      <c r="AX13" s="28"/>
      <c r="AY13" s="28"/>
      <c r="AZ13" s="28"/>
      <c r="BA13" s="28"/>
      <c r="BB13" s="28"/>
      <c r="BC13" s="28"/>
      <c r="BD13" s="28"/>
      <c r="BE13" s="28"/>
      <c r="BF13" s="28"/>
      <c r="BG13" s="28"/>
      <c r="BH13" s="28"/>
      <c r="BI13" s="28"/>
      <c r="BJ13" s="28"/>
      <c r="BK13" s="28"/>
      <c r="BL13" s="28"/>
      <c r="BM13" s="28"/>
      <c r="BN13" s="28"/>
      <c r="BO13" s="28"/>
      <c r="BP13" s="28"/>
      <c r="BQ13" s="28"/>
      <c r="BR13" s="28"/>
      <c r="BS13" s="28"/>
      <c r="BT13" s="28"/>
      <c r="BU13" s="28"/>
      <c r="BV13" s="28"/>
      <c r="BW13" s="28"/>
      <c r="BX13" s="28"/>
      <c r="BY13" s="28"/>
      <c r="BZ13" s="28"/>
      <c r="CA13" s="28"/>
      <c r="CB13" s="28"/>
      <c r="CC13" s="28"/>
      <c r="CD13" s="28"/>
      <c r="CE13" s="28"/>
      <c r="CF13" s="28"/>
      <c r="CG13" s="28"/>
      <c r="CH13" s="28"/>
      <c r="CI13" s="28"/>
      <c r="CJ13" s="28"/>
      <c r="CK13" s="28"/>
      <c r="CL13" s="28"/>
      <c r="CM13" s="28"/>
      <c r="CN13" s="28"/>
      <c r="CO13" s="28"/>
      <c r="CP13" s="28"/>
      <c r="CQ13" s="28"/>
      <c r="CR13" s="28"/>
      <c r="CS13" s="28"/>
      <c r="CT13" s="28"/>
      <c r="CU13" s="28"/>
      <c r="CV13" s="28"/>
      <c r="CW13" s="28"/>
      <c r="CX13" s="28"/>
      <c r="CY13" s="28"/>
      <c r="CZ13" s="28"/>
      <c r="DA13" s="28"/>
      <c r="DB13" s="28"/>
      <c r="DC13" s="28"/>
      <c r="DD13" s="28"/>
      <c r="DE13" s="28"/>
      <c r="DF13" s="28"/>
      <c r="DG13" s="28"/>
      <c r="DH13" s="28"/>
      <c r="DI13" s="28"/>
      <c r="DJ13" s="28"/>
      <c r="DK13" s="28"/>
      <c r="DL13" s="28"/>
      <c r="DM13" s="28"/>
      <c r="DN13" s="28"/>
      <c r="DO13" s="28"/>
      <c r="DP13" s="28"/>
      <c r="DQ13" s="28"/>
      <c r="DR13" s="28"/>
      <c r="DS13" s="28"/>
      <c r="DT13" s="28"/>
      <c r="DU13" s="28"/>
      <c r="DV13" s="28"/>
      <c r="DW13" s="28"/>
      <c r="DX13" s="28"/>
      <c r="DY13" s="28"/>
      <c r="DZ13" s="28"/>
      <c r="EA13" s="28"/>
      <c r="EB13" s="28"/>
      <c r="EC13" s="28"/>
      <c r="ED13" s="28"/>
      <c r="EE13" s="28"/>
      <c r="EF13" s="28"/>
      <c r="EG13" s="28"/>
      <c r="EH13" s="28"/>
      <c r="EI13" s="28"/>
      <c r="EJ13" s="28"/>
      <c r="EK13" s="28"/>
      <c r="EL13" s="28"/>
      <c r="EM13" s="28"/>
      <c r="EN13" s="28"/>
      <c r="EO13" s="28"/>
      <c r="EP13" s="28"/>
      <c r="EQ13" s="28"/>
      <c r="ER13" s="28"/>
      <c r="ES13" s="28"/>
      <c r="ET13" s="28"/>
      <c r="EU13" s="28"/>
      <c r="EV13" s="28"/>
      <c r="EW13" s="28"/>
      <c r="EX13" s="28"/>
      <c r="EY13" s="28"/>
      <c r="EZ13" s="28"/>
      <c r="FA13" s="28"/>
      <c r="FB13" s="28"/>
      <c r="FC13" s="28"/>
      <c r="FD13" s="28"/>
      <c r="FE13" s="28"/>
      <c r="FF13" s="28"/>
      <c r="FG13" s="28"/>
      <c r="FH13" s="28"/>
      <c r="FI13" s="28"/>
      <c r="FJ13" s="28"/>
      <c r="FK13" s="28"/>
      <c r="FL13" s="28"/>
      <c r="FM13" s="28"/>
      <c r="FN13" s="28"/>
      <c r="FO13" s="28"/>
      <c r="FP13" s="28"/>
      <c r="FQ13" s="28"/>
      <c r="FR13" s="28"/>
      <c r="FS13" s="28"/>
      <c r="FT13" s="28"/>
      <c r="FU13" s="28"/>
      <c r="FV13" s="28"/>
      <c r="FW13" s="28"/>
      <c r="FX13" s="28"/>
      <c r="FY13" s="28"/>
      <c r="FZ13" s="28"/>
      <c r="GA13" s="28"/>
      <c r="GB13" s="28"/>
      <c r="GC13" s="28"/>
      <c r="GD13" s="28"/>
      <c r="GE13" s="28"/>
      <c r="GF13" s="28"/>
      <c r="GG13" s="28"/>
      <c r="GH13" s="28"/>
      <c r="GI13" s="28"/>
      <c r="GJ13" s="28"/>
      <c r="GK13" s="28"/>
      <c r="GL13" s="28"/>
      <c r="GM13" s="28"/>
      <c r="GN13" s="28"/>
      <c r="GO13" s="28"/>
      <c r="GP13" s="28"/>
      <c r="GQ13" s="28"/>
      <c r="GR13" s="28"/>
      <c r="GS13" s="28"/>
      <c r="GT13" s="28"/>
      <c r="GU13" s="28"/>
      <c r="GV13" s="28"/>
      <c r="GW13" s="28"/>
      <c r="GX13" s="28"/>
      <c r="GY13" s="28"/>
      <c r="GZ13" s="28"/>
      <c r="HA13" s="28"/>
      <c r="HB13" s="28"/>
      <c r="HC13" s="28"/>
      <c r="HD13" s="28"/>
      <c r="HE13" s="28"/>
      <c r="HF13" s="28"/>
      <c r="HG13" s="28"/>
      <c r="HH13" s="28"/>
      <c r="HI13" s="28"/>
      <c r="HJ13" s="28"/>
      <c r="HK13" s="28"/>
      <c r="HL13" s="28"/>
      <c r="HM13" s="28"/>
      <c r="HN13" s="28"/>
      <c r="HO13" s="28"/>
      <c r="HP13" s="28"/>
      <c r="HQ13" s="28"/>
      <c r="HR13" s="28"/>
      <c r="HS13" s="28"/>
      <c r="HT13" s="28"/>
      <c r="HU13" s="28"/>
      <c r="HV13" s="28"/>
      <c r="HW13" s="28"/>
      <c r="HX13" s="28"/>
      <c r="HY13" s="28"/>
      <c r="HZ13" s="28"/>
      <c r="IA13" s="28"/>
      <c r="IB13" s="28"/>
      <c r="IC13" s="28"/>
      <c r="ID13" s="28"/>
      <c r="IE13" s="28"/>
      <c r="IF13" s="28"/>
      <c r="IG13" s="28"/>
      <c r="IH13" s="28"/>
      <c r="II13" s="28"/>
      <c r="IJ13" s="28"/>
      <c r="IK13" s="28"/>
      <c r="IL13" s="28"/>
      <c r="IM13" s="28"/>
      <c r="IN13" s="28"/>
      <c r="IO13" s="28"/>
      <c r="IP13" s="28"/>
      <c r="IQ13" s="28"/>
      <c r="IR13" s="28"/>
      <c r="IS13" s="28"/>
      <c r="IT13" s="28"/>
      <c r="IU13" s="28"/>
    </row>
    <row r="14" spans="1:255" ht="20.399999999999999" x14ac:dyDescent="0.2">
      <c r="A14" s="7" t="s">
        <v>8</v>
      </c>
      <c r="B14" s="11" t="s">
        <v>63</v>
      </c>
      <c r="C14" s="11" t="s">
        <v>64</v>
      </c>
      <c r="D14" s="11" t="s">
        <v>65</v>
      </c>
      <c r="E14" s="11" t="s">
        <v>66</v>
      </c>
      <c r="F14" s="11" t="s">
        <v>67</v>
      </c>
      <c r="G14" s="11" t="s">
        <v>68</v>
      </c>
      <c r="H14" s="11" t="s">
        <v>69</v>
      </c>
      <c r="I14" s="11" t="s">
        <v>70</v>
      </c>
      <c r="J14" s="11" t="s">
        <v>71</v>
      </c>
      <c r="K14" s="11" t="s">
        <v>72</v>
      </c>
      <c r="L14" s="11" t="s">
        <v>73</v>
      </c>
      <c r="M14" s="11" t="s">
        <v>74</v>
      </c>
    </row>
    <row r="15" spans="1:255" ht="12" customHeight="1" x14ac:dyDescent="0.2">
      <c r="A15" s="7" t="s">
        <v>25</v>
      </c>
      <c r="B15" s="20">
        <v>0.44</v>
      </c>
      <c r="C15" s="20">
        <v>0.28399999999999997</v>
      </c>
      <c r="D15" s="20">
        <v>0.24399999999999999</v>
      </c>
      <c r="E15" s="21">
        <v>5.9400000000000001E-2</v>
      </c>
      <c r="F15" s="21">
        <v>0.13270000000000001</v>
      </c>
      <c r="G15" s="21">
        <v>0.14899999999999999</v>
      </c>
      <c r="H15" s="21">
        <v>0.17879999999999999</v>
      </c>
      <c r="I15" s="21">
        <v>-0.55579999999999996</v>
      </c>
      <c r="J15" s="21">
        <v>0.35289999999999999</v>
      </c>
      <c r="K15" s="22">
        <v>1.6</v>
      </c>
      <c r="L15" s="21">
        <v>3.9699999999999999E-2</v>
      </c>
      <c r="M15" s="12">
        <v>0.49</v>
      </c>
    </row>
    <row r="16" spans="1:255" ht="12" customHeight="1" x14ac:dyDescent="0.2">
      <c r="A16" s="7" t="s">
        <v>27</v>
      </c>
      <c r="B16" s="20">
        <v>1</v>
      </c>
      <c r="C16" s="20">
        <v>0.67</v>
      </c>
      <c r="D16" s="20">
        <v>0.59899999999999998</v>
      </c>
      <c r="E16" s="21">
        <v>0.56110000000000004</v>
      </c>
      <c r="F16" s="21">
        <v>6.9400000000000003E-2</v>
      </c>
      <c r="G16" s="21">
        <v>9.6600000000000005E-2</v>
      </c>
      <c r="H16" s="21">
        <v>0.1164</v>
      </c>
      <c r="I16" s="21">
        <v>3.27E-2</v>
      </c>
      <c r="J16" s="21">
        <v>0.1116</v>
      </c>
      <c r="K16" s="22">
        <v>1</v>
      </c>
      <c r="L16" s="21">
        <v>3.7699999999999997E-2</v>
      </c>
      <c r="M16" s="12">
        <v>0.43</v>
      </c>
    </row>
    <row r="17" spans="1:13" ht="12" customHeight="1" x14ac:dyDescent="0.2">
      <c r="A17" s="7" t="s">
        <v>28</v>
      </c>
      <c r="B17" s="20">
        <v>0.57899999999999996</v>
      </c>
      <c r="C17" s="20">
        <v>0.315</v>
      </c>
      <c r="D17" s="20">
        <v>0.27400000000000002</v>
      </c>
      <c r="E17" s="21">
        <v>0.18360000000000001</v>
      </c>
      <c r="F17" s="21">
        <v>7.8700000000000006E-2</v>
      </c>
      <c r="G17" s="21">
        <v>2.9600000000000001E-2</v>
      </c>
      <c r="H17" s="21">
        <v>5.11E-2</v>
      </c>
      <c r="I17" s="21">
        <v>-2.5600000000000001E-2</v>
      </c>
      <c r="J17" s="21">
        <v>0.47320000000000001</v>
      </c>
      <c r="K17" s="22">
        <v>2.7</v>
      </c>
      <c r="L17" s="21">
        <v>4.4699999999999997E-2</v>
      </c>
      <c r="M17" s="12">
        <v>0.97</v>
      </c>
    </row>
    <row r="18" spans="1:13" ht="12" customHeight="1" x14ac:dyDescent="0.2">
      <c r="A18" s="7" t="s">
        <v>29</v>
      </c>
      <c r="B18" s="20">
        <v>1</v>
      </c>
      <c r="C18" s="20">
        <v>0.61899999999999999</v>
      </c>
      <c r="D18" s="20">
        <v>0.51100000000000001</v>
      </c>
      <c r="E18" s="21">
        <v>0.1983</v>
      </c>
      <c r="F18" s="21">
        <v>2.0400000000000001E-2</v>
      </c>
      <c r="G18" s="21">
        <v>3.8899999999999997E-2</v>
      </c>
      <c r="H18" s="21">
        <v>5.0999999999999997E-2</v>
      </c>
      <c r="I18" s="21">
        <v>-0.64370000000000005</v>
      </c>
      <c r="J18" s="21">
        <v>0.4476</v>
      </c>
      <c r="K18" s="22">
        <v>4</v>
      </c>
      <c r="L18" s="21">
        <v>7.6499999999999999E-2</v>
      </c>
      <c r="M18" s="12">
        <v>0.93</v>
      </c>
    </row>
    <row r="19" spans="1:13" ht="12" customHeight="1" x14ac:dyDescent="0.2">
      <c r="A19" s="7" t="s">
        <v>30</v>
      </c>
      <c r="B19" s="20">
        <v>0.82</v>
      </c>
      <c r="C19" s="20">
        <v>0.58099999999999996</v>
      </c>
      <c r="D19" s="20">
        <v>0.54100000000000004</v>
      </c>
      <c r="E19" s="21">
        <v>0.38619999999999999</v>
      </c>
      <c r="F19" s="21">
        <v>7.3300000000000004E-2</v>
      </c>
      <c r="G19" s="21">
        <v>8.9200000000000002E-2</v>
      </c>
      <c r="H19" s="21">
        <v>8.5599999999999996E-2</v>
      </c>
      <c r="I19" s="21">
        <v>0.16270000000000001</v>
      </c>
      <c r="J19" s="21">
        <v>1.2395</v>
      </c>
      <c r="K19" s="22">
        <v>3.4</v>
      </c>
      <c r="L19" s="21">
        <v>0.15049999999999999</v>
      </c>
      <c r="M19" s="12">
        <v>1.1499999999999999</v>
      </c>
    </row>
    <row r="20" spans="1:13" ht="12" customHeight="1" x14ac:dyDescent="0.2">
      <c r="A20" s="7" t="s">
        <v>31</v>
      </c>
      <c r="B20" s="20">
        <v>0.34599999999999997</v>
      </c>
      <c r="C20" s="20">
        <v>-1.4E-2</v>
      </c>
      <c r="D20" s="20">
        <v>-3.3000000000000002E-2</v>
      </c>
      <c r="E20" s="21">
        <v>-3.0800000000000001E-2</v>
      </c>
      <c r="F20" s="21">
        <v>-7.3000000000000001E-3</v>
      </c>
      <c r="G20" s="14" t="s">
        <v>26</v>
      </c>
      <c r="H20" s="14" t="s">
        <v>26</v>
      </c>
      <c r="I20" s="14" t="s">
        <v>26</v>
      </c>
      <c r="J20" s="21">
        <v>0.26900000000000002</v>
      </c>
      <c r="K20" s="14" t="s">
        <v>58</v>
      </c>
      <c r="L20" s="21">
        <v>0.30980000000000002</v>
      </c>
      <c r="M20" s="12">
        <v>2.35</v>
      </c>
    </row>
    <row r="21" spans="1:13" ht="12" customHeight="1" x14ac:dyDescent="0.2">
      <c r="A21" s="7" t="s">
        <v>32</v>
      </c>
      <c r="B21" s="20">
        <v>0.94399999999999995</v>
      </c>
      <c r="C21" s="14" t="s">
        <v>26</v>
      </c>
      <c r="D21" s="14" t="s">
        <v>26</v>
      </c>
      <c r="E21" s="21">
        <v>0.26040000000000002</v>
      </c>
      <c r="F21" s="21">
        <v>8.3599999999999994E-2</v>
      </c>
      <c r="G21" s="14" t="s">
        <v>26</v>
      </c>
      <c r="H21" s="14" t="s">
        <v>26</v>
      </c>
      <c r="I21" s="21">
        <v>0.29880000000000001</v>
      </c>
      <c r="J21" s="21">
        <v>4.5999999999999999E-3</v>
      </c>
      <c r="K21" s="14" t="s">
        <v>26</v>
      </c>
      <c r="L21" s="21">
        <v>0.1143</v>
      </c>
      <c r="M21" s="12">
        <v>0.97</v>
      </c>
    </row>
    <row r="22" spans="1:13" ht="12" customHeight="1" x14ac:dyDescent="0.2">
      <c r="A22" s="7" t="s">
        <v>33</v>
      </c>
      <c r="B22" s="20">
        <v>0.53600000000000003</v>
      </c>
      <c r="C22" s="20">
        <v>0.36199999999999999</v>
      </c>
      <c r="D22" s="20">
        <v>0.31</v>
      </c>
      <c r="E22" s="21">
        <v>0.223</v>
      </c>
      <c r="F22" s="21">
        <v>0.20430000000000001</v>
      </c>
      <c r="G22" s="21">
        <v>0.29199999999999998</v>
      </c>
      <c r="H22" s="21">
        <v>0.25109999999999999</v>
      </c>
      <c r="I22" s="21">
        <v>6.7699999999999996E-2</v>
      </c>
      <c r="J22" s="21">
        <v>0.54959999999999998</v>
      </c>
      <c r="K22" s="22">
        <v>2.5</v>
      </c>
      <c r="L22" s="21">
        <v>0.1045</v>
      </c>
      <c r="M22" s="12">
        <v>0.83</v>
      </c>
    </row>
    <row r="23" spans="1:13" ht="12" customHeight="1" x14ac:dyDescent="0.2">
      <c r="A23" s="7" t="s">
        <v>34</v>
      </c>
      <c r="B23" s="20">
        <v>0.7</v>
      </c>
      <c r="C23" s="20">
        <v>0.41699999999999998</v>
      </c>
      <c r="D23" s="20">
        <v>0.35399999999999998</v>
      </c>
      <c r="E23" s="21">
        <v>0.25419999999999998</v>
      </c>
      <c r="F23" s="21">
        <v>-0.1179</v>
      </c>
      <c r="G23" s="21">
        <v>-0.22570000000000001</v>
      </c>
      <c r="H23" s="21">
        <v>-0.27389999999999998</v>
      </c>
      <c r="I23" s="21">
        <v>-0.30309999999999998</v>
      </c>
      <c r="J23" s="21">
        <v>0.72619999999999996</v>
      </c>
      <c r="K23" s="22">
        <v>3.4</v>
      </c>
      <c r="L23" s="21">
        <v>7.0499999999999993E-2</v>
      </c>
      <c r="M23" s="12">
        <v>1.3</v>
      </c>
    </row>
    <row r="24" spans="1:13" ht="12" customHeight="1" x14ac:dyDescent="0.2">
      <c r="A24" s="7" t="s">
        <v>35</v>
      </c>
      <c r="B24" s="20">
        <v>0.92400000000000004</v>
      </c>
      <c r="C24" s="20">
        <v>0.52400000000000002</v>
      </c>
      <c r="D24" s="20">
        <v>0.45400000000000001</v>
      </c>
      <c r="E24" s="21">
        <v>0.3523</v>
      </c>
      <c r="F24" s="21">
        <v>6.6500000000000004E-2</v>
      </c>
      <c r="G24" s="21">
        <v>3.5099999999999999E-2</v>
      </c>
      <c r="H24" s="21">
        <v>3.7999999999999999E-2</v>
      </c>
      <c r="I24" s="21">
        <v>6.9699999999999998E-2</v>
      </c>
      <c r="J24" s="21">
        <v>6.7599999999999993E-2</v>
      </c>
      <c r="K24" s="22">
        <v>0.2</v>
      </c>
      <c r="L24" s="21">
        <v>0.13589999999999999</v>
      </c>
      <c r="M24" s="12">
        <v>0.8</v>
      </c>
    </row>
    <row r="25" spans="1:13" x14ac:dyDescent="0.2">
      <c r="A25" s="7" t="s">
        <v>36</v>
      </c>
      <c r="B25" s="20">
        <v>1</v>
      </c>
      <c r="C25" s="20">
        <v>-0.60299999999999998</v>
      </c>
      <c r="D25" s="20">
        <v>-0.65200000000000002</v>
      </c>
      <c r="E25" s="21">
        <v>-0.83350000000000002</v>
      </c>
      <c r="F25" s="21">
        <v>-0.59809999999999997</v>
      </c>
      <c r="G25" s="14" t="s">
        <v>26</v>
      </c>
      <c r="H25" s="14" t="s">
        <v>26</v>
      </c>
      <c r="I25" s="14" t="s">
        <v>26</v>
      </c>
      <c r="J25" s="21">
        <v>0.40029999999999999</v>
      </c>
      <c r="K25" s="14" t="s">
        <v>58</v>
      </c>
      <c r="L25" s="14" t="s">
        <v>26</v>
      </c>
      <c r="M25" s="12">
        <v>2.63</v>
      </c>
    </row>
    <row r="26" spans="1:13" x14ac:dyDescent="0.2">
      <c r="A26" s="8"/>
      <c r="B26" s="8"/>
      <c r="C26" s="8"/>
      <c r="D26" s="8"/>
      <c r="E26" s="8"/>
      <c r="F26" s="8"/>
      <c r="G26" s="8"/>
      <c r="H26" s="8"/>
      <c r="I26" s="8"/>
      <c r="J26" s="8"/>
      <c r="K26" s="8"/>
      <c r="L26" s="8"/>
      <c r="M26" s="8"/>
    </row>
    <row r="27" spans="1:13" ht="12" customHeight="1" x14ac:dyDescent="0.2">
      <c r="A27" s="7" t="s">
        <v>37</v>
      </c>
      <c r="B27" s="11" t="s">
        <v>63</v>
      </c>
      <c r="C27" s="11" t="s">
        <v>64</v>
      </c>
      <c r="D27" s="11" t="s">
        <v>65</v>
      </c>
      <c r="E27" s="11" t="s">
        <v>66</v>
      </c>
      <c r="F27" s="11" t="s">
        <v>67</v>
      </c>
      <c r="G27" s="11" t="s">
        <v>68</v>
      </c>
      <c r="H27" s="11" t="s">
        <v>69</v>
      </c>
      <c r="I27" s="11" t="s">
        <v>70</v>
      </c>
      <c r="J27" s="11" t="s">
        <v>71</v>
      </c>
      <c r="K27" s="11" t="s">
        <v>72</v>
      </c>
      <c r="L27" s="11" t="s">
        <v>73</v>
      </c>
      <c r="M27" s="11" t="s">
        <v>74</v>
      </c>
    </row>
    <row r="28" spans="1:13" x14ac:dyDescent="0.2">
      <c r="A28" s="7" t="s">
        <v>38</v>
      </c>
      <c r="B28" s="20">
        <v>1</v>
      </c>
      <c r="C28" s="20">
        <v>0.67</v>
      </c>
      <c r="D28" s="20">
        <v>0.59899999999999998</v>
      </c>
      <c r="E28" s="21">
        <v>0.56110000000000004</v>
      </c>
      <c r="F28" s="21">
        <v>0.20430000000000001</v>
      </c>
      <c r="G28" s="21">
        <v>0.29199999999999998</v>
      </c>
      <c r="H28" s="21">
        <v>0.25109999999999999</v>
      </c>
      <c r="I28" s="21">
        <v>0.29880000000000001</v>
      </c>
      <c r="J28" s="21">
        <v>1.2395</v>
      </c>
      <c r="K28" s="22">
        <v>4</v>
      </c>
      <c r="L28" s="21">
        <v>0.30980000000000002</v>
      </c>
      <c r="M28" s="12">
        <v>2.35</v>
      </c>
    </row>
    <row r="29" spans="1:13" x14ac:dyDescent="0.2">
      <c r="A29" s="7" t="s">
        <v>39</v>
      </c>
      <c r="B29" s="20">
        <v>0.34599999999999997</v>
      </c>
      <c r="C29" s="20">
        <v>-1.4E-2</v>
      </c>
      <c r="D29" s="20">
        <v>-3.3000000000000002E-2</v>
      </c>
      <c r="E29" s="21">
        <v>-3.0800000000000001E-2</v>
      </c>
      <c r="F29" s="21">
        <v>-0.1179</v>
      </c>
      <c r="G29" s="21">
        <v>-0.22570000000000001</v>
      </c>
      <c r="H29" s="21">
        <v>-0.27389999999999998</v>
      </c>
      <c r="I29" s="21">
        <v>-0.64370000000000005</v>
      </c>
      <c r="J29" s="21">
        <v>4.5999999999999999E-3</v>
      </c>
      <c r="K29" s="22">
        <v>0.2</v>
      </c>
      <c r="L29" s="21">
        <v>3.7699999999999997E-2</v>
      </c>
      <c r="M29" s="12">
        <v>0.43</v>
      </c>
    </row>
    <row r="30" spans="1:13" x14ac:dyDescent="0.2">
      <c r="A30" s="7" t="s">
        <v>40</v>
      </c>
      <c r="B30" s="20">
        <v>0.72899999999999998</v>
      </c>
      <c r="C30" s="20">
        <v>0.41799999999999998</v>
      </c>
      <c r="D30" s="20">
        <v>0.36199999999999999</v>
      </c>
      <c r="E30" s="21">
        <v>0.24479999999999999</v>
      </c>
      <c r="F30" s="21">
        <v>6.0400000000000002E-2</v>
      </c>
      <c r="G30" s="21">
        <v>6.3100000000000003E-2</v>
      </c>
      <c r="H30" s="21">
        <v>6.2300000000000001E-2</v>
      </c>
      <c r="I30" s="21">
        <v>-9.9599999999999994E-2</v>
      </c>
      <c r="J30" s="21">
        <v>0.42420000000000002</v>
      </c>
      <c r="K30" s="22">
        <v>2.4</v>
      </c>
      <c r="L30" s="21">
        <v>0.1084</v>
      </c>
      <c r="M30" s="12">
        <v>1.02</v>
      </c>
    </row>
    <row r="31" spans="1:13" x14ac:dyDescent="0.2">
      <c r="A31" s="7" t="s">
        <v>41</v>
      </c>
      <c r="B31" s="20">
        <v>0.76</v>
      </c>
      <c r="C31" s="20">
        <v>0.41699999999999998</v>
      </c>
      <c r="D31" s="20">
        <v>0.35399999999999998</v>
      </c>
      <c r="E31" s="21">
        <v>0.23860000000000001</v>
      </c>
      <c r="F31" s="21">
        <v>7.1400000000000005E-2</v>
      </c>
      <c r="G31" s="21">
        <v>6.4100000000000004E-2</v>
      </c>
      <c r="H31" s="21">
        <v>6.8400000000000002E-2</v>
      </c>
      <c r="I31" s="21">
        <v>3.27E-2</v>
      </c>
      <c r="J31" s="21">
        <v>0.4002</v>
      </c>
      <c r="K31" s="22">
        <v>2.6</v>
      </c>
      <c r="L31" s="21">
        <v>9.0499999999999997E-2</v>
      </c>
      <c r="M31" s="12">
        <v>0.95</v>
      </c>
    </row>
    <row r="32" spans="1:13" x14ac:dyDescent="0.2">
      <c r="A32" s="10"/>
      <c r="B32" s="10"/>
      <c r="C32" s="10"/>
      <c r="D32" s="10"/>
      <c r="E32" s="10"/>
      <c r="F32" s="10"/>
      <c r="G32" s="10"/>
      <c r="H32" s="10"/>
      <c r="I32" s="10"/>
      <c r="J32" s="10"/>
      <c r="K32" s="10"/>
      <c r="L32" s="10"/>
      <c r="M32" s="10"/>
    </row>
    <row r="34" spans="1:1" x14ac:dyDescent="0.2">
      <c r="A34" s="6" t="s">
        <v>42</v>
      </c>
    </row>
    <row r="39" spans="1:1" x14ac:dyDescent="0.2">
      <c r="A39" t="s">
        <v>43</v>
      </c>
    </row>
    <row r="40" spans="1:1" x14ac:dyDescent="0.2">
      <c r="A40" t="s">
        <v>44</v>
      </c>
    </row>
    <row r="48" spans="1:1" ht="20.399999999999999" x14ac:dyDescent="0.2">
      <c r="A48" s="18" t="s">
        <v>45</v>
      </c>
    </row>
    <row r="50" ht="25.05" customHeight="1" x14ac:dyDescent="0.2"/>
  </sheetData>
  <pageMargins left="0.2" right="0.2" top="0.5" bottom="0.5" header="0.5" footer="0.5"/>
  <pageSetup fitToWidth="0" fitToHeight="0" orientation="landscape" horizontalDpi="300" verticalDpi="300"/>
  <headerFooter alignWithMargins="0"/>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284BC9-38C3-4F39-BFD6-45924FE46A29}">
  <sheetPr codeName="Sheet6">
    <outlinePr summaryBelow="0" summaryRight="0"/>
  </sheetPr>
  <dimension ref="A4:IU44"/>
  <sheetViews>
    <sheetView defaultGridColor="0" colorId="0" workbookViewId="0"/>
  </sheetViews>
  <sheetFormatPr defaultRowHeight="10.199999999999999" x14ac:dyDescent="0.2"/>
  <cols>
    <col min="1" max="1" width="47.88671875" customWidth="1"/>
    <col min="2" max="3" width="25.88671875" customWidth="1"/>
    <col min="4" max="9" width="9.33203125"/>
  </cols>
  <sheetData>
    <row r="4" spans="1:255" ht="16.2" x14ac:dyDescent="0.25">
      <c r="A4" s="1" t="s">
        <v>75</v>
      </c>
    </row>
    <row r="7" spans="1:255" x14ac:dyDescent="0.2">
      <c r="A7" s="2" t="s">
        <v>1</v>
      </c>
      <c r="B7" s="2"/>
      <c r="C7" s="2"/>
      <c r="D7" s="28"/>
      <c r="E7" s="28"/>
      <c r="F7" s="28"/>
      <c r="G7" s="28"/>
      <c r="H7" s="28"/>
      <c r="I7" s="28"/>
      <c r="J7" s="28"/>
      <c r="K7" s="28"/>
      <c r="L7" s="28"/>
      <c r="M7" s="28"/>
      <c r="N7" s="28"/>
      <c r="O7" s="28"/>
      <c r="P7" s="28"/>
      <c r="Q7" s="28"/>
      <c r="R7" s="28"/>
      <c r="S7" s="28"/>
      <c r="T7" s="28"/>
      <c r="U7" s="28"/>
      <c r="V7" s="28"/>
      <c r="W7" s="28"/>
      <c r="X7" s="28"/>
      <c r="Y7" s="28"/>
      <c r="Z7" s="28"/>
      <c r="AA7" s="28"/>
      <c r="AB7" s="28"/>
      <c r="AC7" s="28"/>
      <c r="AD7" s="28"/>
      <c r="AE7" s="28"/>
      <c r="AF7" s="28"/>
      <c r="AG7" s="28"/>
      <c r="AH7" s="28"/>
      <c r="AI7" s="28"/>
      <c r="AJ7" s="28"/>
      <c r="AK7" s="28"/>
      <c r="AL7" s="28"/>
      <c r="AM7" s="28"/>
      <c r="AN7" s="28"/>
      <c r="AO7" s="28"/>
      <c r="AP7" s="28"/>
      <c r="AQ7" s="28"/>
      <c r="AR7" s="28"/>
      <c r="AS7" s="28"/>
      <c r="AT7" s="28"/>
      <c r="AU7" s="28"/>
      <c r="AV7" s="28"/>
      <c r="AW7" s="28"/>
      <c r="AX7" s="28"/>
      <c r="AY7" s="28"/>
      <c r="AZ7" s="28"/>
      <c r="BA7" s="28"/>
      <c r="BB7" s="28"/>
      <c r="BC7" s="28"/>
      <c r="BD7" s="28"/>
      <c r="BE7" s="28"/>
      <c r="BF7" s="28"/>
      <c r="BG7" s="28"/>
      <c r="BH7" s="28"/>
      <c r="BI7" s="28"/>
      <c r="BJ7" s="28"/>
      <c r="BK7" s="28"/>
      <c r="BL7" s="28"/>
      <c r="BM7" s="28"/>
      <c r="BN7" s="28"/>
      <c r="BO7" s="28"/>
      <c r="BP7" s="28"/>
      <c r="BQ7" s="28"/>
      <c r="BR7" s="28"/>
      <c r="BS7" s="28"/>
      <c r="BT7" s="28"/>
      <c r="BU7" s="28"/>
      <c r="BV7" s="28"/>
      <c r="BW7" s="28"/>
      <c r="BX7" s="28"/>
      <c r="BY7" s="28"/>
      <c r="BZ7" s="28"/>
      <c r="CA7" s="28"/>
      <c r="CB7" s="28"/>
      <c r="CC7" s="28"/>
      <c r="CD7" s="28"/>
      <c r="CE7" s="28"/>
      <c r="CF7" s="28"/>
      <c r="CG7" s="28"/>
      <c r="CH7" s="28"/>
      <c r="CI7" s="28"/>
      <c r="CJ7" s="28"/>
      <c r="CK7" s="28"/>
      <c r="CL7" s="28"/>
      <c r="CM7" s="28"/>
      <c r="CN7" s="28"/>
      <c r="CO7" s="28"/>
      <c r="CP7" s="28"/>
      <c r="CQ7" s="28"/>
      <c r="CR7" s="28"/>
      <c r="CS7" s="28"/>
      <c r="CT7" s="28"/>
      <c r="CU7" s="28"/>
      <c r="CV7" s="28"/>
      <c r="CW7" s="28"/>
      <c r="CX7" s="28"/>
      <c r="CY7" s="28"/>
      <c r="CZ7" s="28"/>
      <c r="DA7" s="28"/>
      <c r="DB7" s="28"/>
      <c r="DC7" s="28"/>
      <c r="DD7" s="28"/>
      <c r="DE7" s="28"/>
      <c r="DF7" s="28"/>
      <c r="DG7" s="28"/>
      <c r="DH7" s="28"/>
      <c r="DI7" s="28"/>
      <c r="DJ7" s="28"/>
      <c r="DK7" s="28"/>
      <c r="DL7" s="28"/>
      <c r="DM7" s="28"/>
      <c r="DN7" s="28"/>
      <c r="DO7" s="28"/>
      <c r="DP7" s="28"/>
      <c r="DQ7" s="28"/>
      <c r="DR7" s="28"/>
      <c r="DS7" s="28"/>
      <c r="DT7" s="28"/>
      <c r="DU7" s="28"/>
      <c r="DV7" s="28"/>
      <c r="DW7" s="28"/>
      <c r="DX7" s="28"/>
      <c r="DY7" s="28"/>
      <c r="DZ7" s="28"/>
      <c r="EA7" s="28"/>
      <c r="EB7" s="28"/>
      <c r="EC7" s="28"/>
      <c r="ED7" s="28"/>
      <c r="EE7" s="28"/>
      <c r="EF7" s="28"/>
      <c r="EG7" s="28"/>
      <c r="EH7" s="28"/>
      <c r="EI7" s="28"/>
      <c r="EJ7" s="28"/>
      <c r="EK7" s="28"/>
      <c r="EL7" s="28"/>
      <c r="EM7" s="28"/>
      <c r="EN7" s="28"/>
      <c r="EO7" s="28"/>
      <c r="EP7" s="28"/>
      <c r="EQ7" s="28"/>
      <c r="ER7" s="28"/>
      <c r="ES7" s="28"/>
      <c r="ET7" s="28"/>
      <c r="EU7" s="28"/>
      <c r="EV7" s="28"/>
      <c r="EW7" s="28"/>
      <c r="EX7" s="28"/>
      <c r="EY7" s="28"/>
      <c r="EZ7" s="28"/>
      <c r="FA7" s="28"/>
      <c r="FB7" s="28"/>
      <c r="FC7" s="28"/>
      <c r="FD7" s="28"/>
      <c r="FE7" s="28"/>
      <c r="FF7" s="28"/>
      <c r="FG7" s="28"/>
      <c r="FH7" s="28"/>
      <c r="FI7" s="28"/>
      <c r="FJ7" s="28"/>
      <c r="FK7" s="28"/>
      <c r="FL7" s="28"/>
      <c r="FM7" s="28"/>
      <c r="FN7" s="28"/>
      <c r="FO7" s="28"/>
      <c r="FP7" s="28"/>
      <c r="FQ7" s="28"/>
      <c r="FR7" s="28"/>
      <c r="FS7" s="28"/>
      <c r="FT7" s="28"/>
      <c r="FU7" s="28"/>
      <c r="FV7" s="28"/>
      <c r="FW7" s="28"/>
      <c r="FX7" s="28"/>
      <c r="FY7" s="28"/>
      <c r="FZ7" s="28"/>
      <c r="GA7" s="28"/>
      <c r="GB7" s="28"/>
      <c r="GC7" s="28"/>
      <c r="GD7" s="28"/>
      <c r="GE7" s="28"/>
      <c r="GF7" s="28"/>
      <c r="GG7" s="28"/>
      <c r="GH7" s="28"/>
      <c r="GI7" s="28"/>
      <c r="GJ7" s="28"/>
      <c r="GK7" s="28"/>
      <c r="GL7" s="28"/>
      <c r="GM7" s="28"/>
      <c r="GN7" s="28"/>
      <c r="GO7" s="28"/>
      <c r="GP7" s="28"/>
      <c r="GQ7" s="28"/>
      <c r="GR7" s="28"/>
      <c r="GS7" s="28"/>
      <c r="GT7" s="28"/>
      <c r="GU7" s="28"/>
      <c r="GV7" s="28"/>
      <c r="GW7" s="28"/>
      <c r="GX7" s="28"/>
      <c r="GY7" s="28"/>
      <c r="GZ7" s="28"/>
      <c r="HA7" s="28"/>
      <c r="HB7" s="28"/>
      <c r="HC7" s="28"/>
      <c r="HD7" s="28"/>
      <c r="HE7" s="28"/>
      <c r="HF7" s="28"/>
      <c r="HG7" s="28"/>
      <c r="HH7" s="28"/>
      <c r="HI7" s="28"/>
      <c r="HJ7" s="28"/>
      <c r="HK7" s="28"/>
      <c r="HL7" s="28"/>
      <c r="HM7" s="28"/>
      <c r="HN7" s="28"/>
      <c r="HO7" s="28"/>
      <c r="HP7" s="28"/>
      <c r="HQ7" s="28"/>
      <c r="HR7" s="28"/>
      <c r="HS7" s="28"/>
      <c r="HT7" s="28"/>
      <c r="HU7" s="28"/>
      <c r="HV7" s="28"/>
      <c r="HW7" s="28"/>
      <c r="HX7" s="28"/>
      <c r="HY7" s="28"/>
      <c r="HZ7" s="28"/>
      <c r="IA7" s="28"/>
      <c r="IB7" s="28"/>
      <c r="IC7" s="28"/>
      <c r="ID7" s="28"/>
      <c r="IE7" s="28"/>
      <c r="IF7" s="28"/>
      <c r="IG7" s="28"/>
      <c r="IH7" s="28"/>
      <c r="II7" s="28"/>
      <c r="IJ7" s="28"/>
      <c r="IK7" s="28"/>
      <c r="IL7" s="28"/>
      <c r="IM7" s="28"/>
      <c r="IN7" s="28"/>
      <c r="IO7" s="28"/>
      <c r="IP7" s="28"/>
      <c r="IQ7" s="28"/>
      <c r="IR7" s="28"/>
      <c r="IS7" s="28"/>
      <c r="IT7" s="28"/>
      <c r="IU7" s="28"/>
    </row>
    <row r="8" spans="1:255" x14ac:dyDescent="0.2">
      <c r="A8" s="3" t="s">
        <v>76</v>
      </c>
      <c r="B8" s="4" t="s">
        <v>3</v>
      </c>
    </row>
    <row r="9" spans="1:255" x14ac:dyDescent="0.2">
      <c r="A9" s="3" t="s">
        <v>77</v>
      </c>
      <c r="B9" s="4" t="s">
        <v>5</v>
      </c>
    </row>
    <row r="10" spans="1:255" x14ac:dyDescent="0.2">
      <c r="A10" s="3" t="s">
        <v>78</v>
      </c>
      <c r="B10" s="5">
        <v>45043</v>
      </c>
    </row>
    <row r="11" spans="1:255" x14ac:dyDescent="0.2">
      <c r="A11" s="6"/>
    </row>
    <row r="13" spans="1:255" x14ac:dyDescent="0.2">
      <c r="A13" s="2" t="s">
        <v>7</v>
      </c>
      <c r="B13" s="2"/>
      <c r="C13" s="2"/>
      <c r="D13" s="28"/>
      <c r="E13" s="28"/>
      <c r="F13" s="28"/>
      <c r="G13" s="28"/>
      <c r="H13" s="28"/>
      <c r="I13" s="28"/>
      <c r="J13" s="28"/>
      <c r="K13" s="28"/>
      <c r="L13" s="28"/>
      <c r="M13" s="28"/>
      <c r="N13" s="28"/>
      <c r="O13" s="28"/>
      <c r="P13" s="28"/>
      <c r="Q13" s="28"/>
      <c r="R13" s="28"/>
      <c r="S13" s="28"/>
      <c r="T13" s="28"/>
      <c r="U13" s="28"/>
      <c r="V13" s="28"/>
      <c r="W13" s="28"/>
      <c r="X13" s="28"/>
      <c r="Y13" s="28"/>
      <c r="Z13" s="28"/>
      <c r="AA13" s="28"/>
      <c r="AB13" s="28"/>
      <c r="AC13" s="28"/>
      <c r="AD13" s="28"/>
      <c r="AE13" s="28"/>
      <c r="AF13" s="28"/>
      <c r="AG13" s="28"/>
      <c r="AH13" s="28"/>
      <c r="AI13" s="28"/>
      <c r="AJ13" s="28"/>
      <c r="AK13" s="28"/>
      <c r="AL13" s="28"/>
      <c r="AM13" s="28"/>
      <c r="AN13" s="28"/>
      <c r="AO13" s="28"/>
      <c r="AP13" s="28"/>
      <c r="AQ13" s="28"/>
      <c r="AR13" s="28"/>
      <c r="AS13" s="28"/>
      <c r="AT13" s="28"/>
      <c r="AU13" s="28"/>
      <c r="AV13" s="28"/>
      <c r="AW13" s="28"/>
      <c r="AX13" s="28"/>
      <c r="AY13" s="28"/>
      <c r="AZ13" s="28"/>
      <c r="BA13" s="28"/>
      <c r="BB13" s="28"/>
      <c r="BC13" s="28"/>
      <c r="BD13" s="28"/>
      <c r="BE13" s="28"/>
      <c r="BF13" s="28"/>
      <c r="BG13" s="28"/>
      <c r="BH13" s="28"/>
      <c r="BI13" s="28"/>
      <c r="BJ13" s="28"/>
      <c r="BK13" s="28"/>
      <c r="BL13" s="28"/>
      <c r="BM13" s="28"/>
      <c r="BN13" s="28"/>
      <c r="BO13" s="28"/>
      <c r="BP13" s="28"/>
      <c r="BQ13" s="28"/>
      <c r="BR13" s="28"/>
      <c r="BS13" s="28"/>
      <c r="BT13" s="28"/>
      <c r="BU13" s="28"/>
      <c r="BV13" s="28"/>
      <c r="BW13" s="28"/>
      <c r="BX13" s="28"/>
      <c r="BY13" s="28"/>
      <c r="BZ13" s="28"/>
      <c r="CA13" s="28"/>
      <c r="CB13" s="28"/>
      <c r="CC13" s="28"/>
      <c r="CD13" s="28"/>
      <c r="CE13" s="28"/>
      <c r="CF13" s="28"/>
      <c r="CG13" s="28"/>
      <c r="CH13" s="28"/>
      <c r="CI13" s="28"/>
      <c r="CJ13" s="28"/>
      <c r="CK13" s="28"/>
      <c r="CL13" s="28"/>
      <c r="CM13" s="28"/>
      <c r="CN13" s="28"/>
      <c r="CO13" s="28"/>
      <c r="CP13" s="28"/>
      <c r="CQ13" s="28"/>
      <c r="CR13" s="28"/>
      <c r="CS13" s="28"/>
      <c r="CT13" s="28"/>
      <c r="CU13" s="28"/>
      <c r="CV13" s="28"/>
      <c r="CW13" s="28"/>
      <c r="CX13" s="28"/>
      <c r="CY13" s="28"/>
      <c r="CZ13" s="28"/>
      <c r="DA13" s="28"/>
      <c r="DB13" s="28"/>
      <c r="DC13" s="28"/>
      <c r="DD13" s="28"/>
      <c r="DE13" s="28"/>
      <c r="DF13" s="28"/>
      <c r="DG13" s="28"/>
      <c r="DH13" s="28"/>
      <c r="DI13" s="28"/>
      <c r="DJ13" s="28"/>
      <c r="DK13" s="28"/>
      <c r="DL13" s="28"/>
      <c r="DM13" s="28"/>
      <c r="DN13" s="28"/>
      <c r="DO13" s="28"/>
      <c r="DP13" s="28"/>
      <c r="DQ13" s="28"/>
      <c r="DR13" s="28"/>
      <c r="DS13" s="28"/>
      <c r="DT13" s="28"/>
      <c r="DU13" s="28"/>
      <c r="DV13" s="28"/>
      <c r="DW13" s="28"/>
      <c r="DX13" s="28"/>
      <c r="DY13" s="28"/>
      <c r="DZ13" s="28"/>
      <c r="EA13" s="28"/>
      <c r="EB13" s="28"/>
      <c r="EC13" s="28"/>
      <c r="ED13" s="28"/>
      <c r="EE13" s="28"/>
      <c r="EF13" s="28"/>
      <c r="EG13" s="28"/>
      <c r="EH13" s="28"/>
      <c r="EI13" s="28"/>
      <c r="EJ13" s="28"/>
      <c r="EK13" s="28"/>
      <c r="EL13" s="28"/>
      <c r="EM13" s="28"/>
      <c r="EN13" s="28"/>
      <c r="EO13" s="28"/>
      <c r="EP13" s="28"/>
      <c r="EQ13" s="28"/>
      <c r="ER13" s="28"/>
      <c r="ES13" s="28"/>
      <c r="ET13" s="28"/>
      <c r="EU13" s="28"/>
      <c r="EV13" s="28"/>
      <c r="EW13" s="28"/>
      <c r="EX13" s="28"/>
      <c r="EY13" s="28"/>
      <c r="EZ13" s="28"/>
      <c r="FA13" s="28"/>
      <c r="FB13" s="28"/>
      <c r="FC13" s="28"/>
      <c r="FD13" s="28"/>
      <c r="FE13" s="28"/>
      <c r="FF13" s="28"/>
      <c r="FG13" s="28"/>
      <c r="FH13" s="28"/>
      <c r="FI13" s="28"/>
      <c r="FJ13" s="28"/>
      <c r="FK13" s="28"/>
      <c r="FL13" s="28"/>
      <c r="FM13" s="28"/>
      <c r="FN13" s="28"/>
      <c r="FO13" s="28"/>
      <c r="FP13" s="28"/>
      <c r="FQ13" s="28"/>
      <c r="FR13" s="28"/>
      <c r="FS13" s="28"/>
      <c r="FT13" s="28"/>
      <c r="FU13" s="28"/>
      <c r="FV13" s="28"/>
      <c r="FW13" s="28"/>
      <c r="FX13" s="28"/>
      <c r="FY13" s="28"/>
      <c r="FZ13" s="28"/>
      <c r="GA13" s="28"/>
      <c r="GB13" s="28"/>
      <c r="GC13" s="28"/>
      <c r="GD13" s="28"/>
      <c r="GE13" s="28"/>
      <c r="GF13" s="28"/>
      <c r="GG13" s="28"/>
      <c r="GH13" s="28"/>
      <c r="GI13" s="28"/>
      <c r="GJ13" s="28"/>
      <c r="GK13" s="28"/>
      <c r="GL13" s="28"/>
      <c r="GM13" s="28"/>
      <c r="GN13" s="28"/>
      <c r="GO13" s="28"/>
      <c r="GP13" s="28"/>
      <c r="GQ13" s="28"/>
      <c r="GR13" s="28"/>
      <c r="GS13" s="28"/>
      <c r="GT13" s="28"/>
      <c r="GU13" s="28"/>
      <c r="GV13" s="28"/>
      <c r="GW13" s="28"/>
      <c r="GX13" s="28"/>
      <c r="GY13" s="28"/>
      <c r="GZ13" s="28"/>
      <c r="HA13" s="28"/>
      <c r="HB13" s="28"/>
      <c r="HC13" s="28"/>
      <c r="HD13" s="28"/>
      <c r="HE13" s="28"/>
      <c r="HF13" s="28"/>
      <c r="HG13" s="28"/>
      <c r="HH13" s="28"/>
      <c r="HI13" s="28"/>
      <c r="HJ13" s="28"/>
      <c r="HK13" s="28"/>
      <c r="HL13" s="28"/>
      <c r="HM13" s="28"/>
      <c r="HN13" s="28"/>
      <c r="HO13" s="28"/>
      <c r="HP13" s="28"/>
      <c r="HQ13" s="28"/>
      <c r="HR13" s="28"/>
      <c r="HS13" s="28"/>
      <c r="HT13" s="28"/>
      <c r="HU13" s="28"/>
      <c r="HV13" s="28"/>
      <c r="HW13" s="28"/>
      <c r="HX13" s="28"/>
      <c r="HY13" s="28"/>
      <c r="HZ13" s="28"/>
      <c r="IA13" s="28"/>
      <c r="IB13" s="28"/>
      <c r="IC13" s="28"/>
      <c r="ID13" s="28"/>
      <c r="IE13" s="28"/>
      <c r="IF13" s="28"/>
      <c r="IG13" s="28"/>
      <c r="IH13" s="28"/>
      <c r="II13" s="28"/>
      <c r="IJ13" s="28"/>
      <c r="IK13" s="28"/>
      <c r="IL13" s="28"/>
      <c r="IM13" s="28"/>
      <c r="IN13" s="28"/>
      <c r="IO13" s="28"/>
      <c r="IP13" s="28"/>
      <c r="IQ13" s="28"/>
      <c r="IR13" s="28"/>
      <c r="IS13" s="28"/>
      <c r="IT13" s="28"/>
      <c r="IU13" s="28"/>
    </row>
    <row r="14" spans="1:255" x14ac:dyDescent="0.2">
      <c r="A14" s="7" t="s">
        <v>8</v>
      </c>
      <c r="B14" s="7" t="s">
        <v>79</v>
      </c>
      <c r="C14" s="7" t="s">
        <v>80</v>
      </c>
    </row>
    <row r="15" spans="1:255" ht="12" customHeight="1" x14ac:dyDescent="0.2">
      <c r="A15" s="7" t="s">
        <v>25</v>
      </c>
      <c r="B15" s="23" t="s">
        <v>81</v>
      </c>
      <c r="C15" s="23" t="s">
        <v>82</v>
      </c>
    </row>
    <row r="16" spans="1:255" ht="12" customHeight="1" x14ac:dyDescent="0.2">
      <c r="A16" s="7" t="s">
        <v>27</v>
      </c>
      <c r="B16" s="23" t="s">
        <v>83</v>
      </c>
      <c r="C16" s="23" t="s">
        <v>84</v>
      </c>
    </row>
    <row r="17" spans="1:3" ht="12" customHeight="1" x14ac:dyDescent="0.2">
      <c r="A17" s="7" t="s">
        <v>28</v>
      </c>
      <c r="B17" s="23" t="s">
        <v>85</v>
      </c>
      <c r="C17" s="23" t="s">
        <v>86</v>
      </c>
    </row>
    <row r="18" spans="1:3" ht="12" customHeight="1" x14ac:dyDescent="0.2">
      <c r="A18" s="7" t="s">
        <v>29</v>
      </c>
      <c r="B18" s="23" t="s">
        <v>87</v>
      </c>
      <c r="C18" s="23" t="s">
        <v>88</v>
      </c>
    </row>
    <row r="19" spans="1:3" ht="12" customHeight="1" x14ac:dyDescent="0.2">
      <c r="A19" s="7" t="s">
        <v>30</v>
      </c>
      <c r="B19" s="23" t="s">
        <v>89</v>
      </c>
      <c r="C19" s="23" t="s">
        <v>90</v>
      </c>
    </row>
    <row r="20" spans="1:3" ht="12" customHeight="1" x14ac:dyDescent="0.2">
      <c r="A20" s="7" t="s">
        <v>31</v>
      </c>
      <c r="B20" s="23" t="s">
        <v>91</v>
      </c>
      <c r="C20" s="23" t="s">
        <v>92</v>
      </c>
    </row>
    <row r="21" spans="1:3" ht="12" customHeight="1" x14ac:dyDescent="0.2">
      <c r="A21" s="7" t="s">
        <v>32</v>
      </c>
      <c r="B21" s="23" t="s">
        <v>93</v>
      </c>
      <c r="C21" s="23" t="s">
        <v>94</v>
      </c>
    </row>
    <row r="22" spans="1:3" ht="12" customHeight="1" x14ac:dyDescent="0.2">
      <c r="A22" s="7" t="s">
        <v>33</v>
      </c>
      <c r="B22" s="23" t="s">
        <v>95</v>
      </c>
      <c r="C22" s="23" t="s">
        <v>96</v>
      </c>
    </row>
    <row r="23" spans="1:3" ht="12" customHeight="1" x14ac:dyDescent="0.2">
      <c r="A23" s="7" t="s">
        <v>34</v>
      </c>
      <c r="B23" s="23" t="s">
        <v>97</v>
      </c>
      <c r="C23" s="23" t="s">
        <v>98</v>
      </c>
    </row>
    <row r="24" spans="1:3" ht="12" customHeight="1" x14ac:dyDescent="0.2">
      <c r="A24" s="7" t="s">
        <v>35</v>
      </c>
      <c r="B24" s="23" t="s">
        <v>99</v>
      </c>
      <c r="C24" s="23" t="s">
        <v>100</v>
      </c>
    </row>
    <row r="25" spans="1:3" x14ac:dyDescent="0.2">
      <c r="A25" s="8"/>
      <c r="B25" s="8"/>
      <c r="C25" s="8"/>
    </row>
    <row r="26" spans="1:3" x14ac:dyDescent="0.2">
      <c r="A26" s="9"/>
      <c r="B26" s="9"/>
      <c r="C26" s="9"/>
    </row>
    <row r="27" spans="1:3" ht="12" customHeight="1" x14ac:dyDescent="0.2">
      <c r="A27" s="7" t="s">
        <v>36</v>
      </c>
      <c r="B27" s="23" t="s">
        <v>101</v>
      </c>
      <c r="C27" s="23" t="s">
        <v>102</v>
      </c>
    </row>
    <row r="28" spans="1:3" x14ac:dyDescent="0.2">
      <c r="A28" s="10"/>
      <c r="B28" s="10"/>
      <c r="C28" s="10"/>
    </row>
    <row r="30" spans="1:3" x14ac:dyDescent="0.2">
      <c r="A30" s="6" t="s">
        <v>42</v>
      </c>
    </row>
    <row r="35" spans="1:1" x14ac:dyDescent="0.2">
      <c r="A35" t="s">
        <v>43</v>
      </c>
    </row>
    <row r="36" spans="1:1" x14ac:dyDescent="0.2">
      <c r="A36" t="s">
        <v>44</v>
      </c>
    </row>
    <row r="44" spans="1:1" ht="25.05" customHeight="1" x14ac:dyDescent="0.2">
      <c r="A44" s="18" t="s">
        <v>45</v>
      </c>
    </row>
  </sheetData>
  <pageMargins left="0.2" right="0.2" top="0.5" bottom="0.5" header="0.5" footer="0.5"/>
  <pageSetup fitToWidth="0" fitToHeight="0" orientation="landscape" horizontalDpi="300" verticalDpi="300"/>
  <headerFooter alignWithMargins="0"/>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3599C2-112E-424B-BB90-D6DC11C39807}">
  <sheetPr codeName="Sheet7">
    <outlinePr summaryBelow="0" summaryRight="0"/>
  </sheetPr>
  <dimension ref="A4:IU69"/>
  <sheetViews>
    <sheetView defaultGridColor="0" colorId="0" workbookViewId="0"/>
  </sheetViews>
  <sheetFormatPr defaultRowHeight="10.199999999999999" x14ac:dyDescent="0.2"/>
  <cols>
    <col min="1" max="1" width="25.88671875" customWidth="1"/>
    <col min="2" max="3" width="20.88671875" customWidth="1"/>
    <col min="4" max="9" width="25.88671875" customWidth="1"/>
  </cols>
  <sheetData>
    <row r="4" spans="1:255" ht="16.2" x14ac:dyDescent="0.25">
      <c r="A4" s="1" t="s">
        <v>103</v>
      </c>
    </row>
    <row r="7" spans="1:255" x14ac:dyDescent="0.2">
      <c r="A7" s="2" t="s">
        <v>1</v>
      </c>
      <c r="B7" s="2"/>
      <c r="C7" s="2"/>
      <c r="D7" s="2"/>
      <c r="E7" s="2"/>
      <c r="F7" s="2"/>
      <c r="G7" s="2"/>
      <c r="H7" s="2"/>
      <c r="I7" s="2"/>
      <c r="J7" s="28"/>
      <c r="K7" s="28"/>
      <c r="L7" s="28"/>
      <c r="M7" s="28"/>
      <c r="N7" s="28"/>
      <c r="O7" s="28"/>
      <c r="P7" s="28"/>
      <c r="Q7" s="28"/>
      <c r="R7" s="28"/>
      <c r="S7" s="28"/>
      <c r="T7" s="28"/>
      <c r="U7" s="28"/>
      <c r="V7" s="28"/>
      <c r="W7" s="28"/>
      <c r="X7" s="28"/>
      <c r="Y7" s="28"/>
      <c r="Z7" s="28"/>
      <c r="AA7" s="28"/>
      <c r="AB7" s="28"/>
      <c r="AC7" s="28"/>
      <c r="AD7" s="28"/>
      <c r="AE7" s="28"/>
      <c r="AF7" s="28"/>
      <c r="AG7" s="28"/>
      <c r="AH7" s="28"/>
      <c r="AI7" s="28"/>
      <c r="AJ7" s="28"/>
      <c r="AK7" s="28"/>
      <c r="AL7" s="28"/>
      <c r="AM7" s="28"/>
      <c r="AN7" s="28"/>
      <c r="AO7" s="28"/>
      <c r="AP7" s="28"/>
      <c r="AQ7" s="28"/>
      <c r="AR7" s="28"/>
      <c r="AS7" s="28"/>
      <c r="AT7" s="28"/>
      <c r="AU7" s="28"/>
      <c r="AV7" s="28"/>
      <c r="AW7" s="28"/>
      <c r="AX7" s="28"/>
      <c r="AY7" s="28"/>
      <c r="AZ7" s="28"/>
      <c r="BA7" s="28"/>
      <c r="BB7" s="28"/>
      <c r="BC7" s="28"/>
      <c r="BD7" s="28"/>
      <c r="BE7" s="28"/>
      <c r="BF7" s="28"/>
      <c r="BG7" s="28"/>
      <c r="BH7" s="28"/>
      <c r="BI7" s="28"/>
      <c r="BJ7" s="28"/>
      <c r="BK7" s="28"/>
      <c r="BL7" s="28"/>
      <c r="BM7" s="28"/>
      <c r="BN7" s="28"/>
      <c r="BO7" s="28"/>
      <c r="BP7" s="28"/>
      <c r="BQ7" s="28"/>
      <c r="BR7" s="28"/>
      <c r="BS7" s="28"/>
      <c r="BT7" s="28"/>
      <c r="BU7" s="28"/>
      <c r="BV7" s="28"/>
      <c r="BW7" s="28"/>
      <c r="BX7" s="28"/>
      <c r="BY7" s="28"/>
      <c r="BZ7" s="28"/>
      <c r="CA7" s="28"/>
      <c r="CB7" s="28"/>
      <c r="CC7" s="28"/>
      <c r="CD7" s="28"/>
      <c r="CE7" s="28"/>
      <c r="CF7" s="28"/>
      <c r="CG7" s="28"/>
      <c r="CH7" s="28"/>
      <c r="CI7" s="28"/>
      <c r="CJ7" s="28"/>
      <c r="CK7" s="28"/>
      <c r="CL7" s="28"/>
      <c r="CM7" s="28"/>
      <c r="CN7" s="28"/>
      <c r="CO7" s="28"/>
      <c r="CP7" s="28"/>
      <c r="CQ7" s="28"/>
      <c r="CR7" s="28"/>
      <c r="CS7" s="28"/>
      <c r="CT7" s="28"/>
      <c r="CU7" s="28"/>
      <c r="CV7" s="28"/>
      <c r="CW7" s="28"/>
      <c r="CX7" s="28"/>
      <c r="CY7" s="28"/>
      <c r="CZ7" s="28"/>
      <c r="DA7" s="28"/>
      <c r="DB7" s="28"/>
      <c r="DC7" s="28"/>
      <c r="DD7" s="28"/>
      <c r="DE7" s="28"/>
      <c r="DF7" s="28"/>
      <c r="DG7" s="28"/>
      <c r="DH7" s="28"/>
      <c r="DI7" s="28"/>
      <c r="DJ7" s="28"/>
      <c r="DK7" s="28"/>
      <c r="DL7" s="28"/>
      <c r="DM7" s="28"/>
      <c r="DN7" s="28"/>
      <c r="DO7" s="28"/>
      <c r="DP7" s="28"/>
      <c r="DQ7" s="28"/>
      <c r="DR7" s="28"/>
      <c r="DS7" s="28"/>
      <c r="DT7" s="28"/>
      <c r="DU7" s="28"/>
      <c r="DV7" s="28"/>
      <c r="DW7" s="28"/>
      <c r="DX7" s="28"/>
      <c r="DY7" s="28"/>
      <c r="DZ7" s="28"/>
      <c r="EA7" s="28"/>
      <c r="EB7" s="28"/>
      <c r="EC7" s="28"/>
      <c r="ED7" s="28"/>
      <c r="EE7" s="28"/>
      <c r="EF7" s="28"/>
      <c r="EG7" s="28"/>
      <c r="EH7" s="28"/>
      <c r="EI7" s="28"/>
      <c r="EJ7" s="28"/>
      <c r="EK7" s="28"/>
      <c r="EL7" s="28"/>
      <c r="EM7" s="28"/>
      <c r="EN7" s="28"/>
      <c r="EO7" s="28"/>
      <c r="EP7" s="28"/>
      <c r="EQ7" s="28"/>
      <c r="ER7" s="28"/>
      <c r="ES7" s="28"/>
      <c r="ET7" s="28"/>
      <c r="EU7" s="28"/>
      <c r="EV7" s="28"/>
      <c r="EW7" s="28"/>
      <c r="EX7" s="28"/>
      <c r="EY7" s="28"/>
      <c r="EZ7" s="28"/>
      <c r="FA7" s="28"/>
      <c r="FB7" s="28"/>
      <c r="FC7" s="28"/>
      <c r="FD7" s="28"/>
      <c r="FE7" s="28"/>
      <c r="FF7" s="28"/>
      <c r="FG7" s="28"/>
      <c r="FH7" s="28"/>
      <c r="FI7" s="28"/>
      <c r="FJ7" s="28"/>
      <c r="FK7" s="28"/>
      <c r="FL7" s="28"/>
      <c r="FM7" s="28"/>
      <c r="FN7" s="28"/>
      <c r="FO7" s="28"/>
      <c r="FP7" s="28"/>
      <c r="FQ7" s="28"/>
      <c r="FR7" s="28"/>
      <c r="FS7" s="28"/>
      <c r="FT7" s="28"/>
      <c r="FU7" s="28"/>
      <c r="FV7" s="28"/>
      <c r="FW7" s="28"/>
      <c r="FX7" s="28"/>
      <c r="FY7" s="28"/>
      <c r="FZ7" s="28"/>
      <c r="GA7" s="28"/>
      <c r="GB7" s="28"/>
      <c r="GC7" s="28"/>
      <c r="GD7" s="28"/>
      <c r="GE7" s="28"/>
      <c r="GF7" s="28"/>
      <c r="GG7" s="28"/>
      <c r="GH7" s="28"/>
      <c r="GI7" s="28"/>
      <c r="GJ7" s="28"/>
      <c r="GK7" s="28"/>
      <c r="GL7" s="28"/>
      <c r="GM7" s="28"/>
      <c r="GN7" s="28"/>
      <c r="GO7" s="28"/>
      <c r="GP7" s="28"/>
      <c r="GQ7" s="28"/>
      <c r="GR7" s="28"/>
      <c r="GS7" s="28"/>
      <c r="GT7" s="28"/>
      <c r="GU7" s="28"/>
      <c r="GV7" s="28"/>
      <c r="GW7" s="28"/>
      <c r="GX7" s="28"/>
      <c r="GY7" s="28"/>
      <c r="GZ7" s="28"/>
      <c r="HA7" s="28"/>
      <c r="HB7" s="28"/>
      <c r="HC7" s="28"/>
      <c r="HD7" s="28"/>
      <c r="HE7" s="28"/>
      <c r="HF7" s="28"/>
      <c r="HG7" s="28"/>
      <c r="HH7" s="28"/>
      <c r="HI7" s="28"/>
      <c r="HJ7" s="28"/>
      <c r="HK7" s="28"/>
      <c r="HL7" s="28"/>
      <c r="HM7" s="28"/>
      <c r="HN7" s="28"/>
      <c r="HO7" s="28"/>
      <c r="HP7" s="28"/>
      <c r="HQ7" s="28"/>
      <c r="HR7" s="28"/>
      <c r="HS7" s="28"/>
      <c r="HT7" s="28"/>
      <c r="HU7" s="28"/>
      <c r="HV7" s="28"/>
      <c r="HW7" s="28"/>
      <c r="HX7" s="28"/>
      <c r="HY7" s="28"/>
      <c r="HZ7" s="28"/>
      <c r="IA7" s="28"/>
      <c r="IB7" s="28"/>
      <c r="IC7" s="28"/>
      <c r="ID7" s="28"/>
      <c r="IE7" s="28"/>
      <c r="IF7" s="28"/>
      <c r="IG7" s="28"/>
      <c r="IH7" s="28"/>
      <c r="II7" s="28"/>
      <c r="IJ7" s="28"/>
      <c r="IK7" s="28"/>
      <c r="IL7" s="28"/>
      <c r="IM7" s="28"/>
      <c r="IN7" s="28"/>
      <c r="IO7" s="28"/>
      <c r="IP7" s="28"/>
      <c r="IQ7" s="28"/>
      <c r="IR7" s="28"/>
      <c r="IS7" s="28"/>
      <c r="IT7" s="28"/>
      <c r="IU7" s="28"/>
    </row>
    <row r="8" spans="1:255" x14ac:dyDescent="0.2">
      <c r="A8" s="3" t="s">
        <v>104</v>
      </c>
      <c r="B8" s="4" t="s">
        <v>3</v>
      </c>
    </row>
    <row r="9" spans="1:255" x14ac:dyDescent="0.2">
      <c r="A9" s="3" t="s">
        <v>105</v>
      </c>
      <c r="B9" s="4" t="s">
        <v>5</v>
      </c>
    </row>
    <row r="10" spans="1:255" x14ac:dyDescent="0.2">
      <c r="A10" s="3" t="s">
        <v>106</v>
      </c>
      <c r="B10" s="5">
        <v>45043</v>
      </c>
    </row>
    <row r="11" spans="1:255" x14ac:dyDescent="0.2">
      <c r="A11" s="6"/>
    </row>
    <row r="13" spans="1:255" x14ac:dyDescent="0.2">
      <c r="A13" s="2" t="s">
        <v>7</v>
      </c>
      <c r="B13" s="2"/>
      <c r="C13" s="2"/>
      <c r="D13" s="2"/>
      <c r="E13" s="2"/>
      <c r="F13" s="2"/>
      <c r="G13" s="2"/>
      <c r="H13" s="2"/>
      <c r="I13" s="2"/>
      <c r="J13" s="28"/>
      <c r="K13" s="28"/>
      <c r="L13" s="28"/>
      <c r="M13" s="28"/>
      <c r="N13" s="28"/>
      <c r="O13" s="28"/>
      <c r="P13" s="28"/>
      <c r="Q13" s="28"/>
      <c r="R13" s="28"/>
      <c r="S13" s="28"/>
      <c r="T13" s="28"/>
      <c r="U13" s="28"/>
      <c r="V13" s="28"/>
      <c r="W13" s="28"/>
      <c r="X13" s="28"/>
      <c r="Y13" s="28"/>
      <c r="Z13" s="28"/>
      <c r="AA13" s="28"/>
      <c r="AB13" s="28"/>
      <c r="AC13" s="28"/>
      <c r="AD13" s="28"/>
      <c r="AE13" s="28"/>
      <c r="AF13" s="28"/>
      <c r="AG13" s="28"/>
      <c r="AH13" s="28"/>
      <c r="AI13" s="28"/>
      <c r="AJ13" s="28"/>
      <c r="AK13" s="28"/>
      <c r="AL13" s="28"/>
      <c r="AM13" s="28"/>
      <c r="AN13" s="28"/>
      <c r="AO13" s="28"/>
      <c r="AP13" s="28"/>
      <c r="AQ13" s="28"/>
      <c r="AR13" s="28"/>
      <c r="AS13" s="28"/>
      <c r="AT13" s="28"/>
      <c r="AU13" s="28"/>
      <c r="AV13" s="28"/>
      <c r="AW13" s="28"/>
      <c r="AX13" s="28"/>
      <c r="AY13" s="28"/>
      <c r="AZ13" s="28"/>
      <c r="BA13" s="28"/>
      <c r="BB13" s="28"/>
      <c r="BC13" s="28"/>
      <c r="BD13" s="28"/>
      <c r="BE13" s="28"/>
      <c r="BF13" s="28"/>
      <c r="BG13" s="28"/>
      <c r="BH13" s="28"/>
      <c r="BI13" s="28"/>
      <c r="BJ13" s="28"/>
      <c r="BK13" s="28"/>
      <c r="BL13" s="28"/>
      <c r="BM13" s="28"/>
      <c r="BN13" s="28"/>
      <c r="BO13" s="28"/>
      <c r="BP13" s="28"/>
      <c r="BQ13" s="28"/>
      <c r="BR13" s="28"/>
      <c r="BS13" s="28"/>
      <c r="BT13" s="28"/>
      <c r="BU13" s="28"/>
      <c r="BV13" s="28"/>
      <c r="BW13" s="28"/>
      <c r="BX13" s="28"/>
      <c r="BY13" s="28"/>
      <c r="BZ13" s="28"/>
      <c r="CA13" s="28"/>
      <c r="CB13" s="28"/>
      <c r="CC13" s="28"/>
      <c r="CD13" s="28"/>
      <c r="CE13" s="28"/>
      <c r="CF13" s="28"/>
      <c r="CG13" s="28"/>
      <c r="CH13" s="28"/>
      <c r="CI13" s="28"/>
      <c r="CJ13" s="28"/>
      <c r="CK13" s="28"/>
      <c r="CL13" s="28"/>
      <c r="CM13" s="28"/>
      <c r="CN13" s="28"/>
      <c r="CO13" s="28"/>
      <c r="CP13" s="28"/>
      <c r="CQ13" s="28"/>
      <c r="CR13" s="28"/>
      <c r="CS13" s="28"/>
      <c r="CT13" s="28"/>
      <c r="CU13" s="28"/>
      <c r="CV13" s="28"/>
      <c r="CW13" s="28"/>
      <c r="CX13" s="28"/>
      <c r="CY13" s="28"/>
      <c r="CZ13" s="28"/>
      <c r="DA13" s="28"/>
      <c r="DB13" s="28"/>
      <c r="DC13" s="28"/>
      <c r="DD13" s="28"/>
      <c r="DE13" s="28"/>
      <c r="DF13" s="28"/>
      <c r="DG13" s="28"/>
      <c r="DH13" s="28"/>
      <c r="DI13" s="28"/>
      <c r="DJ13" s="28"/>
      <c r="DK13" s="28"/>
      <c r="DL13" s="28"/>
      <c r="DM13" s="28"/>
      <c r="DN13" s="28"/>
      <c r="DO13" s="28"/>
      <c r="DP13" s="28"/>
      <c r="DQ13" s="28"/>
      <c r="DR13" s="28"/>
      <c r="DS13" s="28"/>
      <c r="DT13" s="28"/>
      <c r="DU13" s="28"/>
      <c r="DV13" s="28"/>
      <c r="DW13" s="28"/>
      <c r="DX13" s="28"/>
      <c r="DY13" s="28"/>
      <c r="DZ13" s="28"/>
      <c r="EA13" s="28"/>
      <c r="EB13" s="28"/>
      <c r="EC13" s="28"/>
      <c r="ED13" s="28"/>
      <c r="EE13" s="28"/>
      <c r="EF13" s="28"/>
      <c r="EG13" s="28"/>
      <c r="EH13" s="28"/>
      <c r="EI13" s="28"/>
      <c r="EJ13" s="28"/>
      <c r="EK13" s="28"/>
      <c r="EL13" s="28"/>
      <c r="EM13" s="28"/>
      <c r="EN13" s="28"/>
      <c r="EO13" s="28"/>
      <c r="EP13" s="28"/>
      <c r="EQ13" s="28"/>
      <c r="ER13" s="28"/>
      <c r="ES13" s="28"/>
      <c r="ET13" s="28"/>
      <c r="EU13" s="28"/>
      <c r="EV13" s="28"/>
      <c r="EW13" s="28"/>
      <c r="EX13" s="28"/>
      <c r="EY13" s="28"/>
      <c r="EZ13" s="28"/>
      <c r="FA13" s="28"/>
      <c r="FB13" s="28"/>
      <c r="FC13" s="28"/>
      <c r="FD13" s="28"/>
      <c r="FE13" s="28"/>
      <c r="FF13" s="28"/>
      <c r="FG13" s="28"/>
      <c r="FH13" s="28"/>
      <c r="FI13" s="28"/>
      <c r="FJ13" s="28"/>
      <c r="FK13" s="28"/>
      <c r="FL13" s="28"/>
      <c r="FM13" s="28"/>
      <c r="FN13" s="28"/>
      <c r="FO13" s="28"/>
      <c r="FP13" s="28"/>
      <c r="FQ13" s="28"/>
      <c r="FR13" s="28"/>
      <c r="FS13" s="28"/>
      <c r="FT13" s="28"/>
      <c r="FU13" s="28"/>
      <c r="FV13" s="28"/>
      <c r="FW13" s="28"/>
      <c r="FX13" s="28"/>
      <c r="FY13" s="28"/>
      <c r="FZ13" s="28"/>
      <c r="GA13" s="28"/>
      <c r="GB13" s="28"/>
      <c r="GC13" s="28"/>
      <c r="GD13" s="28"/>
      <c r="GE13" s="28"/>
      <c r="GF13" s="28"/>
      <c r="GG13" s="28"/>
      <c r="GH13" s="28"/>
      <c r="GI13" s="28"/>
      <c r="GJ13" s="28"/>
      <c r="GK13" s="28"/>
      <c r="GL13" s="28"/>
      <c r="GM13" s="28"/>
      <c r="GN13" s="28"/>
      <c r="GO13" s="28"/>
      <c r="GP13" s="28"/>
      <c r="GQ13" s="28"/>
      <c r="GR13" s="28"/>
      <c r="GS13" s="28"/>
      <c r="GT13" s="28"/>
      <c r="GU13" s="28"/>
      <c r="GV13" s="28"/>
      <c r="GW13" s="28"/>
      <c r="GX13" s="28"/>
      <c r="GY13" s="28"/>
      <c r="GZ13" s="28"/>
      <c r="HA13" s="28"/>
      <c r="HB13" s="28"/>
      <c r="HC13" s="28"/>
      <c r="HD13" s="28"/>
      <c r="HE13" s="28"/>
      <c r="HF13" s="28"/>
      <c r="HG13" s="28"/>
      <c r="HH13" s="28"/>
      <c r="HI13" s="28"/>
      <c r="HJ13" s="28"/>
      <c r="HK13" s="28"/>
      <c r="HL13" s="28"/>
      <c r="HM13" s="28"/>
      <c r="HN13" s="28"/>
      <c r="HO13" s="28"/>
      <c r="HP13" s="28"/>
      <c r="HQ13" s="28"/>
      <c r="HR13" s="28"/>
      <c r="HS13" s="28"/>
      <c r="HT13" s="28"/>
      <c r="HU13" s="28"/>
      <c r="HV13" s="28"/>
      <c r="HW13" s="28"/>
      <c r="HX13" s="28"/>
      <c r="HY13" s="28"/>
      <c r="HZ13" s="28"/>
      <c r="IA13" s="28"/>
      <c r="IB13" s="28"/>
      <c r="IC13" s="28"/>
      <c r="ID13" s="28"/>
      <c r="IE13" s="28"/>
      <c r="IF13" s="28"/>
      <c r="IG13" s="28"/>
      <c r="IH13" s="28"/>
      <c r="II13" s="28"/>
      <c r="IJ13" s="28"/>
      <c r="IK13" s="28"/>
      <c r="IL13" s="28"/>
      <c r="IM13" s="28"/>
      <c r="IN13" s="28"/>
      <c r="IO13" s="28"/>
      <c r="IP13" s="28"/>
      <c r="IQ13" s="28"/>
      <c r="IR13" s="28"/>
      <c r="IS13" s="28"/>
      <c r="IT13" s="28"/>
      <c r="IU13" s="28"/>
    </row>
    <row r="14" spans="1:255" x14ac:dyDescent="0.2">
      <c r="A14" s="9" t="s">
        <v>8</v>
      </c>
      <c r="B14" s="11" t="s">
        <v>18</v>
      </c>
      <c r="C14" s="11" t="s">
        <v>19</v>
      </c>
      <c r="D14" s="11" t="s">
        <v>20</v>
      </c>
      <c r="E14" s="11" t="s">
        <v>22</v>
      </c>
      <c r="F14" s="11" t="s">
        <v>23</v>
      </c>
      <c r="G14" s="11" t="s">
        <v>107</v>
      </c>
      <c r="H14" s="11" t="s">
        <v>24</v>
      </c>
      <c r="I14" s="11" t="s">
        <v>16</v>
      </c>
    </row>
    <row r="15" spans="1:255" ht="12" customHeight="1" x14ac:dyDescent="0.2">
      <c r="A15" s="7" t="s">
        <v>36</v>
      </c>
      <c r="B15" s="13">
        <v>3149.4</v>
      </c>
      <c r="C15" s="13">
        <v>-1899.7</v>
      </c>
      <c r="D15" s="13">
        <v>-2053.8000000000002</v>
      </c>
      <c r="E15" s="12">
        <v>2822.81</v>
      </c>
      <c r="F15" s="12">
        <v>75.41</v>
      </c>
      <c r="G15" s="12">
        <v>-11.81</v>
      </c>
      <c r="H15" s="12">
        <v>-3.29</v>
      </c>
      <c r="I15" s="12">
        <v>18.39</v>
      </c>
    </row>
    <row r="16" spans="1:255" x14ac:dyDescent="0.2">
      <c r="A16" s="8"/>
      <c r="B16" s="8"/>
      <c r="C16" s="8"/>
      <c r="D16" s="8"/>
      <c r="E16" s="8"/>
      <c r="F16" s="8"/>
      <c r="G16" s="8"/>
      <c r="H16" s="8"/>
      <c r="I16" s="8"/>
    </row>
    <row r="17" spans="1:9" x14ac:dyDescent="0.2">
      <c r="A17" s="9"/>
      <c r="B17" s="9" t="s">
        <v>108</v>
      </c>
      <c r="C17" s="9" t="s">
        <v>108</v>
      </c>
      <c r="D17" s="9" t="s">
        <v>108</v>
      </c>
      <c r="E17" s="9" t="s">
        <v>109</v>
      </c>
      <c r="F17" s="9" t="s">
        <v>108</v>
      </c>
      <c r="G17" s="9" t="s">
        <v>108</v>
      </c>
      <c r="H17" s="9" t="s">
        <v>110</v>
      </c>
      <c r="I17" s="9" t="s">
        <v>108</v>
      </c>
    </row>
    <row r="18" spans="1:9" ht="20.399999999999999" x14ac:dyDescent="0.2">
      <c r="A18" s="9"/>
      <c r="B18" s="11" t="s">
        <v>50</v>
      </c>
      <c r="C18" s="11" t="s">
        <v>51</v>
      </c>
      <c r="D18" s="11" t="s">
        <v>52</v>
      </c>
      <c r="E18" s="11" t="s">
        <v>111</v>
      </c>
      <c r="F18" s="11" t="s">
        <v>112</v>
      </c>
      <c r="G18" s="11" t="s">
        <v>53</v>
      </c>
      <c r="H18" s="11" t="s">
        <v>57</v>
      </c>
      <c r="I18" s="11" t="s">
        <v>54</v>
      </c>
    </row>
    <row r="19" spans="1:9" x14ac:dyDescent="0.2">
      <c r="A19" s="9" t="s">
        <v>38</v>
      </c>
      <c r="B19" s="14" t="s">
        <v>58</v>
      </c>
      <c r="C19" s="14" t="s">
        <v>58</v>
      </c>
      <c r="D19" s="14" t="s">
        <v>58</v>
      </c>
      <c r="E19" s="19">
        <v>16.14</v>
      </c>
      <c r="F19" s="19">
        <v>27.84</v>
      </c>
      <c r="G19" s="14" t="s">
        <v>58</v>
      </c>
      <c r="H19" s="19">
        <v>40.01</v>
      </c>
      <c r="I19" s="14" t="s">
        <v>58</v>
      </c>
    </row>
    <row r="20" spans="1:9" x14ac:dyDescent="0.2">
      <c r="A20" s="9" t="s">
        <v>39</v>
      </c>
      <c r="B20" s="14" t="s">
        <v>58</v>
      </c>
      <c r="C20" s="14" t="s">
        <v>58</v>
      </c>
      <c r="D20" s="14" t="s">
        <v>58</v>
      </c>
      <c r="E20" s="19">
        <v>1.86</v>
      </c>
      <c r="F20" s="19">
        <v>13.42</v>
      </c>
      <c r="G20" s="14" t="s">
        <v>58</v>
      </c>
      <c r="H20" s="19">
        <v>19.059999999999999</v>
      </c>
      <c r="I20" s="14" t="s">
        <v>58</v>
      </c>
    </row>
    <row r="21" spans="1:9" x14ac:dyDescent="0.2">
      <c r="A21" s="9" t="s">
        <v>40</v>
      </c>
      <c r="B21" s="14" t="s">
        <v>58</v>
      </c>
      <c r="C21" s="14" t="s">
        <v>58</v>
      </c>
      <c r="D21" s="14" t="s">
        <v>58</v>
      </c>
      <c r="E21" s="19">
        <v>10.01</v>
      </c>
      <c r="F21" s="19">
        <v>21</v>
      </c>
      <c r="G21" s="14" t="s">
        <v>58</v>
      </c>
      <c r="H21" s="19">
        <v>28.08</v>
      </c>
      <c r="I21" s="14" t="s">
        <v>58</v>
      </c>
    </row>
    <row r="22" spans="1:9" x14ac:dyDescent="0.2">
      <c r="A22" s="9" t="s">
        <v>41</v>
      </c>
      <c r="B22" s="14" t="s">
        <v>58</v>
      </c>
      <c r="C22" s="14" t="s">
        <v>58</v>
      </c>
      <c r="D22" s="14" t="s">
        <v>58</v>
      </c>
      <c r="E22" s="19">
        <v>10.08</v>
      </c>
      <c r="F22" s="19">
        <v>22.06</v>
      </c>
      <c r="G22" s="14" t="s">
        <v>58</v>
      </c>
      <c r="H22" s="19">
        <v>29.02</v>
      </c>
      <c r="I22" s="14" t="s">
        <v>58</v>
      </c>
    </row>
    <row r="23" spans="1:9" x14ac:dyDescent="0.2">
      <c r="A23" s="8"/>
      <c r="B23" s="8"/>
      <c r="C23" s="8"/>
      <c r="D23" s="8"/>
      <c r="E23" s="8"/>
      <c r="F23" s="8"/>
      <c r="G23" s="8"/>
      <c r="H23" s="8"/>
      <c r="I23" s="8"/>
    </row>
    <row r="24" spans="1:9" x14ac:dyDescent="0.2">
      <c r="A24" s="9" t="s">
        <v>113</v>
      </c>
      <c r="B24" s="9"/>
      <c r="C24" s="9"/>
      <c r="D24" s="9"/>
      <c r="E24" s="9"/>
      <c r="F24" s="9"/>
      <c r="G24" s="9"/>
      <c r="H24" s="9"/>
      <c r="I24" s="9"/>
    </row>
    <row r="25" spans="1:9" x14ac:dyDescent="0.2">
      <c r="A25" s="7" t="s">
        <v>38</v>
      </c>
      <c r="B25" s="14" t="s">
        <v>114</v>
      </c>
      <c r="C25" s="14" t="s">
        <v>114</v>
      </c>
      <c r="D25" s="14" t="s">
        <v>114</v>
      </c>
      <c r="E25" s="12">
        <v>45559.839999999997</v>
      </c>
      <c r="F25" s="12">
        <v>2099.37</v>
      </c>
      <c r="G25" s="8"/>
      <c r="H25" s="8"/>
      <c r="I25" s="8"/>
    </row>
    <row r="26" spans="1:9" x14ac:dyDescent="0.2">
      <c r="A26" s="7" t="s">
        <v>39</v>
      </c>
      <c r="B26" s="14" t="s">
        <v>114</v>
      </c>
      <c r="C26" s="14" t="s">
        <v>114</v>
      </c>
      <c r="D26" s="14" t="s">
        <v>114</v>
      </c>
      <c r="E26" s="12">
        <v>5255.37</v>
      </c>
      <c r="F26" s="12">
        <v>1012.08</v>
      </c>
      <c r="G26" s="8"/>
      <c r="H26" s="8"/>
      <c r="I26" s="8"/>
    </row>
    <row r="27" spans="1:9" x14ac:dyDescent="0.2">
      <c r="A27" s="7" t="s">
        <v>40</v>
      </c>
      <c r="B27" s="14" t="s">
        <v>114</v>
      </c>
      <c r="C27" s="14" t="s">
        <v>114</v>
      </c>
      <c r="D27" s="14" t="s">
        <v>114</v>
      </c>
      <c r="E27" s="12">
        <v>28254.48</v>
      </c>
      <c r="F27" s="12">
        <v>1583.72</v>
      </c>
      <c r="G27" s="8"/>
      <c r="H27" s="8"/>
      <c r="I27" s="8"/>
    </row>
    <row r="28" spans="1:9" x14ac:dyDescent="0.2">
      <c r="A28" s="7" t="s">
        <v>41</v>
      </c>
      <c r="B28" s="14" t="s">
        <v>114</v>
      </c>
      <c r="C28" s="14" t="s">
        <v>114</v>
      </c>
      <c r="D28" s="14" t="s">
        <v>114</v>
      </c>
      <c r="E28" s="12">
        <v>28466.27</v>
      </c>
      <c r="F28" s="12">
        <v>1663.77</v>
      </c>
      <c r="G28" s="8"/>
      <c r="H28" s="8"/>
      <c r="I28" s="8"/>
    </row>
    <row r="29" spans="1:9" x14ac:dyDescent="0.2">
      <c r="A29" s="8"/>
      <c r="B29" s="8"/>
      <c r="C29" s="8"/>
      <c r="D29" s="8"/>
      <c r="E29" s="8"/>
      <c r="F29" s="8"/>
      <c r="G29" s="8"/>
      <c r="H29" s="8"/>
      <c r="I29" s="8"/>
    </row>
    <row r="30" spans="1:9" ht="12" customHeight="1" x14ac:dyDescent="0.2">
      <c r="A30" s="9" t="s">
        <v>115</v>
      </c>
      <c r="B30" s="13">
        <v>4425</v>
      </c>
      <c r="C30" s="13">
        <v>4425</v>
      </c>
      <c r="D30" s="13">
        <v>4425</v>
      </c>
      <c r="E30" s="13">
        <v>4425</v>
      </c>
      <c r="F30" s="13">
        <v>4425</v>
      </c>
      <c r="G30" s="8"/>
      <c r="H30" s="8"/>
      <c r="I30" s="8"/>
    </row>
    <row r="31" spans="1:9" ht="12" customHeight="1" x14ac:dyDescent="0.2">
      <c r="A31" s="9" t="s">
        <v>116</v>
      </c>
      <c r="B31" s="13">
        <v>3641.3</v>
      </c>
      <c r="C31" s="13">
        <v>3641.3</v>
      </c>
      <c r="D31" s="13">
        <v>3641.3</v>
      </c>
      <c r="E31" s="13">
        <v>3641.3</v>
      </c>
      <c r="F31" s="13">
        <v>3641.3</v>
      </c>
      <c r="G31" s="8"/>
      <c r="H31" s="8"/>
      <c r="I31" s="8"/>
    </row>
    <row r="32" spans="1:9" ht="12" customHeight="1" x14ac:dyDescent="0.2">
      <c r="A32" s="9" t="s">
        <v>117</v>
      </c>
      <c r="B32" s="14" t="s">
        <v>26</v>
      </c>
      <c r="C32" s="14" t="s">
        <v>26</v>
      </c>
      <c r="D32" s="14" t="s">
        <v>26</v>
      </c>
      <c r="E32" s="14" t="s">
        <v>26</v>
      </c>
      <c r="F32" s="14" t="s">
        <v>26</v>
      </c>
      <c r="G32" s="8"/>
      <c r="H32" s="8"/>
      <c r="I32" s="8"/>
    </row>
    <row r="33" spans="1:9" ht="12" customHeight="1" x14ac:dyDescent="0.2">
      <c r="A33" s="9" t="s">
        <v>118</v>
      </c>
      <c r="B33" s="14" t="s">
        <v>26</v>
      </c>
      <c r="C33" s="14" t="s">
        <v>26</v>
      </c>
      <c r="D33" s="14" t="s">
        <v>26</v>
      </c>
      <c r="E33" s="14" t="s">
        <v>26</v>
      </c>
      <c r="F33" s="14" t="s">
        <v>26</v>
      </c>
      <c r="G33" s="8"/>
      <c r="H33" s="8"/>
      <c r="I33" s="8"/>
    </row>
    <row r="34" spans="1:9" x14ac:dyDescent="0.2">
      <c r="A34" s="8"/>
      <c r="B34" s="8"/>
      <c r="C34" s="8"/>
      <c r="D34" s="8"/>
      <c r="E34" s="8"/>
      <c r="F34" s="8"/>
      <c r="G34" s="8"/>
      <c r="H34" s="8"/>
      <c r="I34" s="8"/>
    </row>
    <row r="35" spans="1:9" x14ac:dyDescent="0.2">
      <c r="A35" s="9" t="s">
        <v>119</v>
      </c>
      <c r="B35" s="9"/>
      <c r="C35" s="9"/>
      <c r="D35" s="9"/>
      <c r="E35" s="9"/>
      <c r="F35" s="9"/>
      <c r="G35" s="9"/>
      <c r="H35" s="9"/>
      <c r="I35" s="9"/>
    </row>
    <row r="36" spans="1:9" x14ac:dyDescent="0.2">
      <c r="A36" s="7" t="s">
        <v>38</v>
      </c>
      <c r="B36" s="14" t="s">
        <v>114</v>
      </c>
      <c r="C36" s="14" t="s">
        <v>114</v>
      </c>
      <c r="D36" s="14" t="s">
        <v>114</v>
      </c>
      <c r="E36" s="12">
        <v>46343.61</v>
      </c>
      <c r="F36" s="12">
        <v>2883.14</v>
      </c>
      <c r="G36" s="14" t="s">
        <v>114</v>
      </c>
      <c r="H36" s="14" t="s">
        <v>114</v>
      </c>
      <c r="I36" s="14" t="s">
        <v>114</v>
      </c>
    </row>
    <row r="37" spans="1:9" x14ac:dyDescent="0.2">
      <c r="A37" s="7" t="s">
        <v>39</v>
      </c>
      <c r="B37" s="14" t="s">
        <v>114</v>
      </c>
      <c r="C37" s="14" t="s">
        <v>114</v>
      </c>
      <c r="D37" s="14" t="s">
        <v>114</v>
      </c>
      <c r="E37" s="12">
        <v>6039.14</v>
      </c>
      <c r="F37" s="12">
        <v>1795.85</v>
      </c>
      <c r="G37" s="14" t="s">
        <v>114</v>
      </c>
      <c r="H37" s="14" t="s">
        <v>114</v>
      </c>
      <c r="I37" s="14" t="s">
        <v>114</v>
      </c>
    </row>
    <row r="38" spans="1:9" x14ac:dyDescent="0.2">
      <c r="A38" s="7" t="s">
        <v>40</v>
      </c>
      <c r="B38" s="14" t="s">
        <v>114</v>
      </c>
      <c r="C38" s="14" t="s">
        <v>114</v>
      </c>
      <c r="D38" s="14" t="s">
        <v>114</v>
      </c>
      <c r="E38" s="12">
        <v>29038.25</v>
      </c>
      <c r="F38" s="12">
        <v>2367.4899999999998</v>
      </c>
      <c r="G38" s="14" t="s">
        <v>114</v>
      </c>
      <c r="H38" s="14" t="s">
        <v>114</v>
      </c>
      <c r="I38" s="14" t="s">
        <v>114</v>
      </c>
    </row>
    <row r="39" spans="1:9" x14ac:dyDescent="0.2">
      <c r="A39" s="7" t="s">
        <v>41</v>
      </c>
      <c r="B39" s="14" t="s">
        <v>114</v>
      </c>
      <c r="C39" s="14" t="s">
        <v>114</v>
      </c>
      <c r="D39" s="14" t="s">
        <v>114</v>
      </c>
      <c r="E39" s="12">
        <v>29250.04</v>
      </c>
      <c r="F39" s="12">
        <v>2447.54</v>
      </c>
      <c r="G39" s="14" t="s">
        <v>114</v>
      </c>
      <c r="H39" s="14" t="s">
        <v>114</v>
      </c>
      <c r="I39" s="14" t="s">
        <v>114</v>
      </c>
    </row>
    <row r="40" spans="1:9" x14ac:dyDescent="0.2">
      <c r="A40" s="8"/>
      <c r="B40" s="8"/>
      <c r="C40" s="8"/>
      <c r="D40" s="8"/>
      <c r="E40" s="8"/>
      <c r="F40" s="8"/>
      <c r="G40" s="8"/>
      <c r="H40" s="8"/>
      <c r="I40" s="8"/>
    </row>
    <row r="41" spans="1:9" ht="12" customHeight="1" x14ac:dyDescent="0.2">
      <c r="A41" s="9" t="s">
        <v>120</v>
      </c>
      <c r="B41" s="12">
        <v>231.47</v>
      </c>
      <c r="C41" s="12">
        <v>231.47</v>
      </c>
      <c r="D41" s="12">
        <v>231.47</v>
      </c>
      <c r="E41" s="12">
        <v>231.47</v>
      </c>
      <c r="F41" s="12">
        <v>231.47</v>
      </c>
      <c r="G41" s="12">
        <v>231.47</v>
      </c>
      <c r="H41" s="12">
        <v>231.47</v>
      </c>
      <c r="I41" s="12">
        <v>231.47</v>
      </c>
    </row>
    <row r="42" spans="1:9" x14ac:dyDescent="0.2">
      <c r="A42" s="8"/>
      <c r="B42" s="8"/>
      <c r="C42" s="8"/>
      <c r="D42" s="8"/>
      <c r="E42" s="8"/>
      <c r="F42" s="8"/>
      <c r="G42" s="8"/>
      <c r="H42" s="8"/>
      <c r="I42" s="8"/>
    </row>
    <row r="43" spans="1:9" x14ac:dyDescent="0.2">
      <c r="A43" s="9" t="s">
        <v>121</v>
      </c>
      <c r="B43" s="9"/>
      <c r="C43" s="9"/>
      <c r="D43" s="9"/>
      <c r="E43" s="9"/>
      <c r="F43" s="9"/>
      <c r="G43" s="9"/>
      <c r="H43" s="9"/>
      <c r="I43" s="9"/>
    </row>
    <row r="44" spans="1:9" x14ac:dyDescent="0.2">
      <c r="A44" s="7" t="s">
        <v>38</v>
      </c>
      <c r="B44" s="14" t="s">
        <v>114</v>
      </c>
      <c r="C44" s="14" t="s">
        <v>114</v>
      </c>
      <c r="D44" s="14" t="s">
        <v>114</v>
      </c>
      <c r="E44" s="12">
        <v>200.21</v>
      </c>
      <c r="F44" s="12">
        <v>12.46</v>
      </c>
      <c r="G44" s="14" t="s">
        <v>114</v>
      </c>
      <c r="H44" s="14" t="s">
        <v>114</v>
      </c>
      <c r="I44" s="14" t="s">
        <v>114</v>
      </c>
    </row>
    <row r="45" spans="1:9" x14ac:dyDescent="0.2">
      <c r="A45" s="7" t="s">
        <v>39</v>
      </c>
      <c r="B45" s="14" t="s">
        <v>114</v>
      </c>
      <c r="C45" s="14" t="s">
        <v>114</v>
      </c>
      <c r="D45" s="14" t="s">
        <v>114</v>
      </c>
      <c r="E45" s="12">
        <v>26.09</v>
      </c>
      <c r="F45" s="12">
        <v>7.76</v>
      </c>
      <c r="G45" s="14" t="s">
        <v>114</v>
      </c>
      <c r="H45" s="14" t="s">
        <v>114</v>
      </c>
      <c r="I45" s="14" t="s">
        <v>114</v>
      </c>
    </row>
    <row r="46" spans="1:9" x14ac:dyDescent="0.2">
      <c r="A46" s="7" t="s">
        <v>40</v>
      </c>
      <c r="B46" s="14" t="s">
        <v>114</v>
      </c>
      <c r="C46" s="14" t="s">
        <v>114</v>
      </c>
      <c r="D46" s="14" t="s">
        <v>114</v>
      </c>
      <c r="E46" s="12">
        <v>125.45</v>
      </c>
      <c r="F46" s="12">
        <v>10.23</v>
      </c>
      <c r="G46" s="14" t="s">
        <v>114</v>
      </c>
      <c r="H46" s="14" t="s">
        <v>114</v>
      </c>
      <c r="I46" s="14" t="s">
        <v>114</v>
      </c>
    </row>
    <row r="47" spans="1:9" x14ac:dyDescent="0.2">
      <c r="A47" s="7" t="s">
        <v>41</v>
      </c>
      <c r="B47" s="14" t="s">
        <v>114</v>
      </c>
      <c r="C47" s="14" t="s">
        <v>114</v>
      </c>
      <c r="D47" s="14" t="s">
        <v>114</v>
      </c>
      <c r="E47" s="12">
        <v>126.36</v>
      </c>
      <c r="F47" s="12">
        <v>10.57</v>
      </c>
      <c r="G47" s="14" t="s">
        <v>114</v>
      </c>
      <c r="H47" s="14" t="s">
        <v>114</v>
      </c>
      <c r="I47" s="14" t="s">
        <v>114</v>
      </c>
    </row>
    <row r="48" spans="1:9" x14ac:dyDescent="0.2">
      <c r="A48" s="8"/>
      <c r="B48" s="8"/>
      <c r="C48" s="8"/>
      <c r="D48" s="8"/>
      <c r="E48" s="8"/>
      <c r="F48" s="8"/>
      <c r="G48" s="8"/>
      <c r="H48" s="8"/>
      <c r="I48" s="8"/>
    </row>
    <row r="49" spans="1:9" ht="20.399999999999999" x14ac:dyDescent="0.2">
      <c r="A49" s="9" t="s">
        <v>122</v>
      </c>
      <c r="B49" s="11" t="s">
        <v>123</v>
      </c>
      <c r="C49" s="11" t="s">
        <v>124</v>
      </c>
      <c r="D49" s="9"/>
      <c r="E49" s="9"/>
      <c r="F49" s="9"/>
      <c r="G49" s="9"/>
      <c r="H49" s="9"/>
      <c r="I49" s="9"/>
    </row>
    <row r="50" spans="1:9" x14ac:dyDescent="0.2">
      <c r="A50" s="9" t="s">
        <v>38</v>
      </c>
      <c r="B50" s="24">
        <v>24613.37</v>
      </c>
      <c r="C50" s="24">
        <v>106.33</v>
      </c>
      <c r="D50" s="8"/>
      <c r="E50" s="8"/>
      <c r="F50" s="8"/>
      <c r="G50" s="8"/>
      <c r="H50" s="8"/>
      <c r="I50" s="8"/>
    </row>
    <row r="51" spans="1:9" x14ac:dyDescent="0.2">
      <c r="A51" s="9" t="s">
        <v>39</v>
      </c>
      <c r="B51" s="24">
        <v>3917.49</v>
      </c>
      <c r="C51" s="24">
        <v>16.920000000000002</v>
      </c>
      <c r="D51" s="8"/>
      <c r="E51" s="8"/>
      <c r="F51" s="8"/>
      <c r="G51" s="8"/>
      <c r="H51" s="8"/>
      <c r="I51" s="8"/>
    </row>
    <row r="52" spans="1:9" x14ac:dyDescent="0.2">
      <c r="A52" s="9" t="s">
        <v>40</v>
      </c>
      <c r="B52" s="24">
        <v>15702.87</v>
      </c>
      <c r="C52" s="24">
        <v>67.84</v>
      </c>
      <c r="D52" s="8"/>
      <c r="E52" s="8"/>
      <c r="F52" s="8"/>
      <c r="G52" s="8"/>
      <c r="H52" s="8"/>
      <c r="I52" s="8"/>
    </row>
    <row r="53" spans="1:9" x14ac:dyDescent="0.2">
      <c r="A53" s="9" t="s">
        <v>41</v>
      </c>
      <c r="B53" s="24">
        <v>15848.79</v>
      </c>
      <c r="C53" s="24">
        <v>68.47</v>
      </c>
      <c r="D53" s="8"/>
      <c r="E53" s="8"/>
      <c r="F53" s="8"/>
      <c r="G53" s="8"/>
      <c r="H53" s="8"/>
      <c r="I53" s="8"/>
    </row>
    <row r="54" spans="1:9" x14ac:dyDescent="0.2">
      <c r="A54" s="10"/>
      <c r="B54" s="10"/>
      <c r="C54" s="10"/>
      <c r="D54" s="10"/>
      <c r="E54" s="10"/>
      <c r="F54" s="10"/>
      <c r="G54" s="10"/>
      <c r="H54" s="10"/>
      <c r="I54" s="10"/>
    </row>
    <row r="55" spans="1:9" x14ac:dyDescent="0.2">
      <c r="A55" s="6"/>
    </row>
    <row r="60" spans="1:9" x14ac:dyDescent="0.2">
      <c r="A60" t="s">
        <v>43</v>
      </c>
    </row>
    <row r="69" spans="1:1" ht="25.05" customHeight="1" x14ac:dyDescent="0.2">
      <c r="A69" s="18" t="s">
        <v>45</v>
      </c>
    </row>
  </sheetData>
  <pageMargins left="0.2" right="0.2" top="0.5" bottom="0.5" header="0.5" footer="0.5"/>
  <pageSetup fitToWidth="0" fitToHeight="0" orientation="landscape" horizontalDpi="300" verticalDpi="300"/>
  <headerFooter alignWithMargins="0"/>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FE1565-0941-4E9D-9B70-1D7D961FD633}">
  <sheetPr codeName="Sheet8">
    <outlinePr summaryBelow="0" summaryRight="0"/>
  </sheetPr>
  <dimension ref="A4:IU32"/>
  <sheetViews>
    <sheetView defaultGridColor="0" colorId="0" workbookViewId="0"/>
  </sheetViews>
  <sheetFormatPr defaultRowHeight="10.199999999999999" x14ac:dyDescent="0.2"/>
  <cols>
    <col min="1" max="1" width="25.88671875" customWidth="1"/>
    <col min="2" max="2" width="75.88671875" customWidth="1"/>
    <col min="3" max="8" width="9.33203125"/>
  </cols>
  <sheetData>
    <row r="4" spans="1:255" ht="16.2" x14ac:dyDescent="0.25">
      <c r="A4" s="1" t="s">
        <v>125</v>
      </c>
    </row>
    <row r="7" spans="1:255" x14ac:dyDescent="0.2">
      <c r="A7" s="2" t="s">
        <v>1</v>
      </c>
      <c r="B7" s="2"/>
      <c r="C7" s="28"/>
      <c r="D7" s="28"/>
      <c r="E7" s="28"/>
      <c r="F7" s="28"/>
      <c r="G7" s="28"/>
      <c r="H7" s="28"/>
      <c r="I7" s="28"/>
      <c r="J7" s="28"/>
      <c r="K7" s="28"/>
      <c r="L7" s="28"/>
      <c r="M7" s="28"/>
      <c r="N7" s="28"/>
      <c r="O7" s="28"/>
      <c r="P7" s="28"/>
      <c r="Q7" s="28"/>
      <c r="R7" s="28"/>
      <c r="S7" s="28"/>
      <c r="T7" s="28"/>
      <c r="U7" s="28"/>
      <c r="V7" s="28"/>
      <c r="W7" s="28"/>
      <c r="X7" s="28"/>
      <c r="Y7" s="28"/>
      <c r="Z7" s="28"/>
      <c r="AA7" s="28"/>
      <c r="AB7" s="28"/>
      <c r="AC7" s="28"/>
      <c r="AD7" s="28"/>
      <c r="AE7" s="28"/>
      <c r="AF7" s="28"/>
      <c r="AG7" s="28"/>
      <c r="AH7" s="28"/>
      <c r="AI7" s="28"/>
      <c r="AJ7" s="28"/>
      <c r="AK7" s="28"/>
      <c r="AL7" s="28"/>
      <c r="AM7" s="28"/>
      <c r="AN7" s="28"/>
      <c r="AO7" s="28"/>
      <c r="AP7" s="28"/>
      <c r="AQ7" s="28"/>
      <c r="AR7" s="28"/>
      <c r="AS7" s="28"/>
      <c r="AT7" s="28"/>
      <c r="AU7" s="28"/>
      <c r="AV7" s="28"/>
      <c r="AW7" s="28"/>
      <c r="AX7" s="28"/>
      <c r="AY7" s="28"/>
      <c r="AZ7" s="28"/>
      <c r="BA7" s="28"/>
      <c r="BB7" s="28"/>
      <c r="BC7" s="28"/>
      <c r="BD7" s="28"/>
      <c r="BE7" s="28"/>
      <c r="BF7" s="28"/>
      <c r="BG7" s="28"/>
      <c r="BH7" s="28"/>
      <c r="BI7" s="28"/>
      <c r="BJ7" s="28"/>
      <c r="BK7" s="28"/>
      <c r="BL7" s="28"/>
      <c r="BM7" s="28"/>
      <c r="BN7" s="28"/>
      <c r="BO7" s="28"/>
      <c r="BP7" s="28"/>
      <c r="BQ7" s="28"/>
      <c r="BR7" s="28"/>
      <c r="BS7" s="28"/>
      <c r="BT7" s="28"/>
      <c r="BU7" s="28"/>
      <c r="BV7" s="28"/>
      <c r="BW7" s="28"/>
      <c r="BX7" s="28"/>
      <c r="BY7" s="28"/>
      <c r="BZ7" s="28"/>
      <c r="CA7" s="28"/>
      <c r="CB7" s="28"/>
      <c r="CC7" s="28"/>
      <c r="CD7" s="28"/>
      <c r="CE7" s="28"/>
      <c r="CF7" s="28"/>
      <c r="CG7" s="28"/>
      <c r="CH7" s="28"/>
      <c r="CI7" s="28"/>
      <c r="CJ7" s="28"/>
      <c r="CK7" s="28"/>
      <c r="CL7" s="28"/>
      <c r="CM7" s="28"/>
      <c r="CN7" s="28"/>
      <c r="CO7" s="28"/>
      <c r="CP7" s="28"/>
      <c r="CQ7" s="28"/>
      <c r="CR7" s="28"/>
      <c r="CS7" s="28"/>
      <c r="CT7" s="28"/>
      <c r="CU7" s="28"/>
      <c r="CV7" s="28"/>
      <c r="CW7" s="28"/>
      <c r="CX7" s="28"/>
      <c r="CY7" s="28"/>
      <c r="CZ7" s="28"/>
      <c r="DA7" s="28"/>
      <c r="DB7" s="28"/>
      <c r="DC7" s="28"/>
      <c r="DD7" s="28"/>
      <c r="DE7" s="28"/>
      <c r="DF7" s="28"/>
      <c r="DG7" s="28"/>
      <c r="DH7" s="28"/>
      <c r="DI7" s="28"/>
      <c r="DJ7" s="28"/>
      <c r="DK7" s="28"/>
      <c r="DL7" s="28"/>
      <c r="DM7" s="28"/>
      <c r="DN7" s="28"/>
      <c r="DO7" s="28"/>
      <c r="DP7" s="28"/>
      <c r="DQ7" s="28"/>
      <c r="DR7" s="28"/>
      <c r="DS7" s="28"/>
      <c r="DT7" s="28"/>
      <c r="DU7" s="28"/>
      <c r="DV7" s="28"/>
      <c r="DW7" s="28"/>
      <c r="DX7" s="28"/>
      <c r="DY7" s="28"/>
      <c r="DZ7" s="28"/>
      <c r="EA7" s="28"/>
      <c r="EB7" s="28"/>
      <c r="EC7" s="28"/>
      <c r="ED7" s="28"/>
      <c r="EE7" s="28"/>
      <c r="EF7" s="28"/>
      <c r="EG7" s="28"/>
      <c r="EH7" s="28"/>
      <c r="EI7" s="28"/>
      <c r="EJ7" s="28"/>
      <c r="EK7" s="28"/>
      <c r="EL7" s="28"/>
      <c r="EM7" s="28"/>
      <c r="EN7" s="28"/>
      <c r="EO7" s="28"/>
      <c r="EP7" s="28"/>
      <c r="EQ7" s="28"/>
      <c r="ER7" s="28"/>
      <c r="ES7" s="28"/>
      <c r="ET7" s="28"/>
      <c r="EU7" s="28"/>
      <c r="EV7" s="28"/>
      <c r="EW7" s="28"/>
      <c r="EX7" s="28"/>
      <c r="EY7" s="28"/>
      <c r="EZ7" s="28"/>
      <c r="FA7" s="28"/>
      <c r="FB7" s="28"/>
      <c r="FC7" s="28"/>
      <c r="FD7" s="28"/>
      <c r="FE7" s="28"/>
      <c r="FF7" s="28"/>
      <c r="FG7" s="28"/>
      <c r="FH7" s="28"/>
      <c r="FI7" s="28"/>
      <c r="FJ7" s="28"/>
      <c r="FK7" s="28"/>
      <c r="FL7" s="28"/>
      <c r="FM7" s="28"/>
      <c r="FN7" s="28"/>
      <c r="FO7" s="28"/>
      <c r="FP7" s="28"/>
      <c r="FQ7" s="28"/>
      <c r="FR7" s="28"/>
      <c r="FS7" s="28"/>
      <c r="FT7" s="28"/>
      <c r="FU7" s="28"/>
      <c r="FV7" s="28"/>
      <c r="FW7" s="28"/>
      <c r="FX7" s="28"/>
      <c r="FY7" s="28"/>
      <c r="FZ7" s="28"/>
      <c r="GA7" s="28"/>
      <c r="GB7" s="28"/>
      <c r="GC7" s="28"/>
      <c r="GD7" s="28"/>
      <c r="GE7" s="28"/>
      <c r="GF7" s="28"/>
      <c r="GG7" s="28"/>
      <c r="GH7" s="28"/>
      <c r="GI7" s="28"/>
      <c r="GJ7" s="28"/>
      <c r="GK7" s="28"/>
      <c r="GL7" s="28"/>
      <c r="GM7" s="28"/>
      <c r="GN7" s="28"/>
      <c r="GO7" s="28"/>
      <c r="GP7" s="28"/>
      <c r="GQ7" s="28"/>
      <c r="GR7" s="28"/>
      <c r="GS7" s="28"/>
      <c r="GT7" s="28"/>
      <c r="GU7" s="28"/>
      <c r="GV7" s="28"/>
      <c r="GW7" s="28"/>
      <c r="GX7" s="28"/>
      <c r="GY7" s="28"/>
      <c r="GZ7" s="28"/>
      <c r="HA7" s="28"/>
      <c r="HB7" s="28"/>
      <c r="HC7" s="28"/>
      <c r="HD7" s="28"/>
      <c r="HE7" s="28"/>
      <c r="HF7" s="28"/>
      <c r="HG7" s="28"/>
      <c r="HH7" s="28"/>
      <c r="HI7" s="28"/>
      <c r="HJ7" s="28"/>
      <c r="HK7" s="28"/>
      <c r="HL7" s="28"/>
      <c r="HM7" s="28"/>
      <c r="HN7" s="28"/>
      <c r="HO7" s="28"/>
      <c r="HP7" s="28"/>
      <c r="HQ7" s="28"/>
      <c r="HR7" s="28"/>
      <c r="HS7" s="28"/>
      <c r="HT7" s="28"/>
      <c r="HU7" s="28"/>
      <c r="HV7" s="28"/>
      <c r="HW7" s="28"/>
      <c r="HX7" s="28"/>
      <c r="HY7" s="28"/>
      <c r="HZ7" s="28"/>
      <c r="IA7" s="28"/>
      <c r="IB7" s="28"/>
      <c r="IC7" s="28"/>
      <c r="ID7" s="28"/>
      <c r="IE7" s="28"/>
      <c r="IF7" s="28"/>
      <c r="IG7" s="28"/>
      <c r="IH7" s="28"/>
      <c r="II7" s="28"/>
      <c r="IJ7" s="28"/>
      <c r="IK7" s="28"/>
      <c r="IL7" s="28"/>
      <c r="IM7" s="28"/>
      <c r="IN7" s="28"/>
      <c r="IO7" s="28"/>
      <c r="IP7" s="28"/>
      <c r="IQ7" s="28"/>
      <c r="IR7" s="28"/>
      <c r="IS7" s="28"/>
      <c r="IT7" s="28"/>
      <c r="IU7" s="28"/>
    </row>
    <row r="8" spans="1:255" x14ac:dyDescent="0.2">
      <c r="A8" s="3" t="s">
        <v>126</v>
      </c>
      <c r="B8" s="4" t="s">
        <v>3</v>
      </c>
    </row>
    <row r="9" spans="1:255" x14ac:dyDescent="0.2">
      <c r="A9" s="3" t="s">
        <v>127</v>
      </c>
      <c r="B9" s="4" t="s">
        <v>5</v>
      </c>
    </row>
    <row r="10" spans="1:255" x14ac:dyDescent="0.2">
      <c r="A10" s="3" t="s">
        <v>128</v>
      </c>
      <c r="B10" s="5">
        <v>45043</v>
      </c>
    </row>
    <row r="11" spans="1:255" x14ac:dyDescent="0.2">
      <c r="A11" s="6"/>
    </row>
    <row r="13" spans="1:255" x14ac:dyDescent="0.2">
      <c r="A13" s="2" t="s">
        <v>7</v>
      </c>
      <c r="B13" s="2"/>
      <c r="C13" s="28"/>
      <c r="D13" s="28"/>
      <c r="E13" s="28"/>
      <c r="F13" s="28"/>
      <c r="G13" s="28"/>
      <c r="H13" s="28"/>
      <c r="I13" s="28"/>
      <c r="J13" s="28"/>
      <c r="K13" s="28"/>
      <c r="L13" s="28"/>
      <c r="M13" s="28"/>
      <c r="N13" s="28"/>
      <c r="O13" s="28"/>
      <c r="P13" s="28"/>
      <c r="Q13" s="28"/>
      <c r="R13" s="28"/>
      <c r="S13" s="28"/>
      <c r="T13" s="28"/>
      <c r="U13" s="28"/>
      <c r="V13" s="28"/>
      <c r="W13" s="28"/>
      <c r="X13" s="28"/>
      <c r="Y13" s="28"/>
      <c r="Z13" s="28"/>
      <c r="AA13" s="28"/>
      <c r="AB13" s="28"/>
      <c r="AC13" s="28"/>
      <c r="AD13" s="28"/>
      <c r="AE13" s="28"/>
      <c r="AF13" s="28"/>
      <c r="AG13" s="28"/>
      <c r="AH13" s="28"/>
      <c r="AI13" s="28"/>
      <c r="AJ13" s="28"/>
      <c r="AK13" s="28"/>
      <c r="AL13" s="28"/>
      <c r="AM13" s="28"/>
      <c r="AN13" s="28"/>
      <c r="AO13" s="28"/>
      <c r="AP13" s="28"/>
      <c r="AQ13" s="28"/>
      <c r="AR13" s="28"/>
      <c r="AS13" s="28"/>
      <c r="AT13" s="28"/>
      <c r="AU13" s="28"/>
      <c r="AV13" s="28"/>
      <c r="AW13" s="28"/>
      <c r="AX13" s="28"/>
      <c r="AY13" s="28"/>
      <c r="AZ13" s="28"/>
      <c r="BA13" s="28"/>
      <c r="BB13" s="28"/>
      <c r="BC13" s="28"/>
      <c r="BD13" s="28"/>
      <c r="BE13" s="28"/>
      <c r="BF13" s="28"/>
      <c r="BG13" s="28"/>
      <c r="BH13" s="28"/>
      <c r="BI13" s="28"/>
      <c r="BJ13" s="28"/>
      <c r="BK13" s="28"/>
      <c r="BL13" s="28"/>
      <c r="BM13" s="28"/>
      <c r="BN13" s="28"/>
      <c r="BO13" s="28"/>
      <c r="BP13" s="28"/>
      <c r="BQ13" s="28"/>
      <c r="BR13" s="28"/>
      <c r="BS13" s="28"/>
      <c r="BT13" s="28"/>
      <c r="BU13" s="28"/>
      <c r="BV13" s="28"/>
      <c r="BW13" s="28"/>
      <c r="BX13" s="28"/>
      <c r="BY13" s="28"/>
      <c r="BZ13" s="28"/>
      <c r="CA13" s="28"/>
      <c r="CB13" s="28"/>
      <c r="CC13" s="28"/>
      <c r="CD13" s="28"/>
      <c r="CE13" s="28"/>
      <c r="CF13" s="28"/>
      <c r="CG13" s="28"/>
      <c r="CH13" s="28"/>
      <c r="CI13" s="28"/>
      <c r="CJ13" s="28"/>
      <c r="CK13" s="28"/>
      <c r="CL13" s="28"/>
      <c r="CM13" s="28"/>
      <c r="CN13" s="28"/>
      <c r="CO13" s="28"/>
      <c r="CP13" s="28"/>
      <c r="CQ13" s="28"/>
      <c r="CR13" s="28"/>
      <c r="CS13" s="28"/>
      <c r="CT13" s="28"/>
      <c r="CU13" s="28"/>
      <c r="CV13" s="28"/>
      <c r="CW13" s="28"/>
      <c r="CX13" s="28"/>
      <c r="CY13" s="28"/>
      <c r="CZ13" s="28"/>
      <c r="DA13" s="28"/>
      <c r="DB13" s="28"/>
      <c r="DC13" s="28"/>
      <c r="DD13" s="28"/>
      <c r="DE13" s="28"/>
      <c r="DF13" s="28"/>
      <c r="DG13" s="28"/>
      <c r="DH13" s="28"/>
      <c r="DI13" s="28"/>
      <c r="DJ13" s="28"/>
      <c r="DK13" s="28"/>
      <c r="DL13" s="28"/>
      <c r="DM13" s="28"/>
      <c r="DN13" s="28"/>
      <c r="DO13" s="28"/>
      <c r="DP13" s="28"/>
      <c r="DQ13" s="28"/>
      <c r="DR13" s="28"/>
      <c r="DS13" s="28"/>
      <c r="DT13" s="28"/>
      <c r="DU13" s="28"/>
      <c r="DV13" s="28"/>
      <c r="DW13" s="28"/>
      <c r="DX13" s="28"/>
      <c r="DY13" s="28"/>
      <c r="DZ13" s="28"/>
      <c r="EA13" s="28"/>
      <c r="EB13" s="28"/>
      <c r="EC13" s="28"/>
      <c r="ED13" s="28"/>
      <c r="EE13" s="28"/>
      <c r="EF13" s="28"/>
      <c r="EG13" s="28"/>
      <c r="EH13" s="28"/>
      <c r="EI13" s="28"/>
      <c r="EJ13" s="28"/>
      <c r="EK13" s="28"/>
      <c r="EL13" s="28"/>
      <c r="EM13" s="28"/>
      <c r="EN13" s="28"/>
      <c r="EO13" s="28"/>
      <c r="EP13" s="28"/>
      <c r="EQ13" s="28"/>
      <c r="ER13" s="28"/>
      <c r="ES13" s="28"/>
      <c r="ET13" s="28"/>
      <c r="EU13" s="28"/>
      <c r="EV13" s="28"/>
      <c r="EW13" s="28"/>
      <c r="EX13" s="28"/>
      <c r="EY13" s="28"/>
      <c r="EZ13" s="28"/>
      <c r="FA13" s="28"/>
      <c r="FB13" s="28"/>
      <c r="FC13" s="28"/>
      <c r="FD13" s="28"/>
      <c r="FE13" s="28"/>
      <c r="FF13" s="28"/>
      <c r="FG13" s="28"/>
      <c r="FH13" s="28"/>
      <c r="FI13" s="28"/>
      <c r="FJ13" s="28"/>
      <c r="FK13" s="28"/>
      <c r="FL13" s="28"/>
      <c r="FM13" s="28"/>
      <c r="FN13" s="28"/>
      <c r="FO13" s="28"/>
      <c r="FP13" s="28"/>
      <c r="FQ13" s="28"/>
      <c r="FR13" s="28"/>
      <c r="FS13" s="28"/>
      <c r="FT13" s="28"/>
      <c r="FU13" s="28"/>
      <c r="FV13" s="28"/>
      <c r="FW13" s="28"/>
      <c r="FX13" s="28"/>
      <c r="FY13" s="28"/>
      <c r="FZ13" s="28"/>
      <c r="GA13" s="28"/>
      <c r="GB13" s="28"/>
      <c r="GC13" s="28"/>
      <c r="GD13" s="28"/>
      <c r="GE13" s="28"/>
      <c r="GF13" s="28"/>
      <c r="GG13" s="28"/>
      <c r="GH13" s="28"/>
      <c r="GI13" s="28"/>
      <c r="GJ13" s="28"/>
      <c r="GK13" s="28"/>
      <c r="GL13" s="28"/>
      <c r="GM13" s="28"/>
      <c r="GN13" s="28"/>
      <c r="GO13" s="28"/>
      <c r="GP13" s="28"/>
      <c r="GQ13" s="28"/>
      <c r="GR13" s="28"/>
      <c r="GS13" s="28"/>
      <c r="GT13" s="28"/>
      <c r="GU13" s="28"/>
      <c r="GV13" s="28"/>
      <c r="GW13" s="28"/>
      <c r="GX13" s="28"/>
      <c r="GY13" s="28"/>
      <c r="GZ13" s="28"/>
      <c r="HA13" s="28"/>
      <c r="HB13" s="28"/>
      <c r="HC13" s="28"/>
      <c r="HD13" s="28"/>
      <c r="HE13" s="28"/>
      <c r="HF13" s="28"/>
      <c r="HG13" s="28"/>
      <c r="HH13" s="28"/>
      <c r="HI13" s="28"/>
      <c r="HJ13" s="28"/>
      <c r="HK13" s="28"/>
      <c r="HL13" s="28"/>
      <c r="HM13" s="28"/>
      <c r="HN13" s="28"/>
      <c r="HO13" s="28"/>
      <c r="HP13" s="28"/>
      <c r="HQ13" s="28"/>
      <c r="HR13" s="28"/>
      <c r="HS13" s="28"/>
      <c r="HT13" s="28"/>
      <c r="HU13" s="28"/>
      <c r="HV13" s="28"/>
      <c r="HW13" s="28"/>
      <c r="HX13" s="28"/>
      <c r="HY13" s="28"/>
      <c r="HZ13" s="28"/>
      <c r="IA13" s="28"/>
      <c r="IB13" s="28"/>
      <c r="IC13" s="28"/>
      <c r="ID13" s="28"/>
      <c r="IE13" s="28"/>
      <c r="IF13" s="28"/>
      <c r="IG13" s="28"/>
      <c r="IH13" s="28"/>
      <c r="II13" s="28"/>
      <c r="IJ13" s="28"/>
      <c r="IK13" s="28"/>
      <c r="IL13" s="28"/>
      <c r="IM13" s="28"/>
      <c r="IN13" s="28"/>
      <c r="IO13" s="28"/>
      <c r="IP13" s="28"/>
      <c r="IQ13" s="28"/>
      <c r="IR13" s="28"/>
      <c r="IS13" s="28"/>
      <c r="IT13" s="28"/>
      <c r="IU13" s="28"/>
    </row>
    <row r="14" spans="1:255" x14ac:dyDescent="0.2">
      <c r="A14" s="25"/>
      <c r="B14" s="27"/>
    </row>
    <row r="15" spans="1:255" ht="400.05" customHeight="1" x14ac:dyDescent="0.2">
      <c r="A15" s="26"/>
      <c r="B15" s="10"/>
    </row>
    <row r="18" spans="1:1" x14ac:dyDescent="0.2">
      <c r="A18" s="6"/>
    </row>
    <row r="23" spans="1:1" x14ac:dyDescent="0.2">
      <c r="A23" t="s">
        <v>43</v>
      </c>
    </row>
    <row r="32" spans="1:1" ht="25.05" customHeight="1" x14ac:dyDescent="0.2">
      <c r="A32" s="18" t="s">
        <v>45</v>
      </c>
    </row>
  </sheetData>
  <pageMargins left="0.2" right="0.2" top="0.5" bottom="0.5" header="0.5" footer="0.5"/>
  <pageSetup fitToWidth="0" fitToHeight="0" orientation="landscape" horizontalDpi="300" verticalDpi="300"/>
  <headerFooter alignWithMargins="0"/>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80A1E2-36FD-44D0-BBD4-07D2325EA0BF}">
  <sheetPr codeName="Sheet9"/>
  <dimension ref="A5"/>
  <sheetViews>
    <sheetView workbookViewId="0"/>
  </sheetViews>
  <sheetFormatPr defaultRowHeight="10.199999999999999" x14ac:dyDescent="0.2"/>
  <sheetData>
    <row r="5" spans="1:1" ht="23.25" customHeight="1" x14ac:dyDescent="0.4">
      <c r="A5" s="29" t="s">
        <v>129</v>
      </c>
    </row>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9</vt:i4>
      </vt:variant>
      <vt:variant>
        <vt:lpstr>Named Ranges</vt:lpstr>
      </vt:variant>
      <vt:variant>
        <vt:i4>6</vt:i4>
      </vt:variant>
    </vt:vector>
  </HeadingPairs>
  <TitlesOfParts>
    <vt:vector size="15" baseType="lpstr">
      <vt:lpstr>COMPCO</vt:lpstr>
      <vt:lpstr>BENCHMARKING</vt:lpstr>
      <vt:lpstr>Financial Data</vt:lpstr>
      <vt:lpstr>Trading Multiples</vt:lpstr>
      <vt:lpstr>Operating Statistics</vt:lpstr>
      <vt:lpstr>Business Description</vt:lpstr>
      <vt:lpstr>Implied Valuation</vt:lpstr>
      <vt:lpstr>Valuation Chart</vt:lpstr>
      <vt:lpstr>Evaluation Warning</vt:lpstr>
      <vt:lpstr>'Business Description'!Print_Titles</vt:lpstr>
      <vt:lpstr>'Financial Data'!Print_Titles</vt:lpstr>
      <vt:lpstr>'Implied Valuation'!Print_Titles</vt:lpstr>
      <vt:lpstr>'Operating Statistics'!Print_Titles</vt:lpstr>
      <vt:lpstr>'Trading Multiples'!Print_Titles</vt:lpstr>
      <vt:lpstr>'Valuation Chart'!Print_Titles</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dcterms:created xsi:type="dcterms:W3CDTF">2004-07-20T21:40:42Z</dcterms:created>
  <dcterms:modified xsi:type="dcterms:W3CDTF">2023-04-28T02:48:47Z</dcterms:modified>
  <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reated By">
    <vt:lpwstr>SoftArtisans OfficeWriter for Excel 8.6.2.281 (http://officewriter.softartisans.com)</vt:lpwstr>
  </property>
</Properties>
</file>