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6006BEF1-9841-4329-9701-EB9CE5651FDC}" xr6:coauthVersionLast="47" xr6:coauthVersionMax="47" xr10:uidLastSave="{00000000-0000-0000-0000-000000000000}"/>
  <bookViews>
    <workbookView xWindow="8300" yWindow="120" windowWidth="10900" windowHeight="1142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S8" i="11" s="1"/>
  <c r="S14" i="11" s="1"/>
  <c r="S12" i="11" s="1"/>
  <c r="S10"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R8" i="11"/>
  <c r="R10" i="11" s="1"/>
  <c r="R12" i="11" s="1"/>
  <c r="R14" i="11" s="1"/>
  <c r="Q15" i="11" l="1"/>
  <c r="Q17" i="11" s="1"/>
</calcChain>
</file>

<file path=xl/sharedStrings.xml><?xml version="1.0" encoding="utf-8"?>
<sst xmlns="http://schemas.openxmlformats.org/spreadsheetml/2006/main" count="654" uniqueCount="208">
  <si>
    <t>Apple Inc. (NasdaqGS:AAPL)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</si>
  <si>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</si>
  <si>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</si>
  <si>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</si>
  <si>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</si>
  <si>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</si>
  <si>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</si>
  <si>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</si>
  <si>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</si>
  <si>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</si>
  <si>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</si>
  <si>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</si>
  <si>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</si>
  <si>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</si>
  <si>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</si>
  <si>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</si>
  <si>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</si>
  <si>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</si>
  <si>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</si>
  <si>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</si>
  <si>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</si>
  <si>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</si>
  <si>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</si>
  <si>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</si>
  <si>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</si>
  <si>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Alphabet Inc. (NasdaqGS:GOOGL)</t>
  </si>
  <si>
    <t>-</t>
  </si>
  <si>
    <t>Amazon.com, Inc. (NasdaqGS:AMZN)</t>
  </si>
  <si>
    <t>Dell Technologies Inc. (NYSE:DELL)</t>
  </si>
  <si>
    <t>Hewlett Packard Enterprise Company (NYSE:HPE)</t>
  </si>
  <si>
    <t>HP Inc. (NYSE:HPQ)</t>
  </si>
  <si>
    <t>NetApp, Inc. (NasdaqGS:NTAP)</t>
  </si>
  <si>
    <t>Intel Corporation (NasdaqGS:INTC)</t>
  </si>
  <si>
    <t>QUALCOMM Incorporated (NasdaqGS:QCOM)</t>
  </si>
  <si>
    <t>Western Digital Corporation (NasdaqGS:WDC)</t>
  </si>
  <si>
    <t>Advanced Micro Devices, Inc. (NasdaqGS:AMD)</t>
  </si>
  <si>
    <t>Apple Inc. (NasdaqGS:AAPL)</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</si>
  <si>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</si>
  <si>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</si>
  <si>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</si>
  <si>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</si>
  <si>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</si>
  <si>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</si>
  <si>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</si>
  <si>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</si>
  <si>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</si>
  <si>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Apple Inc. (NasdaqGS:AAPL)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</si>
  <si>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</si>
  <si>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</si>
  <si>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</si>
  <si>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</si>
  <si>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</si>
  <si>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</si>
  <si>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</si>
  <si>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</si>
  <si>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</si>
  <si>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</si>
  <si>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</si>
  <si>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NM</t>
  </si>
  <si>
    <t>Apple Inc. (NasdaqGS:AAPL)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</si>
  <si>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</si>
  <si>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</si>
  <si>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</si>
  <si>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</si>
  <si>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</si>
  <si>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</si>
  <si>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</si>
  <si>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</si>
  <si>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</si>
  <si>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</si>
  <si>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</si>
  <si>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</si>
  <si>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</si>
  <si>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</si>
  <si>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</si>
  <si>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Apple Inc. (NasdaqGS:AAPL) &gt;  Quick Comparable Analysis &gt; Business Description</t>
  </si>
  <si>
    <t>Template:</t>
  </si>
  <si>
    <t>Currency:</t>
  </si>
  <si>
    <t>As-Of Date:</t>
  </si>
  <si>
    <t>Business Description</t>
  </si>
  <si>
    <t>Headquarters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</si>
  <si>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</si>
  <si>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</si>
  <si>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</si>
  <si>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</si>
  <si>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Dell Technologies Inc. designs, develops, manufactures, markets, sells, and supports various comprehensive and integrated solutions, products, and services in the Americas, Europe, the Middle East, Asia, and internationally. The company operates through two segments, Infrastructure Solutions Group (ISG) and Client Solutions Group (CSG). The ISG segment provides traditional and next-generation storage solutions, including all-flash arrays, scale-out file, object platforms, hyper-converged infrastructure, and software-defined storage; and rack, blade, tower, and hyperscale servers. This segment also offers networking products and services that help its business customers to transform and modernize their infrastructure, mobilize and enrich end-user experiences, and accelerate business applications and processes; attached software and peripherals; and support and deployment, configuration, and extended warranty services. The CSG segment provides desktops, workstations, and notebooks; displays, docking stations, and other electronics; and third-party software and peripherals, as well as support and deployment, configuration, and extended warranty services. The company is also involved in the provision of cybersecurity technology-driven security solutions to prevent security breaches, detect malicious activity, respond rapidly when a security breach occurs, and identify emerging threats; originating, collecting, and servicing customer financing arrangements; and infrastructure-as-a-service solutions, as well as in the resale of VMware products and services. The company was formerly known as Denali Holding Inc. and changed its name to Dell Technologies Inc. in August 2016. Dell Technologies Inc. was founded in 1984 and is headquartered in Round Rock, Texas.</t>
  </si>
  <si>
    <t>One Dell Way, Round Rock, Texas, 78682, United States</t>
  </si>
  <si>
    <t>Hewlett Packard Enterprise Company provides solutions that allow customers to capture, analyze, and act upon data seamlessly in the Americas, Europe, the Middle East, Africa, the Asia Pacific, and Japan. It operates in six segments: Compute, HPC &amp; AI, Storage, Intelligent Edge, Financial Services, and Corporate Investments and Other. The company offers general purpose servers for multi-workload computing and workload-optimized servers; HPE ProLiant rack and tower servers; HPE Synergy; and solutions for secondary workloads and traditional tape, storage networking, and disk products, such as HPE Modular Storage Arrays and HPE XP. It also offers HPE Cray, HPE Apollo, and converged edge systems; and HPE Superdome Flex, HPE Nonstop, and HPE Integrity products. In addition, the company provides HPE Aruba product portfolio that includes hardware products, such as Wi-Fi access points, switches, and gateways; HPE Aruba software and services comprising cloud-based management, network management, network access control, analytics and assurance, and location; and professional and support services, as well as as-a-service and consumption models for the intelligent edge portfolio of products. Further, it offers various leasing, financing, IT consumption, and utility programs and asset management services for customers to facilitate technology deployment models and the acquisition of complete IT solutions, including hardware, software, and services from Hewlett Packard Enterprise and others. Additionally, the company provides consultative-led services; HPE Ezmeral Container Platform; HPE Ezmeral Data Fabric; and Hewlett Packard Labs. It serves commercial and large enterprise groups, such as business and public sector enterprises; and through various partners comprising resellers, distribution partners, original equipment manufacturers, independent software vendors, systems integrators, and advisory firms. The company was founded in 1939 and is headquartered in Spring, Texas.</t>
  </si>
  <si>
    <t>1701 East Mossy Oaks Road, Spring, Texas, 77389, United States</t>
  </si>
  <si>
    <t>HP Inc. provides personal computing and other access devices, imaging and printing products, and related technologies, solutions, and services in the United States and internationally. The company operates through three segments: Personal Systems, Printing, and Corporate Investments. The Personal Systems segment offers commercial and consumer desktops and notebooks, workstations, commercial mobility devices, thin clients, retail point-of-sale systems, displays and peripherals, software, support, and services, as well as video conferencing solutions, cameras, headsets, voice, and related software products. The Printing segment provides consumer and commercial printer hardware, supplies, solutions, and services, as well as focuses on graphics and 3D imaging solutions in the commercial and industrial markets. The Corporate Investments segment is involved in the HP Labs and business incubation, and investment projects. It serves individual consumers, small- and medium-sized businesses, and large enterprises, including customers in the government, health, and education sectors. The company was formerly known as Hewlett-Packard Company and changed its name to HP Inc. in October 2015. HP Inc. was founded in 1939 and is headquartered in Palo Alto, California.</t>
  </si>
  <si>
    <t>1501 Page Mill Road, Palo Alto, California, 94304, United States</t>
  </si>
  <si>
    <t>NetApp, Inc. provides cloud-led and data-centric services to manage and share data on-premises, and private and public clouds worldwide. It operates in two segments, Hybrid Cloud and Public Could. The company offers intelligent data management software, such as NetApp ONTAP, NetApp Snapshot, NetApp SnapCenter Backup Management, NetApp SnapMirror Data Replication, NetApp SnapLock Data Compliance, NetApp ElementOS software, and NetApp SANtricity software; and storage infrastructure solutions, including NetApp All-Flash FAS series, NetApp Fabric Attached Storage, NetApp FlexPod, NetApp E/EF series, NetApp StorageGRID, and NetApp SolidFire. It also provides cloud storage and data services comprising NetApp Cloud Volumes ONTAP, Azure NetApp Files, Amazon FSx for NetApp ONTAP, NetApp Cloud Volumes Service for Google Cloud, NetApp Cloud Sync, NetApp Cloud Tiering, NetApp Cloud Backup, NetApp Cloud Data Sense, and NetApp Cloud Volumes Edge Cache; and cloud operations services, such as NetApp Cloud Insights, Spot Ocean Kubernetes Suite, Spot Security, Spot Eco, and Spot CloudCheckr. In addition, the company offers application-aware data management service under the NetApp Astra name; and professional and support services, such as strategic consulting, professional, managed, and support services. Further, it provides assessment, design, implementation, and migration services. The company serves the energy, financial service, government, technology, internet, life science, healthcare service, manufacturing, media, entertainment, animation, video postproduction, and telecommunication markets through a direct sales force and an ecosystem of partners. NetApp, Inc. was incorporated in 1992 and is headquartered in San Jose, California.</t>
  </si>
  <si>
    <t>3060 Olsen Drive, San Jose, California, 95128, United States</t>
  </si>
  <si>
    <t>Intel Corporation designs, develops, manufactures, markets, and sells computing and related products worldwide. It operates through Client Computing Group, Data Center and AI, Network and Edge, Mobileye, Accelerated Computing Systems and Graphics, Intel Foundry Services, and Other segments. The company offers platform products, such as central processing units and chipsets, and system-on-chip and multichip packages; and accelerators, boards and systems, connectivity products, and memory and storage products. It also provides high-performance compute solutions for targeted verticals and embedded applications for retail, industrial, and healthcare markets; and solutions for assisted and autonomous driving comprising compute platforms, computer vision and machine learning-based sensing, mapping and localization, driving policy, and active sensors. In addition, the company offers workload-optimized platforms and related products for cloud service providers, enterprise and government, and communications service providers. It serves original equipment manufacturers, original design manufacturers, cloud service providers, and other equipment manufacturers. The company was incorporated in 1968 and is headquartered in Santa Clara, California.</t>
  </si>
  <si>
    <t>2200 Mission College Boulevard, Santa Clara, California, 95054-1549, United States</t>
  </si>
  <si>
    <t>QUALCOMM Incorporated engages in the development and commercialization of foundational technologies for the wireless industry worldwide. It operates through three segments: Qualcomm CDMA Technologies (QCT); Qualcomm Technology Licensing (QTL); and Qualcomm Strategic Initiatives (QSI). The QCT segment develops and supplies integrated circuits and system software based on 3G/4G/5G and other technologies for use in wireless voice and data communications, networking, application processing, multimedia, and global positioning system products. The QTL segment grants licenses or provides rights to use portions of its intellectual property portfolio, which include various patent rights useful in the manufacture and sale of wireless products comprising products implementing CDMA2000, WCDMA, LTE and/or OFDMA-based 5G standards and their derivatives. The QSI segment invests in early-stage companies in various industries, including 5G, artificial intelligence, automotive, consumer, enterprise, cloud, IoT, and extended reality, and investments, including non-marketable equity securities and, to a lesser extent, marketable equity securities, and convertible debt instruments. It also provides development, and other services and related products to the United States government agencies and their contractors. The company was incorporated in 1985 and is headquartered in San Diego, California.</t>
  </si>
  <si>
    <t>5775 Morehouse Drive, San Diego, California, 92121-1714, United States</t>
  </si>
  <si>
    <t>Western Digital Corporation develops, manufactures, and sells data storage devices and solutions in the United States, China, Hong Kong, Europe, the Middle East, Africa, rest of Asia, and internationally. It offers client devices, including hard disk drives (HDDs) and solid state drives (SSDs) for computing devices, such as desktop and notebook personal computers (PCs), smart video systems, gaming consoles, and set top boxes; flash-based embedded storage products for mobile phones, tablets, notebook PCs, and other portable and wearable devices, as well as automotive, Internet of Things, industrial, and connected home applications; and flash-based memory wafers. The company also provides enterprise helium hard drives; enterprise SSDs consisting of flash-based SSDs and software solutions for use in enterprise servers, on-line transactions, data analysis, and other enterprise applications; drives are used for data storage systems and tiered storage models; and data storage platforms. In addition, it offers client solutions, such as external HDD storage products in mobile and desktop form; client portable SSDs; removable cards that are used in consumer devices comprising mobile phones, tablets, imaging systems, and cameras and smart video systems; universal serial bus flash drives for use in the computing and consumer markets; and wireless drive products used in-field back up of created content, as well as wireless streaming of high-definition movies, photos, music, and documents to tablets, smartphones, and PCs. The company sells its products under the Western Digital, SanDisk, and WD brands to original equipment manufacturers, distributors, dealers, resellers, and retailers. Western Digital Corporation was founded in 1970 and is headquartered in San Jose, California.</t>
  </si>
  <si>
    <t>5601 Great Oaks Parkway, San Jose, California, 95119, United States</t>
  </si>
  <si>
    <t>Advanced Micro Devices, Inc. operates as a semiconductor company worldwide. It operates in four segments: Data Center, Client, Gaming, and Embedded segments. The company offers x86 microprocessors and graphics processing units (GPUs) as an accelerated processing unit, chipsets, data center, and professional GPUs; and embedded processors, and semi-custom system-on-chip (SoC) products, microprocessor and SoC development services and technology, data processing unites, field programmable gate arrays (FPGA), and adaptive SoC products. It also provides processors under the AMD Ryzen, AMD Ryzen PRO, Ryzen Threadripper, Ryzen Threadripper PRO, AMD Athlon, AMD Athlon PRO, and AMD PRO A-Series brand names; graphics under the AMD Radeon graphics and AMD Embedded Radeon graphics; and professional graphics under the AMD Radeon Pro graphics brand name. In addition, the company offers data center graphics under the Radeon Instinct and Radeon PRO V-series brands, as well as servers under the AMD Instinct accelerators brand; server microprocessors under the AMD EPYC brands; embedded processor solutions under the AMD Athlon, AMD Geode, AMD Ryzen, AMD EPYC, AMD R-Series, and G-Series brands; FPGA products under the Virtex-6, Virtex-7, Virtex UltraScale+, Kintex-7, Kintex UltraScale, Kintex UltraScale+, Artix-7, Artix UltraScale+, Spartan-6, and Spartan-7 brands; adaptive SOCs under the Zynq-7000, Zynq UltraScale+ MPSoC, Zynq UltraScale+ RFSoCs, Versal HBM, Versal Premium, Versal Prime, Versal AI Core, Versal AI Edge, Vitis, and Vivado brands; and compute and network acceleration board products under the Alveo brand. It serves original equipment and design manufacturers, public cloud service providers, system integrators, independent distributors, online and brick and mortar retailers, and add-in-board manufacturers through its direct sales force, independent distributors, and sales representatives. The company was incorporated in 1969 and is headquartered in Santa Clara, California.</t>
  </si>
  <si>
    <t>2485 Augustine Drive, Santa Clara, California, 95054, United States</t>
  </si>
  <si>
    <t>Apple Inc. designs, manufactures, and markets smartphones, personal computers, tablets, wearables, and accessories worldwide. The company offers iPhone, a line of smartphones; Mac, a line of personal computers; iPad, a line of multi-purpose tablets; and wearables, home, and accessories comprising AirPods, Apple TV, Apple Watch, Beats products, and HomePod. It also provides AppleCare support and cloud services; and operates various platforms, including the App Store that allow customers to discover and download applications and digital content, such as books, music, video, games, and podcasts. In addition, the company offers various services, such as Apple Arcade, a game subscription service; Apple Fitness+, a personalized fitness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</si>
  <si>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One Apple Park Way, Cupertino, California, 95014, United States</t>
  </si>
  <si>
    <t>Apple Inc. (NasdaqGS:AAPL)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</si>
  <si>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</si>
  <si>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</si>
  <si>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</si>
  <si>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</si>
  <si>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</si>
  <si>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</si>
  <si>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</si>
  <si>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</si>
  <si>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</si>
  <si>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</si>
  <si>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</si>
  <si>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</si>
  <si>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</si>
  <si>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</si>
  <si>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</si>
  <si>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</si>
  <si>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</si>
  <si>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</si>
  <si>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</si>
  <si>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</si>
  <si>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</si>
  <si>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</si>
  <si>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Apple Inc. (NasdaqGS:AAPL) &gt;  Quick Comparable Analysis &gt; Valuation Chart</t>
  </si>
  <si>
    <t>Template:</t>
  </si>
  <si>
    <t>Currency:</t>
  </si>
  <si>
    <t>As-Of Date:</t>
  </si>
  <si>
    <t>Apple Inc. (NasdaqGS:AAPL)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</si>
  <si>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</si>
  <si>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</si>
  <si>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</si>
  <si>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</si>
  <si>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</si>
  <si>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</si>
  <si>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</si>
  <si>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</si>
  <si>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</si>
  <si>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</si>
  <si>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</si>
  <si>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</si>
  <si>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</si>
  <si>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</si>
  <si>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</si>
  <si>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</si>
  <si>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0.1825%</t>
  </si>
  <si>
    <t>United States</t>
  </si>
  <si>
    <t>Interactive Media and Services</t>
  </si>
  <si>
    <t>A</t>
  </si>
  <si>
    <t>a</t>
  </si>
  <si>
    <t>0.6701%</t>
  </si>
  <si>
    <t>Semiconductors</t>
  </si>
  <si>
    <t>A-</t>
  </si>
  <si>
    <t>bbb+</t>
  </si>
  <si>
    <t>0.5402%</t>
  </si>
  <si>
    <t>bbb-</t>
  </si>
  <si>
    <t>1.2152%</t>
  </si>
  <si>
    <t>AA</t>
  </si>
  <si>
    <t>aa</t>
  </si>
  <si>
    <t>0.6762%</t>
  </si>
  <si>
    <t>Broadline Retail</t>
  </si>
  <si>
    <t>BBB+</t>
  </si>
  <si>
    <t>0.7956%</t>
  </si>
  <si>
    <t>Technology Hardware, Storage and Peripherals</t>
  </si>
  <si>
    <t>BB</t>
  </si>
  <si>
    <t>bb</t>
  </si>
  <si>
    <t>2.3170%</t>
  </si>
  <si>
    <t>BBB</t>
  </si>
  <si>
    <t>1.7618%</t>
  </si>
  <si>
    <t>bbb</t>
  </si>
  <si>
    <t>1.5472%</t>
  </si>
  <si>
    <t>2.5529%</t>
  </si>
  <si>
    <t>0.1375%</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</si>
  <si>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</si>
  <si>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</si>
  <si>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</si>
  <si>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Apple Inc. (NasdaqGS:AAPL)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</si>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</sst>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5490678-58AB-49A6-9745-B5A7299BA6CF}"/>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B82985AA-99C1-4C80-8A61-BC5FB27A8C8F}"/>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CC2C8BA-DDBC-4BBE-9F67-D87C15845FD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45F1FFE6-03FF-404A-BF15-AB04C53526DE}"/>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E9E5AC65-2336-4A10-8240-689ED75E112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928EB790-BC81-4880-BA55-A6A20F0D2A2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8C21BFA-A9E3-4188-A3EC-B6B6EC0F721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2560F2E8-F5F8-4ED1-8B5F-A7A70B043C0C}"/>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490D91F7-5CEC-4DB6-9F7D-C382F043B68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4797AFBF-4456-4414-929E-C5CD6514F844}"/>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74D70875-501B-409A-A1C7-88B37E57BE3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F0694168-FC66-4570-B78D-B4005E8EBC42}"/>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6C0949C8-DDC9-40A1-882F-8A26E73812AD}"/>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95C8711C-FB68-460A-967C-F08FFF05753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9E088A19-164F-48C7-9D59-F4486F93B77A}"/>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7E29D7E1-CBA4-45CC-9B83-CCCDEA570965}"/>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C3687F5F-D49E-40E2-8C7B-70336ACC6D3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79D21-25D8-42F3-BC4A-48A279404FD9}">
  <sheetPr codeName="Sheet1"/>
  <dimension ref="C5:S44"/>
  <sheetViews>
    <sheetView showGridLines="0" tabSelected="1" workbookViewId="0"/>
  </sheetViews>
  <sheetFormatPr defaultRowHeight="12.5" x14ac:dyDescent="0.25"/>
  <cols>
    <col min="1" max="2" width="8.7265625" style="83"/>
    <col min="3" max="3" width="42.26953125" style="83" bestFit="1" customWidth="1"/>
    <col min="4" max="4" width="19.453125" style="83" bestFit="1" customWidth="1"/>
    <col min="5" max="5" width="22.36328125" style="83" bestFit="1" customWidth="1"/>
    <col min="6" max="6" width="23.36328125" style="83" bestFit="1" customWidth="1"/>
    <col min="7" max="7" width="12.6328125" style="83" bestFit="1" customWidth="1"/>
    <col min="8" max="8" width="24.36328125" style="83" bestFit="1" customWidth="1"/>
    <col min="9" max="9" width="22.81640625" style="83" bestFit="1" customWidth="1"/>
    <col min="10" max="10" width="22.36328125" style="83" bestFit="1" customWidth="1"/>
    <col min="11" max="11" width="19.36328125" style="83" bestFit="1" customWidth="1"/>
    <col min="12" max="12" width="39" style="83" bestFit="1" customWidth="1"/>
    <col min="13" max="13" width="33.90625" style="83" bestFit="1" customWidth="1"/>
    <col min="14" max="14" width="26.1796875" style="83" bestFit="1" customWidth="1"/>
    <col min="15" max="15" width="8.7265625" style="83"/>
    <col min="16" max="16" width="28.1796875" style="83" bestFit="1" customWidth="1"/>
    <col min="17" max="17" width="12.1796875" style="83" bestFit="1" customWidth="1"/>
    <col min="18" max="19" width="13.81640625" style="83" bestFit="1" customWidth="1"/>
    <col min="20" max="16384" width="8.7265625" style="83"/>
  </cols>
  <sheetData>
    <row r="5" spans="3:19" ht="13"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194</v>
      </c>
      <c r="R6" s="86" t="s">
        <v>195</v>
      </c>
      <c r="S6" s="88" t="s">
        <v>196</v>
      </c>
    </row>
    <row r="7" spans="3:19" x14ac:dyDescent="0.25">
      <c r="C7" s="92" t="s">
        <v>25</v>
      </c>
      <c r="D7" s="104">
        <v>107.34</v>
      </c>
      <c r="E7" s="106">
        <v>12697</v>
      </c>
      <c r="F7" s="104">
        <v>1368065.1</v>
      </c>
      <c r="G7" s="104">
        <v>-85609</v>
      </c>
      <c r="H7" s="104">
        <v>1282456.1000000001</v>
      </c>
      <c r="I7" s="104" t="s">
        <v>26</v>
      </c>
      <c r="J7" s="104">
        <v>119349.94</v>
      </c>
      <c r="K7" s="104">
        <v>5.55</v>
      </c>
      <c r="L7" s="108" t="s">
        <v>26</v>
      </c>
      <c r="M7" s="108">
        <v>10.75</v>
      </c>
      <c r="N7" s="109">
        <v>19.34</v>
      </c>
      <c r="P7" s="84" t="s">
        <v>197</v>
      </c>
      <c r="Q7" s="122">
        <v>0.33333333333333331</v>
      </c>
      <c r="R7" s="122">
        <v>0.33333333333333331</v>
      </c>
      <c r="S7" s="123">
        <v>0.33333333333333331</v>
      </c>
    </row>
    <row r="8" spans="3:19" x14ac:dyDescent="0.25">
      <c r="C8" s="92" t="s">
        <v>27</v>
      </c>
      <c r="D8" s="104">
        <v>105.45</v>
      </c>
      <c r="E8" s="106">
        <v>10260.4</v>
      </c>
      <c r="F8" s="104">
        <v>1081954.3</v>
      </c>
      <c r="G8" s="104">
        <v>114142</v>
      </c>
      <c r="H8" s="104">
        <v>1196096.3</v>
      </c>
      <c r="I8" s="104">
        <v>573463.49</v>
      </c>
      <c r="J8" s="104">
        <v>92187.09</v>
      </c>
      <c r="K8" s="104">
        <v>1.71</v>
      </c>
      <c r="L8" s="108">
        <v>2.09</v>
      </c>
      <c r="M8" s="108">
        <v>12.97</v>
      </c>
      <c r="N8" s="109">
        <v>61.71</v>
      </c>
      <c r="P8" s="84" t="s">
        <v>198</v>
      </c>
      <c r="Q8" s="124">
        <f>INDEX(L24:L44,MATCH($L$22,$K$24:$K$44))</f>
        <v>2.2700000000000005</v>
      </c>
      <c r="R8" s="124">
        <f>INDEX(M24:M44,MATCH($L$22,$K$24:$K$44))</f>
        <v>11.3705</v>
      </c>
      <c r="S8" s="125">
        <f>INDEX(N24:N44,MATCH($L$22,$K$24:$K$44))</f>
        <v>15.933499999999999</v>
      </c>
    </row>
    <row r="9" spans="3:19" x14ac:dyDescent="0.25">
      <c r="C9" s="92" t="s">
        <v>28</v>
      </c>
      <c r="D9" s="104">
        <v>43.49</v>
      </c>
      <c r="E9" s="106">
        <v>731.2</v>
      </c>
      <c r="F9" s="104">
        <v>31800.1</v>
      </c>
      <c r="G9" s="104">
        <v>21877</v>
      </c>
      <c r="H9" s="104">
        <v>53774.1</v>
      </c>
      <c r="I9" s="104">
        <v>87066.23</v>
      </c>
      <c r="J9" s="104">
        <v>9420.16</v>
      </c>
      <c r="K9" s="104">
        <v>5.3</v>
      </c>
      <c r="L9" s="108">
        <v>0.62</v>
      </c>
      <c r="M9" s="108">
        <v>5.71</v>
      </c>
      <c r="N9" s="109">
        <v>8.2100000000000009</v>
      </c>
      <c r="P9" s="84" t="s">
        <v>199</v>
      </c>
      <c r="Q9" s="115">
        <v>397148.5</v>
      </c>
      <c r="R9" s="115">
        <v>125332.62</v>
      </c>
      <c r="S9" s="116">
        <v>6.17</v>
      </c>
    </row>
    <row r="10" spans="3:19" x14ac:dyDescent="0.25">
      <c r="C10" s="92" t="s">
        <v>29</v>
      </c>
      <c r="D10" s="104">
        <v>14.32</v>
      </c>
      <c r="E10" s="106">
        <v>1295.9000000000001</v>
      </c>
      <c r="F10" s="104">
        <v>18556.8</v>
      </c>
      <c r="G10" s="104">
        <v>11533</v>
      </c>
      <c r="H10" s="104">
        <v>30141.8</v>
      </c>
      <c r="I10" s="104">
        <v>29681.19</v>
      </c>
      <c r="J10" s="104">
        <v>5420.7</v>
      </c>
      <c r="K10" s="104">
        <v>1.94</v>
      </c>
      <c r="L10" s="108">
        <v>1.02</v>
      </c>
      <c r="M10" s="108">
        <v>5.56</v>
      </c>
      <c r="N10" s="109">
        <v>7.36</v>
      </c>
      <c r="P10" s="84" t="s">
        <v>200</v>
      </c>
      <c r="Q10" s="115">
        <f>Q9*Q8</f>
        <v>901527.0950000002</v>
      </c>
      <c r="R10" s="115">
        <f>R9*R8</f>
        <v>1425094.55571</v>
      </c>
      <c r="S10" s="116">
        <f>S12+S11</f>
        <v>1501106.1633204997</v>
      </c>
    </row>
    <row r="11" spans="3:19" x14ac:dyDescent="0.25">
      <c r="C11" s="92" t="s">
        <v>30</v>
      </c>
      <c r="D11" s="104">
        <v>29.71</v>
      </c>
      <c r="E11" s="106">
        <v>985.3</v>
      </c>
      <c r="F11" s="104">
        <v>29274.1</v>
      </c>
      <c r="G11" s="104">
        <v>10388</v>
      </c>
      <c r="H11" s="104">
        <v>39662.1</v>
      </c>
      <c r="I11" s="104">
        <v>55699.93</v>
      </c>
      <c r="J11" s="104">
        <v>5571.67</v>
      </c>
      <c r="K11" s="104">
        <v>3.46</v>
      </c>
      <c r="L11" s="108">
        <v>0.71</v>
      </c>
      <c r="M11" s="108">
        <v>7.12</v>
      </c>
      <c r="N11" s="109">
        <v>8.59</v>
      </c>
      <c r="P11" s="84" t="s">
        <v>201</v>
      </c>
      <c r="Q11" s="115">
        <v>-54340</v>
      </c>
      <c r="R11" s="115">
        <v>-54340</v>
      </c>
      <c r="S11" s="116">
        <v>-54340</v>
      </c>
    </row>
    <row r="12" spans="3:19" x14ac:dyDescent="0.25">
      <c r="C12" s="92" t="s">
        <v>31</v>
      </c>
      <c r="D12" s="104">
        <v>62.89</v>
      </c>
      <c r="E12" s="106">
        <v>213.9</v>
      </c>
      <c r="F12" s="104">
        <v>13452.5</v>
      </c>
      <c r="G12" s="104">
        <v>-457</v>
      </c>
      <c r="H12" s="104">
        <v>12995.5</v>
      </c>
      <c r="I12" s="104">
        <v>6133.44</v>
      </c>
      <c r="J12" s="104">
        <v>1539.18</v>
      </c>
      <c r="K12" s="104">
        <v>5.37</v>
      </c>
      <c r="L12" s="108">
        <v>2.12</v>
      </c>
      <c r="M12" s="108">
        <v>8.44</v>
      </c>
      <c r="N12" s="109">
        <v>11.71</v>
      </c>
      <c r="P12" s="84" t="s">
        <v>124</v>
      </c>
      <c r="Q12" s="115">
        <f>Q10-Q11</f>
        <v>955867.0950000002</v>
      </c>
      <c r="R12" s="115">
        <f>R10-R11</f>
        <v>1479434.55571</v>
      </c>
      <c r="S12" s="116">
        <f>S13*S14</f>
        <v>1555446.1633204997</v>
      </c>
    </row>
    <row r="13" spans="3:19" x14ac:dyDescent="0.25">
      <c r="C13" s="92" t="s">
        <v>32</v>
      </c>
      <c r="D13" s="104">
        <v>31.06</v>
      </c>
      <c r="E13" s="106">
        <v>4171</v>
      </c>
      <c r="F13" s="104">
        <v>129551.3</v>
      </c>
      <c r="G13" s="104">
        <v>21318</v>
      </c>
      <c r="H13" s="104">
        <v>153213.29999999999</v>
      </c>
      <c r="I13" s="104">
        <v>53300.04</v>
      </c>
      <c r="J13" s="104">
        <v>13347.05</v>
      </c>
      <c r="K13" s="104" t="s">
        <v>26</v>
      </c>
      <c r="L13" s="108">
        <v>2.87</v>
      </c>
      <c r="M13" s="108">
        <v>11.48</v>
      </c>
      <c r="N13" s="109" t="s">
        <v>26</v>
      </c>
      <c r="P13" s="84" t="s">
        <v>202</v>
      </c>
      <c r="Q13" s="126">
        <v>15821.9</v>
      </c>
      <c r="R13" s="126">
        <v>15821.9</v>
      </c>
      <c r="S13" s="127">
        <v>15821.9</v>
      </c>
    </row>
    <row r="14" spans="3:19" ht="13" thickBot="1" x14ac:dyDescent="0.3">
      <c r="C14" s="92" t="s">
        <v>33</v>
      </c>
      <c r="D14" s="104">
        <v>116.8</v>
      </c>
      <c r="E14" s="106">
        <v>1115</v>
      </c>
      <c r="F14" s="104">
        <v>130232</v>
      </c>
      <c r="G14" s="104">
        <v>8639</v>
      </c>
      <c r="H14" s="104">
        <v>138871</v>
      </c>
      <c r="I14" s="104">
        <v>39551.65</v>
      </c>
      <c r="J14" s="104">
        <v>15256.79</v>
      </c>
      <c r="K14" s="104">
        <v>9.93</v>
      </c>
      <c r="L14" s="108">
        <v>3.51</v>
      </c>
      <c r="M14" s="108">
        <v>9.1</v>
      </c>
      <c r="N14" s="109">
        <v>11.77</v>
      </c>
      <c r="P14" s="101" t="s">
        <v>203</v>
      </c>
      <c r="Q14" s="117">
        <f>Q12/Q13</f>
        <v>60.414178764876546</v>
      </c>
      <c r="R14" s="118">
        <f>R12/R13</f>
        <v>93.505492748026469</v>
      </c>
      <c r="S14" s="119">
        <f>S8*S9</f>
        <v>98.309694999999991</v>
      </c>
    </row>
    <row r="15" spans="3:19" x14ac:dyDescent="0.25">
      <c r="C15" s="92" t="s">
        <v>34</v>
      </c>
      <c r="D15" s="104">
        <v>34.44</v>
      </c>
      <c r="E15" s="106">
        <v>319.3</v>
      </c>
      <c r="F15" s="104">
        <v>10997.7</v>
      </c>
      <c r="G15" s="104">
        <v>5490</v>
      </c>
      <c r="H15" s="104">
        <v>16487.7</v>
      </c>
      <c r="I15" s="104">
        <v>12221.77</v>
      </c>
      <c r="J15" s="104">
        <v>498.17</v>
      </c>
      <c r="K15" s="104">
        <v>-3.25</v>
      </c>
      <c r="L15" s="108">
        <v>1.35</v>
      </c>
      <c r="M15" s="108">
        <v>33.1</v>
      </c>
      <c r="N15" s="109" t="s">
        <v>58</v>
      </c>
      <c r="P15" s="85" t="s">
        <v>204</v>
      </c>
      <c r="Q15" s="120">
        <f>SUMPRODUCT(Q14:S14,Q7:S7)</f>
        <v>84.076455504300995</v>
      </c>
      <c r="R15" s="121"/>
      <c r="S15" s="121"/>
    </row>
    <row r="16" spans="3:19" x14ac:dyDescent="0.25">
      <c r="C16" s="92" t="s">
        <v>35</v>
      </c>
      <c r="D16" s="104">
        <v>89.37</v>
      </c>
      <c r="E16" s="106">
        <v>1609.4</v>
      </c>
      <c r="F16" s="104">
        <v>143832.70000000001</v>
      </c>
      <c r="G16" s="104">
        <v>-2899</v>
      </c>
      <c r="H16" s="104">
        <v>140933.70000000001</v>
      </c>
      <c r="I16" s="104">
        <v>23591.23</v>
      </c>
      <c r="J16" s="104">
        <v>7149.65</v>
      </c>
      <c r="K16" s="104">
        <v>3.02</v>
      </c>
      <c r="L16" s="108">
        <v>5.97</v>
      </c>
      <c r="M16" s="108">
        <v>19.71</v>
      </c>
      <c r="N16" s="109">
        <v>29.62</v>
      </c>
      <c r="P16" s="84" t="s">
        <v>205</v>
      </c>
      <c r="Q16" s="116">
        <v>169.68</v>
      </c>
      <c r="R16" s="121"/>
      <c r="S16" s="121"/>
    </row>
    <row r="17" spans="3:19" ht="13" thickBot="1" x14ac:dyDescent="0.3">
      <c r="C17" s="93" t="s">
        <v>36</v>
      </c>
      <c r="D17" s="105">
        <v>169.68</v>
      </c>
      <c r="E17" s="107">
        <v>15821.9</v>
      </c>
      <c r="F17" s="105">
        <v>2684667.8</v>
      </c>
      <c r="G17" s="105">
        <v>-54340</v>
      </c>
      <c r="H17" s="105">
        <v>2630327.7999999998</v>
      </c>
      <c r="I17" s="105">
        <v>397148.5</v>
      </c>
      <c r="J17" s="105">
        <v>125332.62</v>
      </c>
      <c r="K17" s="105">
        <v>6.17</v>
      </c>
      <c r="L17" s="110">
        <v>6.62</v>
      </c>
      <c r="M17" s="110">
        <v>20.99</v>
      </c>
      <c r="N17" s="111">
        <v>27.48</v>
      </c>
      <c r="P17" s="87" t="s">
        <v>206</v>
      </c>
      <c r="Q17" s="128">
        <f>Q15/Q16-1</f>
        <v>-0.50449990862623184</v>
      </c>
      <c r="R17" s="121"/>
      <c r="S17" s="121"/>
    </row>
    <row r="20" spans="3:19" ht="37.5" x14ac:dyDescent="0.25">
      <c r="C20" s="102" t="s">
        <v>207</v>
      </c>
      <c r="D20" s="103">
        <f>Q17</f>
        <v>-0.50449990862623184</v>
      </c>
    </row>
    <row r="21" spans="3:19" ht="13" thickBot="1" x14ac:dyDescent="0.3"/>
    <row r="22" spans="3:19" ht="13" thickBot="1" x14ac:dyDescent="0.3">
      <c r="K22" s="100" t="s">
        <v>193</v>
      </c>
      <c r="L22" s="129">
        <f>BENCHMARKING!D28</f>
        <v>0.67083333333333339</v>
      </c>
    </row>
    <row r="23" spans="3:19" ht="13" thickBot="1" x14ac:dyDescent="0.3">
      <c r="K23" s="83" t="s">
        <v>192</v>
      </c>
    </row>
    <row r="24" spans="3:19" x14ac:dyDescent="0.25">
      <c r="K24" s="112">
        <v>0</v>
      </c>
      <c r="L24" s="94">
        <f>PERCENTILE(L7:L16,K24)</f>
        <v>0.62</v>
      </c>
      <c r="M24" s="94">
        <f>PERCENTILE(M7:M16,K24)</f>
        <v>5.56</v>
      </c>
      <c r="N24" s="95">
        <f>PERCENTILE(N7:N16,K24)</f>
        <v>7.36</v>
      </c>
    </row>
    <row r="25" spans="3:19" x14ac:dyDescent="0.25">
      <c r="K25" s="113">
        <v>0.05</v>
      </c>
      <c r="L25" s="96">
        <f>PERCENTILE(L7:L16,K25)</f>
        <v>0.65599999999999992</v>
      </c>
      <c r="M25" s="96">
        <f>PERCENTILE(M7:M16,K25)</f>
        <v>5.6274999999999995</v>
      </c>
      <c r="N25" s="97">
        <f>PERCENTILE(N7:N16,K25)</f>
        <v>7.6575000000000006</v>
      </c>
    </row>
    <row r="26" spans="3:19" x14ac:dyDescent="0.25">
      <c r="K26" s="113">
        <v>0.1</v>
      </c>
      <c r="L26" s="96">
        <f>PERCENTILE(L7:L16,K26)</f>
        <v>0.69199999999999995</v>
      </c>
      <c r="M26" s="96">
        <f>PERCENTILE(M7:M16,K26)</f>
        <v>5.6950000000000003</v>
      </c>
      <c r="N26" s="97">
        <f>PERCENTILE(N7:N16,K26)</f>
        <v>7.955000000000001</v>
      </c>
    </row>
    <row r="27" spans="3:19" x14ac:dyDescent="0.25">
      <c r="K27" s="113">
        <v>0.15</v>
      </c>
      <c r="L27" s="96">
        <f>PERCENTILE(L7:L16,K27)</f>
        <v>0.77200000000000002</v>
      </c>
      <c r="M27" s="96">
        <f>PERCENTILE(M7:M16,K27)</f>
        <v>6.2034999999999991</v>
      </c>
      <c r="N27" s="97">
        <f>PERCENTILE(N7:N16,K27)</f>
        <v>8.229000000000001</v>
      </c>
    </row>
    <row r="28" spans="3:19" x14ac:dyDescent="0.25">
      <c r="K28" s="113">
        <v>0.2</v>
      </c>
      <c r="L28" s="96">
        <f>PERCENTILE(L7:L16,K28)</f>
        <v>0.89600000000000002</v>
      </c>
      <c r="M28" s="96">
        <f>PERCENTILE(M7:M16,K28)</f>
        <v>6.8380000000000001</v>
      </c>
      <c r="N28" s="97">
        <f>PERCENTILE(N7:N16,K28)</f>
        <v>8.3620000000000001</v>
      </c>
    </row>
    <row r="29" spans="3:19" x14ac:dyDescent="0.25">
      <c r="K29" s="113">
        <v>0.25</v>
      </c>
      <c r="L29" s="96">
        <f>PERCENTILE(L7:L16,K29)</f>
        <v>1.02</v>
      </c>
      <c r="M29" s="96">
        <f>PERCENTILE(M7:M16,K29)</f>
        <v>7.45</v>
      </c>
      <c r="N29" s="97">
        <f>PERCENTILE(N7:N16,K29)</f>
        <v>8.495000000000001</v>
      </c>
    </row>
    <row r="30" spans="3:19" x14ac:dyDescent="0.25">
      <c r="K30" s="113">
        <v>0.3</v>
      </c>
      <c r="L30" s="96">
        <f>PERCENTILE(L7:L16,K30)</f>
        <v>1.1520000000000001</v>
      </c>
      <c r="M30" s="96">
        <f>PERCENTILE(M7:M16,K30)</f>
        <v>8.0439999999999987</v>
      </c>
      <c r="N30" s="97">
        <f>PERCENTILE(N7:N16,K30)</f>
        <v>8.902000000000001</v>
      </c>
    </row>
    <row r="31" spans="3:19" x14ac:dyDescent="0.25">
      <c r="K31" s="113">
        <v>0.35</v>
      </c>
      <c r="L31" s="96">
        <f>PERCENTILE(L7:L16,K31)</f>
        <v>1.284</v>
      </c>
      <c r="M31" s="96">
        <f>PERCENTILE(M7:M16,K31)</f>
        <v>8.5389999999999997</v>
      </c>
      <c r="N31" s="97">
        <f>PERCENTILE(N7:N16,K31)</f>
        <v>9.9939999999999998</v>
      </c>
    </row>
    <row r="32" spans="3:19" x14ac:dyDescent="0.25">
      <c r="K32" s="113">
        <v>0.4</v>
      </c>
      <c r="L32" s="96">
        <f>PERCENTILE(L7:L16,K32)</f>
        <v>1.4980000000000002</v>
      </c>
      <c r="M32" s="96">
        <f>PERCENTILE(M7:M16,K32)</f>
        <v>8.8359999999999985</v>
      </c>
      <c r="N32" s="97">
        <f>PERCENTILE(N7:N16,K32)</f>
        <v>11.086000000000002</v>
      </c>
    </row>
    <row r="33" spans="11:14" x14ac:dyDescent="0.25">
      <c r="K33" s="113">
        <v>0.45</v>
      </c>
      <c r="L33" s="96">
        <f>PERCENTILE(L7:L16,K33)</f>
        <v>1.7939999999999996</v>
      </c>
      <c r="M33" s="96">
        <f>PERCENTILE(M7:M16,K33)</f>
        <v>9.1824999999999992</v>
      </c>
      <c r="N33" s="97">
        <f>PERCENTILE(N7:N16,K33)</f>
        <v>11.719000000000001</v>
      </c>
    </row>
    <row r="34" spans="11:14" x14ac:dyDescent="0.25">
      <c r="K34" s="113">
        <v>0.5</v>
      </c>
      <c r="L34" s="96">
        <f>PERCENTILE(L7:L16,K34)</f>
        <v>2.09</v>
      </c>
      <c r="M34" s="96">
        <f>PERCENTILE(M7:M16,K34)</f>
        <v>9.9250000000000007</v>
      </c>
      <c r="N34" s="97">
        <f>PERCENTILE(N7:N16,K34)</f>
        <v>11.74</v>
      </c>
    </row>
    <row r="35" spans="11:14" x14ac:dyDescent="0.25">
      <c r="K35" s="113">
        <v>0.55000000000000004</v>
      </c>
      <c r="L35" s="96">
        <f>PERCENTILE(L7:L16,K35)</f>
        <v>2.1019999999999999</v>
      </c>
      <c r="M35" s="96">
        <f>PERCENTILE(M7:M16,K35)</f>
        <v>10.6675</v>
      </c>
      <c r="N35" s="97">
        <f>PERCENTILE(N7:N16,K35)</f>
        <v>11.760999999999999</v>
      </c>
    </row>
    <row r="36" spans="11:14" x14ac:dyDescent="0.25">
      <c r="K36" s="113">
        <v>0.6</v>
      </c>
      <c r="L36" s="96">
        <f>PERCENTILE(L7:L16,K36)</f>
        <v>2.1139999999999999</v>
      </c>
      <c r="M36" s="96">
        <f>PERCENTILE(M7:M16,K36)</f>
        <v>11.042</v>
      </c>
      <c r="N36" s="97">
        <f>PERCENTILE(N7:N16,K36)</f>
        <v>13.284000000000001</v>
      </c>
    </row>
    <row r="37" spans="11:14" x14ac:dyDescent="0.25">
      <c r="K37" s="113">
        <v>0.65</v>
      </c>
      <c r="L37" s="96">
        <f>PERCENTILE(L7:L16,K37)</f>
        <v>2.2700000000000005</v>
      </c>
      <c r="M37" s="96">
        <f>PERCENTILE(M7:M16,K37)</f>
        <v>11.3705</v>
      </c>
      <c r="N37" s="97">
        <f>PERCENTILE(N7:N16,K37)</f>
        <v>15.933499999999999</v>
      </c>
    </row>
    <row r="38" spans="11:14" x14ac:dyDescent="0.25">
      <c r="K38" s="113">
        <v>0.7</v>
      </c>
      <c r="L38" s="96">
        <f>PERCENTILE(L7:L16,K38)</f>
        <v>2.57</v>
      </c>
      <c r="M38" s="96">
        <f>PERCENTILE(M7:M16,K38)</f>
        <v>11.927</v>
      </c>
      <c r="N38" s="97">
        <f>PERCENTILE(N7:N16,K38)</f>
        <v>18.582999999999995</v>
      </c>
    </row>
    <row r="39" spans="11:14" x14ac:dyDescent="0.25">
      <c r="K39" s="113">
        <v>0.75</v>
      </c>
      <c r="L39" s="96">
        <f>PERCENTILE(L7:L16,K39)</f>
        <v>2.87</v>
      </c>
      <c r="M39" s="96">
        <f>PERCENTILE(M7:M16,K39)</f>
        <v>12.5975</v>
      </c>
      <c r="N39" s="97">
        <f>PERCENTILE(N7:N16,K39)</f>
        <v>21.91</v>
      </c>
    </row>
    <row r="40" spans="11:14" x14ac:dyDescent="0.25">
      <c r="K40" s="113">
        <v>0.8</v>
      </c>
      <c r="L40" s="96">
        <f>PERCENTILE(L7:L16,K40)</f>
        <v>3.1260000000000003</v>
      </c>
      <c r="M40" s="96">
        <f>PERCENTILE(M7:M16,K40)</f>
        <v>14.317999999999996</v>
      </c>
      <c r="N40" s="97">
        <f>PERCENTILE(N7:N16,K40)</f>
        <v>25.508000000000006</v>
      </c>
    </row>
    <row r="41" spans="11:14" x14ac:dyDescent="0.25">
      <c r="K41" s="113">
        <v>0.85</v>
      </c>
      <c r="L41" s="96">
        <f>PERCENTILE(L7:L16,K41)</f>
        <v>3.3819999999999997</v>
      </c>
      <c r="M41" s="96">
        <f>PERCENTILE(M7:M16,K41)</f>
        <v>17.350999999999992</v>
      </c>
      <c r="N41" s="97">
        <f>PERCENTILE(N7:N16,K41)</f>
        <v>29.106000000000002</v>
      </c>
    </row>
    <row r="42" spans="11:14" x14ac:dyDescent="0.25">
      <c r="K42" s="113">
        <v>0.9</v>
      </c>
      <c r="L42" s="96">
        <f>PERCENTILE(L7:L16,K42)</f>
        <v>4.001999999999998</v>
      </c>
      <c r="M42" s="96">
        <f>PERCENTILE(M7:M16,K42)</f>
        <v>21.048999999999996</v>
      </c>
      <c r="N42" s="97">
        <f>PERCENTILE(N7:N16,K42)</f>
        <v>39.247</v>
      </c>
    </row>
    <row r="43" spans="11:14" x14ac:dyDescent="0.25">
      <c r="K43" s="113">
        <v>0.95</v>
      </c>
      <c r="L43" s="96">
        <f>PERCENTILE(L7:L16,K43)</f>
        <v>4.9859999999999989</v>
      </c>
      <c r="M43" s="96">
        <f>PERCENTILE(M7:M16,K43)</f>
        <v>27.074499999999986</v>
      </c>
      <c r="N43" s="97">
        <f>PERCENTILE(N7:N16,K43)</f>
        <v>50.478499999999983</v>
      </c>
    </row>
    <row r="44" spans="11:14" ht="13" thickBot="1" x14ac:dyDescent="0.3">
      <c r="K44" s="114">
        <v>1</v>
      </c>
      <c r="L44" s="98">
        <f>PERCENTILE(L7:L16,K44)</f>
        <v>5.97</v>
      </c>
      <c r="M44" s="98">
        <f>PERCENTILE(M7:M16,K44)</f>
        <v>33.1</v>
      </c>
      <c r="N44" s="99">
        <f>PERCENTILE(N7:N16,K44)</f>
        <v>61.71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BEC7-2D9A-4DA0-937C-6D59CD3F447D}">
  <sheetPr codeName="Sheet2"/>
  <dimension ref="C5:O51"/>
  <sheetViews>
    <sheetView showGridLines="0" workbookViewId="0"/>
  </sheetViews>
  <sheetFormatPr defaultRowHeight="10" x14ac:dyDescent="0.2"/>
  <cols>
    <col min="1" max="2" width="8.7265625" style="43"/>
    <col min="3" max="3" width="13" style="43" bestFit="1" customWidth="1"/>
    <col min="4" max="4" width="8.36328125" style="43" bestFit="1" customWidth="1"/>
    <col min="5" max="5" width="7.36328125" style="43" bestFit="1" customWidth="1"/>
    <col min="6" max="6" width="7.54296875" style="43" bestFit="1" customWidth="1"/>
    <col min="7" max="7" width="7.36328125" style="43" bestFit="1" customWidth="1"/>
    <col min="8" max="8" width="8.1796875" style="43" bestFit="1" customWidth="1"/>
    <col min="9" max="9" width="7.81640625" style="43" bestFit="1" customWidth="1"/>
    <col min="10" max="10" width="7.90625" style="43" bestFit="1" customWidth="1"/>
    <col min="11" max="11" width="7.7265625" style="43" bestFit="1" customWidth="1"/>
    <col min="12" max="12" width="8.08984375" style="43" bestFit="1" customWidth="1"/>
    <col min="13" max="13" width="7.81640625" style="43" bestFit="1" customWidth="1"/>
    <col min="14" max="14" width="8.36328125" style="43" bestFit="1" customWidth="1"/>
    <col min="15" max="15" width="8.6328125" style="43" bestFit="1" customWidth="1"/>
    <col min="16" max="16384" width="8.7265625" style="43"/>
  </cols>
  <sheetData>
    <row r="5" spans="3:15" ht="10.5" thickBot="1" x14ac:dyDescent="0.25"/>
    <row r="6" spans="3:15" ht="53" thickBot="1" x14ac:dyDescent="0.25">
      <c r="C6" s="57" t="s">
        <v>8</v>
      </c>
      <c r="D6" s="65" t="s">
        <v>63</v>
      </c>
      <c r="E6" s="65" t="s">
        <v>64</v>
      </c>
      <c r="F6" s="65" t="s">
        <v>65</v>
      </c>
      <c r="G6" s="65" t="s">
        <v>66</v>
      </c>
      <c r="H6" s="65" t="s">
        <v>67</v>
      </c>
      <c r="I6" s="65" t="s">
        <v>68</v>
      </c>
      <c r="J6" s="65" t="s">
        <v>69</v>
      </c>
      <c r="K6" s="65" t="s">
        <v>70</v>
      </c>
      <c r="L6" s="65" t="s">
        <v>71</v>
      </c>
      <c r="M6" s="65" t="s">
        <v>72</v>
      </c>
      <c r="N6" s="65" t="s">
        <v>73</v>
      </c>
      <c r="O6" s="66" t="s">
        <v>74</v>
      </c>
    </row>
    <row r="7" spans="3:15" ht="31.5" x14ac:dyDescent="0.2">
      <c r="C7" s="63" t="s">
        <v>25</v>
      </c>
      <c r="D7" s="69">
        <v>0.55300000000000005</v>
      </c>
      <c r="E7" s="70">
        <v>0.307</v>
      </c>
      <c r="F7" s="70">
        <v>0.254</v>
      </c>
      <c r="G7" s="71">
        <v>0.20580000000000001</v>
      </c>
      <c r="H7" s="71">
        <v>5.28E-2</v>
      </c>
      <c r="I7" s="71">
        <v>-8.7099999999999997E-2</v>
      </c>
      <c r="J7" s="71">
        <v>-0.1239</v>
      </c>
      <c r="K7" s="71">
        <v>-0.214</v>
      </c>
      <c r="L7" s="71">
        <v>0.1016</v>
      </c>
      <c r="M7" s="72">
        <v>0.3</v>
      </c>
      <c r="N7" s="71">
        <v>0.16889999999999999</v>
      </c>
      <c r="O7" s="73">
        <v>1.1000000000000001</v>
      </c>
    </row>
    <row r="8" spans="3:15" ht="42" x14ac:dyDescent="0.2">
      <c r="C8" s="63" t="s">
        <v>27</v>
      </c>
      <c r="D8" s="67">
        <v>0.44700000000000001</v>
      </c>
      <c r="E8" s="53">
        <v>0.109</v>
      </c>
      <c r="F8" s="53">
        <v>2.5000000000000001E-2</v>
      </c>
      <c r="G8" s="54">
        <v>8.2000000000000007E-3</v>
      </c>
      <c r="H8" s="54">
        <v>9.8699999999999996E-2</v>
      </c>
      <c r="I8" s="54">
        <v>2.1499999999999998E-2</v>
      </c>
      <c r="J8" s="54">
        <v>-0.3286</v>
      </c>
      <c r="K8" s="54">
        <v>-0.79949999999999999</v>
      </c>
      <c r="L8" s="54">
        <v>0.53610000000000002</v>
      </c>
      <c r="M8" s="55">
        <v>2.6</v>
      </c>
      <c r="N8" s="54">
        <v>0.37530000000000002</v>
      </c>
      <c r="O8" s="61">
        <v>1.26</v>
      </c>
    </row>
    <row r="9" spans="3:15" ht="42" x14ac:dyDescent="0.2">
      <c r="C9" s="63" t="s">
        <v>28</v>
      </c>
      <c r="D9" s="67">
        <v>0.222</v>
      </c>
      <c r="E9" s="53">
        <v>7.5999999999999998E-2</v>
      </c>
      <c r="F9" s="53">
        <v>5.6000000000000001E-2</v>
      </c>
      <c r="G9" s="54">
        <v>2.3900000000000001E-2</v>
      </c>
      <c r="H9" s="54">
        <v>1.09E-2</v>
      </c>
      <c r="I9" s="54">
        <v>-7.1800000000000003E-2</v>
      </c>
      <c r="J9" s="54">
        <v>0.2387</v>
      </c>
      <c r="K9" s="54">
        <v>-0.56100000000000005</v>
      </c>
      <c r="L9" s="54">
        <v>1.1102000000000001</v>
      </c>
      <c r="M9" s="55">
        <v>3.7</v>
      </c>
      <c r="N9" s="54">
        <v>5.8299999999999998E-2</v>
      </c>
      <c r="O9" s="61">
        <v>0.97</v>
      </c>
    </row>
    <row r="10" spans="3:15" ht="42" x14ac:dyDescent="0.2">
      <c r="C10" s="63" t="s">
        <v>29</v>
      </c>
      <c r="D10" s="67">
        <v>0.33500000000000002</v>
      </c>
      <c r="E10" s="53">
        <v>0.16800000000000001</v>
      </c>
      <c r="F10" s="53">
        <v>8.2000000000000003E-2</v>
      </c>
      <c r="G10" s="54">
        <v>2.92E-2</v>
      </c>
      <c r="H10" s="54">
        <v>5.1299999999999998E-2</v>
      </c>
      <c r="I10" s="54">
        <v>2.1299999999999999E-2</v>
      </c>
      <c r="J10" s="54">
        <v>5.7700000000000001E-2</v>
      </c>
      <c r="K10" s="54">
        <v>-0.76970000000000005</v>
      </c>
      <c r="L10" s="54">
        <v>0.39429999999999998</v>
      </c>
      <c r="M10" s="55">
        <v>2.6</v>
      </c>
      <c r="N10" s="54">
        <v>4.7199999999999999E-2</v>
      </c>
      <c r="O10" s="61">
        <v>1.24</v>
      </c>
    </row>
    <row r="11" spans="3:15" ht="21" x14ac:dyDescent="0.2">
      <c r="C11" s="63" t="s">
        <v>30</v>
      </c>
      <c r="D11" s="67">
        <v>0.19700000000000001</v>
      </c>
      <c r="E11" s="53">
        <v>9.2999999999999999E-2</v>
      </c>
      <c r="F11" s="53">
        <v>0.08</v>
      </c>
      <c r="G11" s="54">
        <v>4.36E-2</v>
      </c>
      <c r="H11" s="54">
        <v>-7.8399999999999997E-2</v>
      </c>
      <c r="I11" s="54">
        <v>-0.1242</v>
      </c>
      <c r="J11" s="54">
        <v>-0.1439</v>
      </c>
      <c r="K11" s="54">
        <v>-0.60070000000000001</v>
      </c>
      <c r="L11" s="54">
        <v>1.4426000000000001</v>
      </c>
      <c r="M11" s="55">
        <v>2.1</v>
      </c>
      <c r="N11" s="54">
        <v>-0.03</v>
      </c>
      <c r="O11" s="61">
        <v>1.02</v>
      </c>
    </row>
    <row r="12" spans="3:15" ht="31.5" x14ac:dyDescent="0.2">
      <c r="C12" s="63" t="s">
        <v>31</v>
      </c>
      <c r="D12" s="67">
        <v>0.65400000000000003</v>
      </c>
      <c r="E12" s="53">
        <v>0.20599999999999999</v>
      </c>
      <c r="F12" s="53">
        <v>0.17599999999999999</v>
      </c>
      <c r="G12" s="54">
        <v>0.1993</v>
      </c>
      <c r="H12" s="54">
        <v>4.3299999999999998E-2</v>
      </c>
      <c r="I12" s="54">
        <v>-2.4199999999999999E-2</v>
      </c>
      <c r="J12" s="54">
        <v>-5.3199999999999997E-2</v>
      </c>
      <c r="K12" s="54">
        <v>0.2727</v>
      </c>
      <c r="L12" s="54">
        <v>0.70940000000000003</v>
      </c>
      <c r="M12" s="55">
        <v>1.9</v>
      </c>
      <c r="N12" s="54">
        <v>6.4699999999999994E-2</v>
      </c>
      <c r="O12" s="61">
        <v>1.18</v>
      </c>
    </row>
    <row r="13" spans="3:15" ht="31.5" x14ac:dyDescent="0.2">
      <c r="C13" s="63" t="s">
        <v>32</v>
      </c>
      <c r="D13" s="67">
        <v>0.38300000000000001</v>
      </c>
      <c r="E13" s="53">
        <v>0.17499999999999999</v>
      </c>
      <c r="F13" s="53">
        <v>-3.9E-2</v>
      </c>
      <c r="G13" s="54">
        <v>-5.0599999999999999E-2</v>
      </c>
      <c r="H13" s="54">
        <v>-0.27400000000000002</v>
      </c>
      <c r="I13" s="54">
        <v>-0.68759999999999999</v>
      </c>
      <c r="J13" s="56" t="s">
        <v>26</v>
      </c>
      <c r="K13" s="56" t="s">
        <v>26</v>
      </c>
      <c r="L13" s="54">
        <v>0.33360000000000001</v>
      </c>
      <c r="M13" s="55">
        <v>4.7</v>
      </c>
      <c r="N13" s="54">
        <v>3.3300000000000003E-2</v>
      </c>
      <c r="O13" s="61">
        <v>0.88</v>
      </c>
    </row>
    <row r="14" spans="3:15" ht="42" x14ac:dyDescent="0.2">
      <c r="C14" s="63" t="s">
        <v>33</v>
      </c>
      <c r="D14" s="67">
        <v>0.57199999999999995</v>
      </c>
      <c r="E14" s="53">
        <v>0.379</v>
      </c>
      <c r="F14" s="53">
        <v>0.33800000000000002</v>
      </c>
      <c r="G14" s="54">
        <v>0.27400000000000002</v>
      </c>
      <c r="H14" s="54">
        <v>0.19209999999999999</v>
      </c>
      <c r="I14" s="54">
        <v>0.27789999999999998</v>
      </c>
      <c r="J14" s="54">
        <v>0.30680000000000002</v>
      </c>
      <c r="K14" s="54">
        <v>0.1787</v>
      </c>
      <c r="L14" s="54">
        <v>0.47289999999999999</v>
      </c>
      <c r="M14" s="55">
        <v>1</v>
      </c>
      <c r="N14" s="54">
        <v>5.8299999999999998E-2</v>
      </c>
      <c r="O14" s="61">
        <v>1.27</v>
      </c>
    </row>
    <row r="15" spans="3:15" ht="42" x14ac:dyDescent="0.2">
      <c r="C15" s="63" t="s">
        <v>34</v>
      </c>
      <c r="D15" s="67">
        <v>0.26300000000000001</v>
      </c>
      <c r="E15" s="53">
        <v>0.11</v>
      </c>
      <c r="F15" s="53">
        <v>5.5E-2</v>
      </c>
      <c r="G15" s="54">
        <v>-5.8999999999999999E-3</v>
      </c>
      <c r="H15" s="54">
        <v>-0.16839999999999999</v>
      </c>
      <c r="I15" s="54">
        <v>-0.4869</v>
      </c>
      <c r="J15" s="54">
        <v>-0.63590000000000002</v>
      </c>
      <c r="K15" s="56" t="s">
        <v>26</v>
      </c>
      <c r="L15" s="54">
        <v>0.378</v>
      </c>
      <c r="M15" s="55">
        <v>4.0999999999999996</v>
      </c>
      <c r="N15" s="54">
        <v>-5.8599999999999999E-2</v>
      </c>
      <c r="O15" s="61">
        <v>1.69</v>
      </c>
    </row>
    <row r="16" spans="3:15" ht="42" x14ac:dyDescent="0.2">
      <c r="C16" s="63" t="s">
        <v>35</v>
      </c>
      <c r="D16" s="67">
        <v>0.51100000000000001</v>
      </c>
      <c r="E16" s="53">
        <v>0.19900000000000001</v>
      </c>
      <c r="F16" s="53">
        <v>5.3999999999999999E-2</v>
      </c>
      <c r="G16" s="54">
        <v>5.5899999999999998E-2</v>
      </c>
      <c r="H16" s="54">
        <v>0.43609999999999999</v>
      </c>
      <c r="I16" s="54">
        <v>0.15909999999999999</v>
      </c>
      <c r="J16" s="54">
        <v>-0.65349999999999997</v>
      </c>
      <c r="K16" s="54">
        <v>-0.58250000000000002</v>
      </c>
      <c r="L16" s="54">
        <v>5.1200000000000002E-2</v>
      </c>
      <c r="M16" s="55">
        <v>0.6</v>
      </c>
      <c r="N16" s="54">
        <v>0.2747</v>
      </c>
      <c r="O16" s="61">
        <v>1.94</v>
      </c>
    </row>
    <row r="17" spans="3:15" ht="32" thickBot="1" x14ac:dyDescent="0.25">
      <c r="C17" s="64" t="s">
        <v>36</v>
      </c>
      <c r="D17" s="68">
        <v>0.43099999999999999</v>
      </c>
      <c r="E17" s="58">
        <v>0.32300000000000001</v>
      </c>
      <c r="F17" s="58">
        <v>0.29399999999999998</v>
      </c>
      <c r="G17" s="59">
        <v>0.24560000000000001</v>
      </c>
      <c r="H17" s="59">
        <v>2.4400000000000002E-2</v>
      </c>
      <c r="I17" s="59">
        <v>-2.29E-2</v>
      </c>
      <c r="J17" s="59">
        <v>-2.5100000000000001E-2</v>
      </c>
      <c r="K17" s="59">
        <v>-5.3499999999999999E-2</v>
      </c>
      <c r="L17" s="59">
        <v>0.66200000000000003</v>
      </c>
      <c r="M17" s="60">
        <v>0.8</v>
      </c>
      <c r="N17" s="59">
        <v>0.1031</v>
      </c>
      <c r="O17" s="62">
        <v>1.3</v>
      </c>
    </row>
    <row r="27" spans="3:15" ht="10.5" thickBot="1" x14ac:dyDescent="0.25"/>
    <row r="28" spans="3:15" ht="10.5" thickBot="1" x14ac:dyDescent="0.25">
      <c r="C28" s="51" t="s">
        <v>190</v>
      </c>
      <c r="D28" s="49">
        <f>AVERAGE(D29:O29)</f>
        <v>0.67083333333333339</v>
      </c>
    </row>
    <row r="29" spans="3:15" ht="10.5" thickBot="1" x14ac:dyDescent="0.25">
      <c r="C29" s="52" t="s">
        <v>191</v>
      </c>
      <c r="D29" s="50">
        <f>IFERROR(INDEX(C31:C51,MATCH(D17,D31:D51)),"NA")</f>
        <v>0.5</v>
      </c>
      <c r="E29" s="47">
        <f>IFERROR(INDEX(C31:C51,MATCH(E17,E31:E51)),"NA")</f>
        <v>0.9</v>
      </c>
      <c r="F29" s="47">
        <f>IFERROR(INDEX(C31:C51,MATCH(F17,F31:F51)),"NA")</f>
        <v>0.9</v>
      </c>
      <c r="G29" s="47">
        <f>IFERROR(INDEX(C31:C51,MATCH(G17,G31:G51)),"NA")</f>
        <v>0.95</v>
      </c>
      <c r="H29" s="47">
        <f>IFERROR(INDEX(C31:C51,MATCH(H17,H31:H51)),"NA")</f>
        <v>0.35</v>
      </c>
      <c r="I29" s="47">
        <f>IFERROR(INDEX(C31:C51,MATCH(I17,I31:I51)),"NA")</f>
        <v>0.55000000000000004</v>
      </c>
      <c r="J29" s="47">
        <f>IFERROR(INDEX(C31:C51,MATCH(J17,J31:J51)),"NA")</f>
        <v>0.65</v>
      </c>
      <c r="K29" s="47">
        <f>IFERROR(INDEX(C31:C51,MATCH(K17,K31:K51)),"NA")</f>
        <v>0.75</v>
      </c>
      <c r="L29" s="47">
        <f>IFERROR(INDEX(C31:C51,MATCH(L17,L31:L51)),"NA")</f>
        <v>0.7</v>
      </c>
      <c r="M29" s="47">
        <f>IFERROR((1-INDEX(C31:C51,MATCH(M17,M31:M51))),"NA")</f>
        <v>0.85</v>
      </c>
      <c r="N29" s="47">
        <f>IFERROR(INDEX(C31:C51,MATCH(N17,N31:N51)),"NA")</f>
        <v>0.7</v>
      </c>
      <c r="O29" s="48">
        <f>IFERROR((1-INDEX(C31:C51,MATCH(O17,O31:O51))),"NA")</f>
        <v>0.25</v>
      </c>
    </row>
    <row r="30" spans="3:15" ht="10.5" thickBot="1" x14ac:dyDescent="0.25">
      <c r="C30" s="43" t="s">
        <v>192</v>
      </c>
    </row>
    <row r="31" spans="3:15" x14ac:dyDescent="0.2">
      <c r="C31" s="45">
        <v>0</v>
      </c>
      <c r="D31" s="74">
        <f>PERCENTILE(D7:D16,C31)</f>
        <v>0.19700000000000001</v>
      </c>
      <c r="E31" s="74">
        <f>PERCENTILE(E7:E16,C31)</f>
        <v>7.5999999999999998E-2</v>
      </c>
      <c r="F31" s="74">
        <f>PERCENTILE(F7:F16,C31)</f>
        <v>-3.9E-2</v>
      </c>
      <c r="G31" s="74">
        <f>PERCENTILE(G7:G16,C31)</f>
        <v>-5.0599999999999999E-2</v>
      </c>
      <c r="H31" s="74">
        <f>PERCENTILE(H7:H16,C31)</f>
        <v>-0.27400000000000002</v>
      </c>
      <c r="I31" s="74">
        <f>PERCENTILE(I7:I16,C31)</f>
        <v>-0.68759999999999999</v>
      </c>
      <c r="J31" s="74">
        <f>PERCENTILE(J7:J16,C31)</f>
        <v>-0.65349999999999997</v>
      </c>
      <c r="K31" s="74">
        <f>PERCENTILE(K7:K16,C31)</f>
        <v>-0.79949999999999999</v>
      </c>
      <c r="L31" s="74">
        <f>PERCENTILE(L7:L16,C31)</f>
        <v>5.1200000000000002E-2</v>
      </c>
      <c r="M31" s="77">
        <f>PERCENTILE(M7:M16,C31)</f>
        <v>0.3</v>
      </c>
      <c r="N31" s="74">
        <f>PERCENTILE(N7:N16,C31)</f>
        <v>-5.8599999999999999E-2</v>
      </c>
      <c r="O31" s="80">
        <f>PERCENTILE(O7:O16,C31)</f>
        <v>0.88</v>
      </c>
    </row>
    <row r="32" spans="3:15" x14ac:dyDescent="0.2">
      <c r="C32" s="44">
        <v>0.05</v>
      </c>
      <c r="D32" s="75">
        <f>PERCENTILE(D7:D16,C32)</f>
        <v>0.20824999999999999</v>
      </c>
      <c r="E32" s="75">
        <f>PERCENTILE(E7:E16,C32)</f>
        <v>8.3650000000000002E-2</v>
      </c>
      <c r="F32" s="75">
        <f>PERCENTILE(F7:F16,C32)</f>
        <v>-1.0200000000000001E-2</v>
      </c>
      <c r="G32" s="75">
        <f>PERCENTILE(G7:G16,C32)</f>
        <v>-3.0485000000000002E-2</v>
      </c>
      <c r="H32" s="75">
        <f>PERCENTILE(H7:H16,C32)</f>
        <v>-0.22648000000000001</v>
      </c>
      <c r="I32" s="75">
        <f>PERCENTILE(I7:I16,C32)</f>
        <v>-0.59728499999999995</v>
      </c>
      <c r="J32" s="75">
        <f>PERCENTILE(J7:J16,C32)</f>
        <v>-0.64646000000000003</v>
      </c>
      <c r="K32" s="75">
        <f>PERCENTILE(K7:K16,C32)</f>
        <v>-0.78907000000000005</v>
      </c>
      <c r="L32" s="75">
        <f>PERCENTILE(L7:L16,C32)</f>
        <v>7.3880000000000001E-2</v>
      </c>
      <c r="M32" s="78">
        <f>PERCENTILE(M7:M16,C32)</f>
        <v>0.43499999999999994</v>
      </c>
      <c r="N32" s="75">
        <f>PERCENTILE(N7:N16,C32)</f>
        <v>-4.573E-2</v>
      </c>
      <c r="O32" s="81">
        <f>PERCENTILE(O7:O16,C32)</f>
        <v>0.92049999999999998</v>
      </c>
    </row>
    <row r="33" spans="3:15" x14ac:dyDescent="0.2">
      <c r="C33" s="44">
        <v>0.1</v>
      </c>
      <c r="D33" s="75">
        <f>PERCENTILE(D7:D16,C33)</f>
        <v>0.2195</v>
      </c>
      <c r="E33" s="75">
        <f>PERCENTILE(E7:E16,C33)</f>
        <v>9.1299999999999992E-2</v>
      </c>
      <c r="F33" s="75">
        <f>PERCENTILE(F7:F16,C33)</f>
        <v>1.8599999999999998E-2</v>
      </c>
      <c r="G33" s="75">
        <f>PERCENTILE(G7:G16,C33)</f>
        <v>-1.0370000000000004E-2</v>
      </c>
      <c r="H33" s="75">
        <f>PERCENTILE(H7:H16,C33)</f>
        <v>-0.17896000000000001</v>
      </c>
      <c r="I33" s="75">
        <f>PERCENTILE(I7:I16,C33)</f>
        <v>-0.50697000000000003</v>
      </c>
      <c r="J33" s="75">
        <f>PERCENTILE(J7:J16,C33)</f>
        <v>-0.63941999999999999</v>
      </c>
      <c r="K33" s="75">
        <f>PERCENTILE(K7:K16,C33)</f>
        <v>-0.77864</v>
      </c>
      <c r="L33" s="75">
        <f>PERCENTILE(L7:L16,C33)</f>
        <v>9.6559999999999993E-2</v>
      </c>
      <c r="M33" s="78">
        <f>PERCENTILE(M7:M16,C33)</f>
        <v>0.56999999999999995</v>
      </c>
      <c r="N33" s="75">
        <f>PERCENTILE(N7:N16,C33)</f>
        <v>-3.286E-2</v>
      </c>
      <c r="O33" s="81">
        <f>PERCENTILE(O7:O16,C33)</f>
        <v>0.96099999999999997</v>
      </c>
    </row>
    <row r="34" spans="3:15" x14ac:dyDescent="0.2">
      <c r="C34" s="44">
        <v>0.15</v>
      </c>
      <c r="D34" s="75">
        <f>PERCENTILE(D7:D16,C34)</f>
        <v>0.23635</v>
      </c>
      <c r="E34" s="75">
        <f>PERCENTILE(E7:E16,C34)</f>
        <v>9.8599999999999993E-2</v>
      </c>
      <c r="F34" s="75">
        <f>PERCENTILE(F7:F16,C34)</f>
        <v>3.5149999999999987E-2</v>
      </c>
      <c r="G34" s="75">
        <f>PERCENTILE(G7:G16,C34)</f>
        <v>-9.6500000000000405E-4</v>
      </c>
      <c r="H34" s="75">
        <f>PERCENTILE(H7:H16,C34)</f>
        <v>-0.13690000000000002</v>
      </c>
      <c r="I34" s="75">
        <f>PERCENTILE(I7:I16,C34)</f>
        <v>-0.35995500000000014</v>
      </c>
      <c r="J34" s="75">
        <f>PERCENTILE(J7:J16,C34)</f>
        <v>-0.57443999999999995</v>
      </c>
      <c r="K34" s="75">
        <f>PERCENTILE(K7:K16,C34)</f>
        <v>-0.76125000000000009</v>
      </c>
      <c r="L34" s="75">
        <f>PERCENTILE(L7:L16,C34)</f>
        <v>0.18279999999999991</v>
      </c>
      <c r="M34" s="78">
        <f>PERCENTILE(M7:M16,C34)</f>
        <v>0.73999999999999988</v>
      </c>
      <c r="N34" s="75">
        <f>PERCENTILE(N7:N16,C34)</f>
        <v>-7.8450000000000221E-3</v>
      </c>
      <c r="O34" s="81">
        <f>PERCENTILE(O7:O16,C34)</f>
        <v>0.98749999999999993</v>
      </c>
    </row>
    <row r="35" spans="3:15" x14ac:dyDescent="0.2">
      <c r="C35" s="44">
        <v>0.2</v>
      </c>
      <c r="D35" s="75">
        <f>PERCENTILE(D7:D16,C35)</f>
        <v>0.25480000000000003</v>
      </c>
      <c r="E35" s="75">
        <f>PERCENTILE(E7:E16,C35)</f>
        <v>0.10579999999999999</v>
      </c>
      <c r="F35" s="75">
        <f>PERCENTILE(F7:F16,C35)</f>
        <v>4.8199999999999993E-2</v>
      </c>
      <c r="G35" s="75">
        <f>PERCENTILE(G7:G16,C35)</f>
        <v>5.3799999999999985E-3</v>
      </c>
      <c r="H35" s="75">
        <f>PERCENTILE(H7:H16,C35)</f>
        <v>-9.6400000000000013E-2</v>
      </c>
      <c r="I35" s="75">
        <f>PERCENTILE(I7:I16,C35)</f>
        <v>-0.19674000000000003</v>
      </c>
      <c r="J35" s="75">
        <f>PERCENTILE(J7:J16,C35)</f>
        <v>-0.45151999999999998</v>
      </c>
      <c r="K35" s="75">
        <f>PERCENTILE(K7:K16,C35)</f>
        <v>-0.70209999999999995</v>
      </c>
      <c r="L35" s="75">
        <f>PERCENTILE(L7:L16,C35)</f>
        <v>0.28719999999999996</v>
      </c>
      <c r="M35" s="78">
        <f>PERCENTILE(M7:M16,C35)</f>
        <v>0.91999999999999993</v>
      </c>
      <c r="N35" s="75">
        <f>PERCENTILE(N7:N16,C35)</f>
        <v>2.0639999999999985E-2</v>
      </c>
      <c r="O35" s="81">
        <f>PERCENTILE(O7:O16,C35)</f>
        <v>1.01</v>
      </c>
    </row>
    <row r="36" spans="3:15" x14ac:dyDescent="0.2">
      <c r="C36" s="44">
        <v>0.25</v>
      </c>
      <c r="D36" s="75">
        <f>PERCENTILE(D7:D16,C36)</f>
        <v>0.28100000000000003</v>
      </c>
      <c r="E36" s="75">
        <f>PERCENTILE(E7:E16,C36)</f>
        <v>0.10925</v>
      </c>
      <c r="F36" s="75">
        <f>PERCENTILE(F7:F16,C36)</f>
        <v>5.425E-2</v>
      </c>
      <c r="G36" s="75">
        <f>PERCENTILE(G7:G16,C36)</f>
        <v>1.2125E-2</v>
      </c>
      <c r="H36" s="75">
        <f>PERCENTILE(H7:H16,C36)</f>
        <v>-5.6075E-2</v>
      </c>
      <c r="I36" s="75">
        <f>PERCENTILE(I7:I16,C36)</f>
        <v>-0.114925</v>
      </c>
      <c r="J36" s="75">
        <f>PERCENTILE(J7:J16,C36)</f>
        <v>-0.3286</v>
      </c>
      <c r="K36" s="75">
        <f>PERCENTILE(K7:K16,C36)</f>
        <v>-0.64295000000000002</v>
      </c>
      <c r="L36" s="75">
        <f>PERCENTILE(L7:L16,C36)</f>
        <v>0.34470000000000001</v>
      </c>
      <c r="M36" s="78">
        <f>PERCENTILE(M7:M16,C36)</f>
        <v>1.2250000000000001</v>
      </c>
      <c r="N36" s="75">
        <f>PERCENTILE(N7:N16,C36)</f>
        <v>3.6775000000000002E-2</v>
      </c>
      <c r="O36" s="81">
        <f>PERCENTILE(O7:O16,C36)</f>
        <v>1.04</v>
      </c>
    </row>
    <row r="37" spans="3:15" x14ac:dyDescent="0.2">
      <c r="C37" s="44">
        <v>0.3</v>
      </c>
      <c r="D37" s="75">
        <f>PERCENTILE(D7:D16,C37)</f>
        <v>0.31340000000000001</v>
      </c>
      <c r="E37" s="75">
        <f>PERCENTILE(E7:E16,C37)</f>
        <v>0.10970000000000001</v>
      </c>
      <c r="F37" s="75">
        <f>PERCENTILE(F7:F16,C37)</f>
        <v>5.4699999999999999E-2</v>
      </c>
      <c r="G37" s="75">
        <f>PERCENTILE(G7:G16,C37)</f>
        <v>1.9189999999999995E-2</v>
      </c>
      <c r="H37" s="75">
        <f>PERCENTILE(H7:H16,C37)</f>
        <v>-1.5890000000000029E-2</v>
      </c>
      <c r="I37" s="75">
        <f>PERCENTILE(I7:I16,C37)</f>
        <v>-9.8230000000000012E-2</v>
      </c>
      <c r="J37" s="75">
        <f>PERCENTILE(J7:J16,C37)</f>
        <v>-0.25472</v>
      </c>
      <c r="K37" s="75">
        <f>PERCENTILE(K7:K16,C37)</f>
        <v>-0.59887999999999997</v>
      </c>
      <c r="L37" s="75">
        <f>PERCENTILE(L7:L16,C37)</f>
        <v>0.36468</v>
      </c>
      <c r="M37" s="78">
        <f>PERCENTILE(M7:M16,C37)</f>
        <v>1.6299999999999997</v>
      </c>
      <c r="N37" s="75">
        <f>PERCENTILE(N7:N16,C37)</f>
        <v>4.3029999999999999E-2</v>
      </c>
      <c r="O37" s="81">
        <f>PERCENTILE(O7:O16,C37)</f>
        <v>1.0760000000000001</v>
      </c>
    </row>
    <row r="38" spans="3:15" x14ac:dyDescent="0.2">
      <c r="C38" s="44">
        <v>0.35</v>
      </c>
      <c r="D38" s="75">
        <f>PERCENTILE(D7:D16,C38)</f>
        <v>0.34220000000000006</v>
      </c>
      <c r="E38" s="75">
        <f>PERCENTILE(E7:E16,C38)</f>
        <v>0.11870000000000003</v>
      </c>
      <c r="F38" s="75">
        <f>PERCENTILE(F7:F16,C38)</f>
        <v>5.5149999999999998E-2</v>
      </c>
      <c r="G38" s="75">
        <f>PERCENTILE(G7:G16,C38)</f>
        <v>2.4695000000000002E-2</v>
      </c>
      <c r="H38" s="75">
        <f>PERCENTILE(H7:H16,C38)</f>
        <v>1.576000000000001E-2</v>
      </c>
      <c r="I38" s="75">
        <f>PERCENTILE(I7:I16,C38)</f>
        <v>-8.4804999999999992E-2</v>
      </c>
      <c r="J38" s="75">
        <f>PERCENTILE(J7:J16,C38)</f>
        <v>-0.18084000000000003</v>
      </c>
      <c r="K38" s="75">
        <f>PERCENTILE(K7:K16,C38)</f>
        <v>-0.59250999999999998</v>
      </c>
      <c r="L38" s="75">
        <f>PERCENTILE(L7:L16,C38)</f>
        <v>0.38044500000000003</v>
      </c>
      <c r="M38" s="78">
        <f>PERCENTILE(M7:M16,C38)</f>
        <v>1.93</v>
      </c>
      <c r="N38" s="75">
        <f>PERCENTILE(N7:N16,C38)</f>
        <v>4.8865000000000006E-2</v>
      </c>
      <c r="O38" s="81">
        <f>PERCENTILE(O7:O16,C38)</f>
        <v>1.1120000000000001</v>
      </c>
    </row>
    <row r="39" spans="3:15" x14ac:dyDescent="0.2">
      <c r="C39" s="44">
        <v>0.4</v>
      </c>
      <c r="D39" s="75">
        <f>PERCENTILE(D7:D16,C39)</f>
        <v>0.36380000000000001</v>
      </c>
      <c r="E39" s="75">
        <f>PERCENTILE(E7:E16,C39)</f>
        <v>0.14479999999999998</v>
      </c>
      <c r="F39" s="75">
        <f>PERCENTILE(F7:F16,C39)</f>
        <v>5.5600000000000004E-2</v>
      </c>
      <c r="G39" s="75">
        <f>PERCENTILE(G7:G16,C39)</f>
        <v>2.708E-2</v>
      </c>
      <c r="H39" s="75">
        <f>PERCENTILE(H7:H16,C39)</f>
        <v>3.0339999999999989E-2</v>
      </c>
      <c r="I39" s="75">
        <f>PERCENTILE(I7:I16,C39)</f>
        <v>-7.7920000000000003E-2</v>
      </c>
      <c r="J39" s="75">
        <f>PERCENTILE(J7:J16,C39)</f>
        <v>-0.1399</v>
      </c>
      <c r="K39" s="75">
        <f>PERCENTILE(K7:K16,C39)</f>
        <v>-0.58613999999999999</v>
      </c>
      <c r="L39" s="75">
        <f>PERCENTILE(L7:L16,C39)</f>
        <v>0.38778000000000001</v>
      </c>
      <c r="M39" s="78">
        <f>PERCENTILE(M7:M16,C39)</f>
        <v>2.02</v>
      </c>
      <c r="N39" s="75">
        <f>PERCENTILE(N7:N16,C39)</f>
        <v>5.3859999999999991E-2</v>
      </c>
      <c r="O39" s="81">
        <f>PERCENTILE(O7:O16,C39)</f>
        <v>1.1479999999999999</v>
      </c>
    </row>
    <row r="40" spans="3:15" x14ac:dyDescent="0.2">
      <c r="C40" s="44">
        <v>0.45</v>
      </c>
      <c r="D40" s="75">
        <f>PERCENTILE(D7:D16,C40)</f>
        <v>0.38619999999999999</v>
      </c>
      <c r="E40" s="75">
        <f>PERCENTILE(E7:E16,C40)</f>
        <v>0.16835</v>
      </c>
      <c r="F40" s="75">
        <f>PERCENTILE(F7:F16,C40)</f>
        <v>5.7199999999999994E-2</v>
      </c>
      <c r="G40" s="75">
        <f>PERCENTILE(G7:G16,C40)</f>
        <v>2.9919999999999999E-2</v>
      </c>
      <c r="H40" s="75">
        <f>PERCENTILE(H7:H16,C40)</f>
        <v>4.3699999999999996E-2</v>
      </c>
      <c r="I40" s="75">
        <f>PERCENTILE(I7:I16,C40)</f>
        <v>-6.9420000000000009E-2</v>
      </c>
      <c r="J40" s="75">
        <f>PERCENTILE(J7:J16,C40)</f>
        <v>-0.13190000000000002</v>
      </c>
      <c r="K40" s="75">
        <f>PERCENTILE(K7:K16,C40)</f>
        <v>-0.57927499999999998</v>
      </c>
      <c r="L40" s="75">
        <f>PERCENTILE(L7:L16,C40)</f>
        <v>0.39822999999999997</v>
      </c>
      <c r="M40" s="78">
        <f>PERCENTILE(M7:M16,C40)</f>
        <v>2.125</v>
      </c>
      <c r="N40" s="75">
        <f>PERCENTILE(N7:N16,C40)</f>
        <v>5.8299999999999998E-2</v>
      </c>
      <c r="O40" s="81">
        <f>PERCENTILE(O7:O16,C40)</f>
        <v>1.1829999999999998</v>
      </c>
    </row>
    <row r="41" spans="3:15" x14ac:dyDescent="0.2">
      <c r="C41" s="44">
        <v>0.5</v>
      </c>
      <c r="D41" s="75">
        <f>PERCENTILE(D7:D16,C41)</f>
        <v>0.41500000000000004</v>
      </c>
      <c r="E41" s="75">
        <f>PERCENTILE(E7:E16,C41)</f>
        <v>0.17149999999999999</v>
      </c>
      <c r="F41" s="75">
        <f>PERCENTILE(F7:F16,C41)</f>
        <v>6.8000000000000005E-2</v>
      </c>
      <c r="G41" s="75">
        <f>PERCENTILE(G7:G16,C41)</f>
        <v>3.6400000000000002E-2</v>
      </c>
      <c r="H41" s="75">
        <f>PERCENTILE(H7:H16,C41)</f>
        <v>4.7299999999999995E-2</v>
      </c>
      <c r="I41" s="75">
        <f>PERCENTILE(I7:I16,C41)</f>
        <v>-4.8000000000000001E-2</v>
      </c>
      <c r="J41" s="75">
        <f>PERCENTILE(J7:J16,C41)</f>
        <v>-0.1239</v>
      </c>
      <c r="K41" s="75">
        <f>PERCENTILE(K7:K16,C41)</f>
        <v>-0.57174999999999998</v>
      </c>
      <c r="L41" s="75">
        <f>PERCENTILE(L7:L16,C41)</f>
        <v>0.43359999999999999</v>
      </c>
      <c r="M41" s="78">
        <f>PERCENTILE(M7:M16,C41)</f>
        <v>2.35</v>
      </c>
      <c r="N41" s="75">
        <f>PERCENTILE(N7:N16,C41)</f>
        <v>5.8299999999999998E-2</v>
      </c>
      <c r="O41" s="81">
        <f>PERCENTILE(O7:O16,C41)</f>
        <v>1.21</v>
      </c>
    </row>
    <row r="42" spans="3:15" x14ac:dyDescent="0.2">
      <c r="C42" s="44">
        <v>0.55000000000000004</v>
      </c>
      <c r="D42" s="75">
        <f>PERCENTILE(D7:D16,C42)</f>
        <v>0.44380000000000003</v>
      </c>
      <c r="E42" s="75">
        <f>PERCENTILE(E7:E16,C42)</f>
        <v>0.17465</v>
      </c>
      <c r="F42" s="75">
        <f>PERCENTILE(F7:F16,C42)</f>
        <v>7.8800000000000009E-2</v>
      </c>
      <c r="G42" s="75">
        <f>PERCENTILE(G7:G16,C42)</f>
        <v>4.2880000000000001E-2</v>
      </c>
      <c r="H42" s="75">
        <f>PERCENTILE(H7:H16,C42)</f>
        <v>5.0900000000000001E-2</v>
      </c>
      <c r="I42" s="75">
        <f>PERCENTILE(I7:I16,C42)</f>
        <v>-2.6579999999999993E-2</v>
      </c>
      <c r="J42" s="75">
        <f>PERCENTILE(J7:J16,C42)</f>
        <v>-9.5619999999999969E-2</v>
      </c>
      <c r="K42" s="75">
        <f>PERCENTILE(K7:K16,C42)</f>
        <v>-0.56422500000000009</v>
      </c>
      <c r="L42" s="75">
        <f>PERCENTILE(L7:L16,C42)</f>
        <v>0.46897</v>
      </c>
      <c r="M42" s="78">
        <f>PERCENTILE(M7:M16,C42)</f>
        <v>2.5750000000000002</v>
      </c>
      <c r="N42" s="75">
        <f>PERCENTILE(N7:N16,C42)</f>
        <v>5.8299999999999998E-2</v>
      </c>
      <c r="O42" s="81">
        <f>PERCENTILE(O7:O16,C42)</f>
        <v>1.2370000000000001</v>
      </c>
    </row>
    <row r="43" spans="3:15" x14ac:dyDescent="0.2">
      <c r="C43" s="44">
        <v>0.6</v>
      </c>
      <c r="D43" s="75">
        <f>PERCENTILE(D7:D16,C43)</f>
        <v>0.47259999999999996</v>
      </c>
      <c r="E43" s="75">
        <f>PERCENTILE(E7:E16,C43)</f>
        <v>0.18459999999999999</v>
      </c>
      <c r="F43" s="75">
        <f>PERCENTILE(F7:F16,C43)</f>
        <v>8.0799999999999997E-2</v>
      </c>
      <c r="G43" s="75">
        <f>PERCENTILE(G7:G16,C43)</f>
        <v>4.8519999999999994E-2</v>
      </c>
      <c r="H43" s="75">
        <f>PERCENTILE(H7:H16,C43)</f>
        <v>5.1899999999999995E-2</v>
      </c>
      <c r="I43" s="75">
        <f>PERCENTILE(I7:I16,C43)</f>
        <v>-6.0000000000000227E-3</v>
      </c>
      <c r="J43" s="75">
        <f>PERCENTILE(J7:J16,C43)</f>
        <v>-6.7340000000000011E-2</v>
      </c>
      <c r="K43" s="75">
        <f>PERCENTILE(K7:K16,C43)</f>
        <v>-0.49159999999999998</v>
      </c>
      <c r="L43" s="75">
        <f>PERCENTILE(L7:L16,C43)</f>
        <v>0.49817999999999996</v>
      </c>
      <c r="M43" s="78">
        <f>PERCENTILE(M7:M16,C43)</f>
        <v>2.6</v>
      </c>
      <c r="N43" s="75">
        <f>PERCENTILE(N7:N16,C43)</f>
        <v>6.085999999999999E-2</v>
      </c>
      <c r="O43" s="81">
        <f>PERCENTILE(O7:O16,C43)</f>
        <v>1.248</v>
      </c>
    </row>
    <row r="44" spans="3:15" x14ac:dyDescent="0.2">
      <c r="C44" s="44">
        <v>0.65</v>
      </c>
      <c r="D44" s="75">
        <f>PERCENTILE(D7:D16,C44)</f>
        <v>0.50140000000000007</v>
      </c>
      <c r="E44" s="75">
        <f>PERCENTILE(E7:E16,C44)</f>
        <v>0.19540000000000002</v>
      </c>
      <c r="F44" s="75">
        <f>PERCENTILE(F7:F16,C44)</f>
        <v>8.1700000000000009E-2</v>
      </c>
      <c r="G44" s="75">
        <f>PERCENTILE(G7:G16,C44)</f>
        <v>5.4055000000000006E-2</v>
      </c>
      <c r="H44" s="75">
        <f>PERCENTILE(H7:H16,C44)</f>
        <v>5.2574999999999997E-2</v>
      </c>
      <c r="I44" s="75">
        <f>PERCENTILE(I7:I16,C44)</f>
        <v>1.4475000000000023E-2</v>
      </c>
      <c r="J44" s="75">
        <f>PERCENTILE(J7:J16,C44)</f>
        <v>-3.1019999999999978E-2</v>
      </c>
      <c r="K44" s="75">
        <f>PERCENTILE(K7:K16,C44)</f>
        <v>-0.37015000000000009</v>
      </c>
      <c r="L44" s="75">
        <f>PERCENTILE(L7:L16,C44)</f>
        <v>0.52662000000000009</v>
      </c>
      <c r="M44" s="78">
        <f>PERCENTILE(M7:M16,C44)</f>
        <v>2.6</v>
      </c>
      <c r="N44" s="75">
        <f>PERCENTILE(N7:N16,C44)</f>
        <v>6.3739999999999991E-2</v>
      </c>
      <c r="O44" s="81">
        <f>PERCENTILE(O7:O16,C44)</f>
        <v>1.2570000000000001</v>
      </c>
    </row>
    <row r="45" spans="3:15" x14ac:dyDescent="0.2">
      <c r="C45" s="44">
        <v>0.7</v>
      </c>
      <c r="D45" s="75">
        <f>PERCENTILE(D7:D16,C45)</f>
        <v>0.52360000000000007</v>
      </c>
      <c r="E45" s="75">
        <f>PERCENTILE(E7:E16,C45)</f>
        <v>0.2011</v>
      </c>
      <c r="F45" s="75">
        <f>PERCENTILE(F7:F16,C45)</f>
        <v>0.11019999999999998</v>
      </c>
      <c r="G45" s="75">
        <f>PERCENTILE(G7:G16,C45)</f>
        <v>9.891999999999998E-2</v>
      </c>
      <c r="H45" s="75">
        <f>PERCENTILE(H7:H16,C45)</f>
        <v>6.656999999999999E-2</v>
      </c>
      <c r="I45" s="75">
        <f>PERCENTILE(I7:I16,C45)</f>
        <v>2.1360000000000001E-2</v>
      </c>
      <c r="J45" s="75">
        <f>PERCENTILE(J7:J16,C45)</f>
        <v>1.3339999999999963E-2</v>
      </c>
      <c r="K45" s="75">
        <f>PERCENTILE(K7:K16,C45)</f>
        <v>-0.24870000000000014</v>
      </c>
      <c r="L45" s="75">
        <f>PERCENTILE(L7:L16,C45)</f>
        <v>0.58809</v>
      </c>
      <c r="M45" s="78">
        <f>PERCENTILE(M7:M16,C45)</f>
        <v>2.9299999999999997</v>
      </c>
      <c r="N45" s="75">
        <f>PERCENTILE(N7:N16,C45)</f>
        <v>9.5959999999999976E-2</v>
      </c>
      <c r="O45" s="81">
        <f>PERCENTILE(O7:O16,C45)</f>
        <v>1.2629999999999999</v>
      </c>
    </row>
    <row r="46" spans="3:15" x14ac:dyDescent="0.2">
      <c r="C46" s="44">
        <v>0.75</v>
      </c>
      <c r="D46" s="75">
        <f>PERCENTILE(D7:D16,C46)</f>
        <v>0.54249999999999998</v>
      </c>
      <c r="E46" s="75">
        <f>PERCENTILE(E7:E16,C46)</f>
        <v>0.20424999999999999</v>
      </c>
      <c r="F46" s="75">
        <f>PERCENTILE(F7:F16,C46)</f>
        <v>0.1525</v>
      </c>
      <c r="G46" s="75">
        <f>PERCENTILE(G7:G16,C46)</f>
        <v>0.16345000000000001</v>
      </c>
      <c r="H46" s="75">
        <f>PERCENTILE(H7:H16,C46)</f>
        <v>8.7224999999999997E-2</v>
      </c>
      <c r="I46" s="75">
        <f>PERCENTILE(I7:I16,C46)</f>
        <v>2.1449999999999997E-2</v>
      </c>
      <c r="J46" s="75">
        <f>PERCENTILE(J7:J16,C46)</f>
        <v>5.7700000000000001E-2</v>
      </c>
      <c r="K46" s="75">
        <f>PERCENTILE(K7:K16,C46)</f>
        <v>-0.115825</v>
      </c>
      <c r="L46" s="75">
        <f>PERCENTILE(L7:L16,C46)</f>
        <v>0.66607499999999997</v>
      </c>
      <c r="M46" s="78">
        <f>PERCENTILE(M7:M16,C46)</f>
        <v>3.4250000000000003</v>
      </c>
      <c r="N46" s="75">
        <f>PERCENTILE(N7:N16,C46)</f>
        <v>0.14284999999999998</v>
      </c>
      <c r="O46" s="81">
        <f>PERCENTILE(O7:O16,C46)</f>
        <v>1.2675000000000001</v>
      </c>
    </row>
    <row r="47" spans="3:15" x14ac:dyDescent="0.2">
      <c r="C47" s="44">
        <v>0.8</v>
      </c>
      <c r="D47" s="75">
        <f>PERCENTILE(D7:D16,C47)</f>
        <v>0.55679999999999996</v>
      </c>
      <c r="E47" s="75">
        <f>PERCENTILE(E7:E16,C47)</f>
        <v>0.22619999999999993</v>
      </c>
      <c r="F47" s="75">
        <f>PERCENTILE(F7:F16,C47)</f>
        <v>0.19159999999999994</v>
      </c>
      <c r="G47" s="75">
        <f>PERCENTILE(G7:G16,C47)</f>
        <v>0.2006</v>
      </c>
      <c r="H47" s="75">
        <f>PERCENTILE(H7:H16,C47)</f>
        <v>0.11737999999999993</v>
      </c>
      <c r="I47" s="75">
        <f>PERCENTILE(I7:I16,C47)</f>
        <v>4.9019999999999897E-2</v>
      </c>
      <c r="J47" s="75">
        <f>PERCENTILE(J7:J16,C47)</f>
        <v>0.13010000000000005</v>
      </c>
      <c r="K47" s="75">
        <f>PERCENTILE(K7:K16,C47)</f>
        <v>2.1620000000000222E-2</v>
      </c>
      <c r="L47" s="75">
        <f>PERCENTILE(L7:L16,C47)</f>
        <v>0.78955999999999971</v>
      </c>
      <c r="M47" s="78">
        <f>PERCENTILE(M7:M16,C47)</f>
        <v>3.78</v>
      </c>
      <c r="N47" s="75">
        <f>PERCENTILE(N7:N16,C47)</f>
        <v>0.19005999999999992</v>
      </c>
      <c r="O47" s="81">
        <f>PERCENTILE(O7:O16,C47)</f>
        <v>1.3539999999999996</v>
      </c>
    </row>
    <row r="48" spans="3:15" x14ac:dyDescent="0.2">
      <c r="C48" s="44">
        <v>0.85</v>
      </c>
      <c r="D48" s="75">
        <f>PERCENTILE(D7:D16,C48)</f>
        <v>0.56534999999999991</v>
      </c>
      <c r="E48" s="75">
        <f>PERCENTILE(E7:E16,C48)</f>
        <v>0.27164999999999984</v>
      </c>
      <c r="F48" s="75">
        <f>PERCENTILE(F7:F16,C48)</f>
        <v>0.2266999999999999</v>
      </c>
      <c r="G48" s="75">
        <f>PERCENTILE(G7:G16,C48)</f>
        <v>0.20352500000000001</v>
      </c>
      <c r="H48" s="75">
        <f>PERCENTILE(H7:H16,C48)</f>
        <v>0.15940999999999986</v>
      </c>
      <c r="I48" s="75">
        <f>PERCENTILE(I7:I16,C48)</f>
        <v>0.11093999999999982</v>
      </c>
      <c r="J48" s="75">
        <f>PERCENTILE(J7:J16,C48)</f>
        <v>0.20249999999999996</v>
      </c>
      <c r="K48" s="75">
        <f>PERCENTILE(K7:K16,C48)</f>
        <v>0.1590650000000001</v>
      </c>
      <c r="L48" s="75">
        <f>PERCENTILE(L7:L16,C48)</f>
        <v>0.96991999999999945</v>
      </c>
      <c r="M48" s="78">
        <f>PERCENTILE(M7:M16,C48)</f>
        <v>3.9599999999999991</v>
      </c>
      <c r="N48" s="75">
        <f>PERCENTILE(N7:N16,C48)</f>
        <v>0.23766999999999985</v>
      </c>
      <c r="O48" s="81">
        <f>PERCENTILE(O7:O16,C48)</f>
        <v>1.5429999999999993</v>
      </c>
    </row>
    <row r="49" spans="3:15" x14ac:dyDescent="0.2">
      <c r="C49" s="44">
        <v>0.9</v>
      </c>
      <c r="D49" s="75">
        <f>PERCENTILE(D7:D16,C49)</f>
        <v>0.58019999999999994</v>
      </c>
      <c r="E49" s="75">
        <f>PERCENTILE(E7:E16,C49)</f>
        <v>0.31419999999999998</v>
      </c>
      <c r="F49" s="75">
        <f>PERCENTILE(F7:F16,C49)</f>
        <v>0.26239999999999997</v>
      </c>
      <c r="G49" s="75">
        <f>PERCENTILE(G7:G16,C49)</f>
        <v>0.21261999999999998</v>
      </c>
      <c r="H49" s="75">
        <f>PERCENTILE(H7:H16,C49)</f>
        <v>0.21649999999999991</v>
      </c>
      <c r="I49" s="75">
        <f>PERCENTILE(I7:I16,C49)</f>
        <v>0.17097999999999994</v>
      </c>
      <c r="J49" s="75">
        <f>PERCENTILE(J7:J16,C49)</f>
        <v>0.25231999999999993</v>
      </c>
      <c r="K49" s="75">
        <f>PERCENTILE(K7:K16,C49)</f>
        <v>0.20689999999999997</v>
      </c>
      <c r="L49" s="75">
        <f>PERCENTILE(L7:L16,C49)</f>
        <v>1.14344</v>
      </c>
      <c r="M49" s="78">
        <f>PERCENTILE(M7:M16,C49)</f>
        <v>4.1599999999999993</v>
      </c>
      <c r="N49" s="75">
        <f>PERCENTILE(N7:N16,C49)</f>
        <v>0.28475999999999996</v>
      </c>
      <c r="O49" s="81">
        <f>PERCENTILE(O7:O16,C49)</f>
        <v>1.7149999999999999</v>
      </c>
    </row>
    <row r="50" spans="3:15" x14ac:dyDescent="0.2">
      <c r="C50" s="44">
        <v>0.95</v>
      </c>
      <c r="D50" s="75">
        <f>PERCENTILE(D7:D16,C50)</f>
        <v>0.61709999999999987</v>
      </c>
      <c r="E50" s="75">
        <f>PERCENTILE(E7:E16,C50)</f>
        <v>0.34659999999999991</v>
      </c>
      <c r="F50" s="75">
        <f>PERCENTILE(F7:F16,C50)</f>
        <v>0.30019999999999991</v>
      </c>
      <c r="G50" s="75">
        <f>PERCENTILE(G7:G16,C50)</f>
        <v>0.24330999999999994</v>
      </c>
      <c r="H50" s="75">
        <f>PERCENTILE(H7:H16,C50)</f>
        <v>0.3262999999999997</v>
      </c>
      <c r="I50" s="75">
        <f>PERCENTILE(I7:I16,C50)</f>
        <v>0.22443999999999986</v>
      </c>
      <c r="J50" s="75">
        <f>PERCENTILE(J7:J16,C50)</f>
        <v>0.27955999999999998</v>
      </c>
      <c r="K50" s="75">
        <f>PERCENTILE(K7:K16,C50)</f>
        <v>0.23979999999999996</v>
      </c>
      <c r="L50" s="75">
        <f>PERCENTILE(L7:L16,C50)</f>
        <v>1.2930199999999998</v>
      </c>
      <c r="M50" s="78">
        <f>PERCENTILE(M7:M16,C50)</f>
        <v>4.43</v>
      </c>
      <c r="N50" s="75">
        <f>PERCENTILE(N7:N16,C50)</f>
        <v>0.33002999999999993</v>
      </c>
      <c r="O50" s="81">
        <f>PERCENTILE(O7:O16,C50)</f>
        <v>1.8274999999999997</v>
      </c>
    </row>
    <row r="51" spans="3:15" ht="10.5" thickBot="1" x14ac:dyDescent="0.25">
      <c r="C51" s="46">
        <v>1</v>
      </c>
      <c r="D51" s="76">
        <f>PERCENTILE(D7:D16,C51)</f>
        <v>0.65400000000000003</v>
      </c>
      <c r="E51" s="76">
        <f>PERCENTILE(E7:E16,C51)</f>
        <v>0.379</v>
      </c>
      <c r="F51" s="76">
        <f>PERCENTILE(F7:F16,C51)</f>
        <v>0.33800000000000002</v>
      </c>
      <c r="G51" s="76">
        <f>PERCENTILE(G7:G16,C51)</f>
        <v>0.27400000000000002</v>
      </c>
      <c r="H51" s="76">
        <f>PERCENTILE(H7:H16,C51)</f>
        <v>0.43609999999999999</v>
      </c>
      <c r="I51" s="76">
        <f>PERCENTILE(I7:I16,C51)</f>
        <v>0.27789999999999998</v>
      </c>
      <c r="J51" s="76">
        <f>PERCENTILE(J7:J16,C51)</f>
        <v>0.30680000000000002</v>
      </c>
      <c r="K51" s="76">
        <f>PERCENTILE(K7:K16,C51)</f>
        <v>0.2727</v>
      </c>
      <c r="L51" s="76">
        <f>PERCENTILE(L7:L16,C51)</f>
        <v>1.4426000000000001</v>
      </c>
      <c r="M51" s="79">
        <f>PERCENTILE(M7:M16,C51)</f>
        <v>4.7</v>
      </c>
      <c r="N51" s="76">
        <f>PERCENTILE(N7:N16,C51)</f>
        <v>0.37530000000000002</v>
      </c>
      <c r="O51" s="82">
        <f>PERCENTILE(O7:O16,C51)</f>
        <v>1.94</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862CF-8E66-4E37-A00F-47856167391E}">
  <sheetPr codeName="Sheet3">
    <outlinePr summaryBelow="0" summaryRight="0"/>
  </sheetPr>
  <dimension ref="A4:IU50"/>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107.34</v>
      </c>
      <c r="C15" s="13">
        <v>12697</v>
      </c>
      <c r="D15" s="13">
        <v>1368065.1</v>
      </c>
      <c r="E15" s="13">
        <v>-85609</v>
      </c>
      <c r="F15" s="14" t="s">
        <v>26</v>
      </c>
      <c r="G15" s="14" t="s">
        <v>26</v>
      </c>
      <c r="H15" s="13">
        <v>1282456.1000000001</v>
      </c>
      <c r="I15" s="12">
        <v>18.07</v>
      </c>
      <c r="J15" s="16">
        <v>45042</v>
      </c>
      <c r="K15" s="13">
        <v>284612</v>
      </c>
      <c r="L15" s="13">
        <v>87496</v>
      </c>
      <c r="M15" s="13">
        <v>72163</v>
      </c>
      <c r="N15" s="12">
        <v>4.5</v>
      </c>
      <c r="O15" s="14" t="s">
        <v>26</v>
      </c>
      <c r="P15" s="12">
        <v>119349.94</v>
      </c>
      <c r="Q15" s="12">
        <v>5.55</v>
      </c>
    </row>
    <row r="16" spans="1:255" ht="12" customHeight="1" x14ac:dyDescent="0.2">
      <c r="A16" s="7" t="s">
        <v>27</v>
      </c>
      <c r="B16" s="12">
        <v>105.45</v>
      </c>
      <c r="C16" s="13">
        <v>10260.4</v>
      </c>
      <c r="D16" s="13">
        <v>1081954.3</v>
      </c>
      <c r="E16" s="13">
        <v>114142</v>
      </c>
      <c r="F16" s="14" t="s">
        <v>26</v>
      </c>
      <c r="G16" s="14" t="s">
        <v>26</v>
      </c>
      <c r="H16" s="13">
        <v>1196096.3</v>
      </c>
      <c r="I16" s="12">
        <v>12.85</v>
      </c>
      <c r="J16" s="16">
        <v>45044</v>
      </c>
      <c r="K16" s="13">
        <v>524897</v>
      </c>
      <c r="L16" s="13">
        <v>57194</v>
      </c>
      <c r="M16" s="13">
        <v>13343</v>
      </c>
      <c r="N16" s="12">
        <v>0.42</v>
      </c>
      <c r="O16" s="12">
        <v>573463.49</v>
      </c>
      <c r="P16" s="12">
        <v>92187.09</v>
      </c>
      <c r="Q16" s="12">
        <v>1.71</v>
      </c>
    </row>
    <row r="17" spans="1:17" ht="12" customHeight="1" x14ac:dyDescent="0.2">
      <c r="A17" s="7" t="s">
        <v>28</v>
      </c>
      <c r="B17" s="12">
        <v>43.49</v>
      </c>
      <c r="C17" s="13">
        <v>731.2</v>
      </c>
      <c r="D17" s="13">
        <v>31800.1</v>
      </c>
      <c r="E17" s="13">
        <v>21877</v>
      </c>
      <c r="F17" s="14" t="s">
        <v>26</v>
      </c>
      <c r="G17" s="12">
        <v>97</v>
      </c>
      <c r="H17" s="13">
        <v>53774.1</v>
      </c>
      <c r="I17" s="12">
        <v>-41.81</v>
      </c>
      <c r="J17" s="16">
        <v>45015</v>
      </c>
      <c r="K17" s="13">
        <v>102301</v>
      </c>
      <c r="L17" s="13">
        <v>7807</v>
      </c>
      <c r="M17" s="13">
        <v>5771</v>
      </c>
      <c r="N17" s="12">
        <v>3.24</v>
      </c>
      <c r="O17" s="12">
        <v>87066.23</v>
      </c>
      <c r="P17" s="12">
        <v>9420.16</v>
      </c>
      <c r="Q17" s="12">
        <v>5.3</v>
      </c>
    </row>
    <row r="18" spans="1:17" ht="12" customHeight="1" x14ac:dyDescent="0.2">
      <c r="A18" s="7" t="s">
        <v>29</v>
      </c>
      <c r="B18" s="12">
        <v>14.32</v>
      </c>
      <c r="C18" s="13">
        <v>1295.9000000000001</v>
      </c>
      <c r="D18" s="13">
        <v>18556.8</v>
      </c>
      <c r="E18" s="13">
        <v>11533</v>
      </c>
      <c r="F18" s="14" t="s">
        <v>26</v>
      </c>
      <c r="G18" s="12">
        <v>52</v>
      </c>
      <c r="H18" s="13">
        <v>30141.8</v>
      </c>
      <c r="I18" s="12">
        <v>1.48</v>
      </c>
      <c r="J18" s="16">
        <v>44992</v>
      </c>
      <c r="K18" s="13">
        <v>29344</v>
      </c>
      <c r="L18" s="13">
        <v>4934</v>
      </c>
      <c r="M18" s="13">
        <v>2419</v>
      </c>
      <c r="N18" s="12">
        <v>0.65</v>
      </c>
      <c r="O18" s="12">
        <v>29681.19</v>
      </c>
      <c r="P18" s="12">
        <v>5420.7</v>
      </c>
      <c r="Q18" s="12">
        <v>1.94</v>
      </c>
    </row>
    <row r="19" spans="1:17" ht="12" customHeight="1" x14ac:dyDescent="0.2">
      <c r="A19" s="7" t="s">
        <v>30</v>
      </c>
      <c r="B19" s="12">
        <v>29.71</v>
      </c>
      <c r="C19" s="13">
        <v>985.3</v>
      </c>
      <c r="D19" s="13">
        <v>29274.1</v>
      </c>
      <c r="E19" s="13">
        <v>10388</v>
      </c>
      <c r="F19" s="14" t="s">
        <v>26</v>
      </c>
      <c r="G19" s="14" t="s">
        <v>26</v>
      </c>
      <c r="H19" s="13">
        <v>39662.1</v>
      </c>
      <c r="I19" s="12">
        <v>-14.39</v>
      </c>
      <c r="J19" s="16">
        <v>44986</v>
      </c>
      <c r="K19" s="13">
        <v>59783</v>
      </c>
      <c r="L19" s="13">
        <v>5562</v>
      </c>
      <c r="M19" s="13">
        <v>4770</v>
      </c>
      <c r="N19" s="12">
        <v>2.54</v>
      </c>
      <c r="O19" s="12">
        <v>55699.93</v>
      </c>
      <c r="P19" s="12">
        <v>5571.67</v>
      </c>
      <c r="Q19" s="12">
        <v>3.46</v>
      </c>
    </row>
    <row r="20" spans="1:17" ht="12" customHeight="1" x14ac:dyDescent="0.2">
      <c r="A20" s="7" t="s">
        <v>31</v>
      </c>
      <c r="B20" s="12">
        <v>62.89</v>
      </c>
      <c r="C20" s="13">
        <v>213.9</v>
      </c>
      <c r="D20" s="13">
        <v>13452.5</v>
      </c>
      <c r="E20" s="13">
        <v>-457</v>
      </c>
      <c r="F20" s="14" t="s">
        <v>26</v>
      </c>
      <c r="G20" s="14" t="s">
        <v>26</v>
      </c>
      <c r="H20" s="13">
        <v>12995.5</v>
      </c>
      <c r="I20" s="12">
        <v>-8.7100000000000009</v>
      </c>
      <c r="J20" s="16">
        <v>44986</v>
      </c>
      <c r="K20" s="13">
        <v>6461</v>
      </c>
      <c r="L20" s="13">
        <v>1330</v>
      </c>
      <c r="M20" s="13">
        <v>1138</v>
      </c>
      <c r="N20" s="12">
        <v>5.78</v>
      </c>
      <c r="O20" s="12">
        <v>6133.44</v>
      </c>
      <c r="P20" s="12">
        <v>1539.18</v>
      </c>
      <c r="Q20" s="12">
        <v>5.37</v>
      </c>
    </row>
    <row r="21" spans="1:17" ht="12" customHeight="1" x14ac:dyDescent="0.2">
      <c r="A21" s="7" t="s">
        <v>32</v>
      </c>
      <c r="B21" s="12">
        <v>31.06</v>
      </c>
      <c r="C21" s="13">
        <v>4171</v>
      </c>
      <c r="D21" s="13">
        <v>129551.3</v>
      </c>
      <c r="E21" s="13">
        <v>21318</v>
      </c>
      <c r="F21" s="14" t="s">
        <v>26</v>
      </c>
      <c r="G21" s="12">
        <v>2344</v>
      </c>
      <c r="H21" s="13">
        <v>153213.29999999999</v>
      </c>
      <c r="I21" s="12">
        <v>15.56</v>
      </c>
      <c r="J21" s="16">
        <v>45044</v>
      </c>
      <c r="K21" s="13">
        <v>56416</v>
      </c>
      <c r="L21" s="13">
        <v>9855</v>
      </c>
      <c r="M21" s="13">
        <v>-2198</v>
      </c>
      <c r="N21" s="12">
        <v>-0.7</v>
      </c>
      <c r="O21" s="12">
        <v>53300.04</v>
      </c>
      <c r="P21" s="12">
        <v>13347.05</v>
      </c>
      <c r="Q21" s="14" t="s">
        <v>26</v>
      </c>
    </row>
    <row r="22" spans="1:17" ht="12" customHeight="1" x14ac:dyDescent="0.2">
      <c r="A22" s="7" t="s">
        <v>33</v>
      </c>
      <c r="B22" s="12">
        <v>116.8</v>
      </c>
      <c r="C22" s="13">
        <v>1115</v>
      </c>
      <c r="D22" s="13">
        <v>130232</v>
      </c>
      <c r="E22" s="13">
        <v>8639</v>
      </c>
      <c r="F22" s="14" t="s">
        <v>26</v>
      </c>
      <c r="G22" s="14" t="s">
        <v>26</v>
      </c>
      <c r="H22" s="13">
        <v>138871</v>
      </c>
      <c r="I22" s="12">
        <v>5.76</v>
      </c>
      <c r="J22" s="16">
        <v>44959</v>
      </c>
      <c r="K22" s="13">
        <v>42958</v>
      </c>
      <c r="L22" s="13">
        <v>16295</v>
      </c>
      <c r="M22" s="13">
        <v>14541</v>
      </c>
      <c r="N22" s="12">
        <v>10.44</v>
      </c>
      <c r="O22" s="12">
        <v>39551.65</v>
      </c>
      <c r="P22" s="12">
        <v>15256.79</v>
      </c>
      <c r="Q22" s="12">
        <v>9.93</v>
      </c>
    </row>
    <row r="23" spans="1:17" ht="12" customHeight="1" x14ac:dyDescent="0.2">
      <c r="A23" s="7" t="s">
        <v>34</v>
      </c>
      <c r="B23" s="12">
        <v>34.44</v>
      </c>
      <c r="C23" s="13">
        <v>319.3</v>
      </c>
      <c r="D23" s="13">
        <v>10997.7</v>
      </c>
      <c r="E23" s="13">
        <v>5490</v>
      </c>
      <c r="F23" s="14" t="s">
        <v>26</v>
      </c>
      <c r="G23" s="14" t="s">
        <v>26</v>
      </c>
      <c r="H23" s="13">
        <v>16487.7</v>
      </c>
      <c r="I23" s="12">
        <v>6.08</v>
      </c>
      <c r="J23" s="16">
        <v>44960</v>
      </c>
      <c r="K23" s="13">
        <v>15752</v>
      </c>
      <c r="L23" s="13">
        <v>1739</v>
      </c>
      <c r="M23" s="13">
        <v>872</v>
      </c>
      <c r="N23" s="12">
        <v>-0.3</v>
      </c>
      <c r="O23" s="12">
        <v>12221.77</v>
      </c>
      <c r="P23" s="12">
        <v>498.17</v>
      </c>
      <c r="Q23" s="12">
        <v>-3.25</v>
      </c>
    </row>
    <row r="24" spans="1:17" ht="12" customHeight="1" x14ac:dyDescent="0.2">
      <c r="A24" s="7" t="s">
        <v>35</v>
      </c>
      <c r="B24" s="12">
        <v>89.37</v>
      </c>
      <c r="C24" s="13">
        <v>1609.4</v>
      </c>
      <c r="D24" s="13">
        <v>143832.70000000001</v>
      </c>
      <c r="E24" s="13">
        <v>-2899</v>
      </c>
      <c r="F24" s="14" t="s">
        <v>26</v>
      </c>
      <c r="G24" s="14" t="s">
        <v>26</v>
      </c>
      <c r="H24" s="13">
        <v>140933.70000000001</v>
      </c>
      <c r="I24" s="12">
        <v>3.78</v>
      </c>
      <c r="J24" s="16">
        <v>44984</v>
      </c>
      <c r="K24" s="13">
        <v>23601</v>
      </c>
      <c r="L24" s="13">
        <v>4700</v>
      </c>
      <c r="M24" s="13">
        <v>1264</v>
      </c>
      <c r="N24" s="12">
        <v>0.84</v>
      </c>
      <c r="O24" s="12">
        <v>23591.23</v>
      </c>
      <c r="P24" s="12">
        <v>7149.65</v>
      </c>
      <c r="Q24" s="12">
        <v>3.02</v>
      </c>
    </row>
    <row r="25" spans="1:17" ht="10.5" x14ac:dyDescent="0.2">
      <c r="A25" s="7" t="s">
        <v>36</v>
      </c>
      <c r="B25" s="12">
        <v>169.68</v>
      </c>
      <c r="C25" s="13">
        <v>15821.9</v>
      </c>
      <c r="D25" s="13">
        <v>2684667.8</v>
      </c>
      <c r="E25" s="13">
        <v>-54340</v>
      </c>
      <c r="F25" s="14" t="s">
        <v>26</v>
      </c>
      <c r="G25" s="14" t="s">
        <v>26</v>
      </c>
      <c r="H25" s="13">
        <v>2630327.7999999998</v>
      </c>
      <c r="I25" s="12">
        <v>3.58</v>
      </c>
      <c r="J25" s="16">
        <v>44960</v>
      </c>
      <c r="K25" s="13">
        <v>387537</v>
      </c>
      <c r="L25" s="13">
        <v>125288</v>
      </c>
      <c r="M25" s="13">
        <v>113965</v>
      </c>
      <c r="N25" s="12">
        <v>5.87</v>
      </c>
      <c r="O25" s="12">
        <v>397148.5</v>
      </c>
      <c r="P25" s="12">
        <v>125332.62</v>
      </c>
      <c r="Q25" s="12">
        <v>6.17</v>
      </c>
    </row>
    <row r="26" spans="1:17" ht="10.5"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ht="10.5" x14ac:dyDescent="0.2">
      <c r="A28" s="7" t="s">
        <v>38</v>
      </c>
      <c r="B28" s="12">
        <v>116.8</v>
      </c>
      <c r="C28" s="13">
        <v>12697</v>
      </c>
      <c r="D28" s="13">
        <v>1368065.1</v>
      </c>
      <c r="E28" s="13">
        <v>114142</v>
      </c>
      <c r="F28" s="14" t="s">
        <v>26</v>
      </c>
      <c r="G28" s="12">
        <v>2344</v>
      </c>
      <c r="H28" s="13">
        <v>1282456.1000000001</v>
      </c>
      <c r="I28" s="12">
        <v>18.07</v>
      </c>
      <c r="J28" s="17" t="s">
        <v>26</v>
      </c>
      <c r="K28" s="13">
        <v>524897</v>
      </c>
      <c r="L28" s="13">
        <v>87496</v>
      </c>
      <c r="M28" s="13">
        <v>72163</v>
      </c>
      <c r="N28" s="12">
        <v>10.44</v>
      </c>
      <c r="O28" s="12">
        <v>573463.49</v>
      </c>
      <c r="P28" s="12">
        <v>119349.94</v>
      </c>
      <c r="Q28" s="12">
        <v>9.93</v>
      </c>
    </row>
    <row r="29" spans="1:17" ht="10.5" x14ac:dyDescent="0.2">
      <c r="A29" s="7" t="s">
        <v>39</v>
      </c>
      <c r="B29" s="12">
        <v>14.32</v>
      </c>
      <c r="C29" s="13">
        <v>213.9</v>
      </c>
      <c r="D29" s="13">
        <v>10997.7</v>
      </c>
      <c r="E29" s="13">
        <v>-85609</v>
      </c>
      <c r="F29" s="14" t="s">
        <v>26</v>
      </c>
      <c r="G29" s="12">
        <v>52</v>
      </c>
      <c r="H29" s="13">
        <v>12995.5</v>
      </c>
      <c r="I29" s="12">
        <v>-41.81</v>
      </c>
      <c r="J29" s="17" t="s">
        <v>26</v>
      </c>
      <c r="K29" s="13">
        <v>6461</v>
      </c>
      <c r="L29" s="13">
        <v>1330</v>
      </c>
      <c r="M29" s="13">
        <v>-2198</v>
      </c>
      <c r="N29" s="12">
        <v>-0.7</v>
      </c>
      <c r="O29" s="12">
        <v>6133.44</v>
      </c>
      <c r="P29" s="12">
        <v>498.17</v>
      </c>
      <c r="Q29" s="12">
        <v>-3.25</v>
      </c>
    </row>
    <row r="30" spans="1:17" ht="10.5" x14ac:dyDescent="0.2">
      <c r="A30" s="7" t="s">
        <v>40</v>
      </c>
      <c r="B30" s="12">
        <v>63.49</v>
      </c>
      <c r="C30" s="13">
        <v>3339.8</v>
      </c>
      <c r="D30" s="13">
        <v>295771.59999999998</v>
      </c>
      <c r="E30" s="13">
        <v>10442.200000000001</v>
      </c>
      <c r="F30" s="14" t="s">
        <v>26</v>
      </c>
      <c r="G30" s="12">
        <v>831</v>
      </c>
      <c r="H30" s="13">
        <v>306463.09999999998</v>
      </c>
      <c r="I30" s="12">
        <v>-0.13</v>
      </c>
      <c r="J30" s="17" t="s">
        <v>26</v>
      </c>
      <c r="K30" s="13">
        <v>114612.5</v>
      </c>
      <c r="L30" s="13">
        <v>19691.2</v>
      </c>
      <c r="M30" s="13">
        <v>11408.3</v>
      </c>
      <c r="N30" s="12">
        <v>2.74</v>
      </c>
      <c r="O30" s="12">
        <v>97856.55</v>
      </c>
      <c r="P30" s="12">
        <v>26974.04</v>
      </c>
      <c r="Q30" s="12">
        <v>3.67</v>
      </c>
    </row>
    <row r="31" spans="1:17" ht="10.5" x14ac:dyDescent="0.2">
      <c r="A31" s="7" t="s">
        <v>41</v>
      </c>
      <c r="B31" s="12">
        <v>53.19</v>
      </c>
      <c r="C31" s="13">
        <v>1205.4000000000001</v>
      </c>
      <c r="D31" s="13">
        <v>80675.7</v>
      </c>
      <c r="E31" s="13">
        <v>9513.5</v>
      </c>
      <c r="F31" s="14" t="s">
        <v>26</v>
      </c>
      <c r="G31" s="12">
        <v>97</v>
      </c>
      <c r="H31" s="13">
        <v>96322.5</v>
      </c>
      <c r="I31" s="12">
        <v>4.7699999999999996</v>
      </c>
      <c r="J31" s="17" t="s">
        <v>26</v>
      </c>
      <c r="K31" s="13">
        <v>49687</v>
      </c>
      <c r="L31" s="13">
        <v>6684.5</v>
      </c>
      <c r="M31" s="13">
        <v>3594.5</v>
      </c>
      <c r="N31" s="12">
        <v>1.69</v>
      </c>
      <c r="O31" s="12">
        <v>39551.65</v>
      </c>
      <c r="P31" s="12">
        <v>8284.9</v>
      </c>
      <c r="Q31" s="12">
        <v>3.46</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C9090-E384-4CBF-931E-CA2E608A264D}">
  <sheetPr codeName="Sheet4">
    <outlinePr summaryBelow="0" summaryRight="0"/>
  </sheetPr>
  <dimension ref="A4:IU50"/>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47</v>
      </c>
      <c r="B8" s="4" t="s">
        <v>3</v>
      </c>
    </row>
    <row r="9" spans="1:255" ht="10.5" x14ac:dyDescent="0.25">
      <c r="A9" s="3" t="s">
        <v>48</v>
      </c>
      <c r="B9" s="4" t="s">
        <v>5</v>
      </c>
    </row>
    <row r="10" spans="1:255" ht="10.5" x14ac:dyDescent="0.25">
      <c r="A10" s="3" t="s">
        <v>49</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4" t="s">
        <v>26</v>
      </c>
      <c r="H15" s="19">
        <v>10.75</v>
      </c>
      <c r="I15" s="19">
        <v>19.34</v>
      </c>
    </row>
    <row r="16" spans="1:255" ht="12" customHeight="1" x14ac:dyDescent="0.2">
      <c r="A16" s="7" t="s">
        <v>27</v>
      </c>
      <c r="B16" s="14" t="s">
        <v>26</v>
      </c>
      <c r="C16" s="14" t="s">
        <v>26</v>
      </c>
      <c r="D16" s="14" t="s">
        <v>26</v>
      </c>
      <c r="E16" s="14" t="s">
        <v>26</v>
      </c>
      <c r="F16" s="14" t="s">
        <v>26</v>
      </c>
      <c r="G16" s="19">
        <v>2.09</v>
      </c>
      <c r="H16" s="19">
        <v>12.97</v>
      </c>
      <c r="I16" s="19">
        <v>61.71</v>
      </c>
    </row>
    <row r="17" spans="1:9" ht="12" customHeight="1" x14ac:dyDescent="0.2">
      <c r="A17" s="7" t="s">
        <v>28</v>
      </c>
      <c r="B17" s="14" t="s">
        <v>26</v>
      </c>
      <c r="C17" s="14" t="s">
        <v>26</v>
      </c>
      <c r="D17" s="14" t="s">
        <v>26</v>
      </c>
      <c r="E17" s="14" t="s">
        <v>26</v>
      </c>
      <c r="F17" s="14" t="s">
        <v>26</v>
      </c>
      <c r="G17" s="19">
        <v>0.62</v>
      </c>
      <c r="H17" s="19">
        <v>5.71</v>
      </c>
      <c r="I17" s="19">
        <v>8.2100000000000009</v>
      </c>
    </row>
    <row r="18" spans="1:9" ht="12" customHeight="1" x14ac:dyDescent="0.2">
      <c r="A18" s="7" t="s">
        <v>29</v>
      </c>
      <c r="B18" s="14" t="s">
        <v>26</v>
      </c>
      <c r="C18" s="14" t="s">
        <v>26</v>
      </c>
      <c r="D18" s="14" t="s">
        <v>26</v>
      </c>
      <c r="E18" s="14" t="s">
        <v>26</v>
      </c>
      <c r="F18" s="14" t="s">
        <v>26</v>
      </c>
      <c r="G18" s="19">
        <v>1.02</v>
      </c>
      <c r="H18" s="19">
        <v>5.56</v>
      </c>
      <c r="I18" s="19">
        <v>7.36</v>
      </c>
    </row>
    <row r="19" spans="1:9" ht="12" customHeight="1" x14ac:dyDescent="0.2">
      <c r="A19" s="7" t="s">
        <v>30</v>
      </c>
      <c r="B19" s="14" t="s">
        <v>26</v>
      </c>
      <c r="C19" s="14" t="s">
        <v>26</v>
      </c>
      <c r="D19" s="14" t="s">
        <v>26</v>
      </c>
      <c r="E19" s="14" t="s">
        <v>26</v>
      </c>
      <c r="F19" s="14" t="s">
        <v>26</v>
      </c>
      <c r="G19" s="19">
        <v>0.71</v>
      </c>
      <c r="H19" s="19">
        <v>7.12</v>
      </c>
      <c r="I19" s="19">
        <v>8.59</v>
      </c>
    </row>
    <row r="20" spans="1:9" ht="12" customHeight="1" x14ac:dyDescent="0.2">
      <c r="A20" s="7" t="s">
        <v>31</v>
      </c>
      <c r="B20" s="14" t="s">
        <v>26</v>
      </c>
      <c r="C20" s="14" t="s">
        <v>26</v>
      </c>
      <c r="D20" s="14" t="s">
        <v>26</v>
      </c>
      <c r="E20" s="14" t="s">
        <v>26</v>
      </c>
      <c r="F20" s="14" t="s">
        <v>26</v>
      </c>
      <c r="G20" s="19">
        <v>2.12</v>
      </c>
      <c r="H20" s="19">
        <v>8.44</v>
      </c>
      <c r="I20" s="19">
        <v>11.71</v>
      </c>
    </row>
    <row r="21" spans="1:9" ht="12" customHeight="1" x14ac:dyDescent="0.2">
      <c r="A21" s="7" t="s">
        <v>32</v>
      </c>
      <c r="B21" s="14" t="s">
        <v>26</v>
      </c>
      <c r="C21" s="14" t="s">
        <v>26</v>
      </c>
      <c r="D21" s="14" t="s">
        <v>26</v>
      </c>
      <c r="E21" s="14" t="s">
        <v>26</v>
      </c>
      <c r="F21" s="14" t="s">
        <v>26</v>
      </c>
      <c r="G21" s="19">
        <v>2.87</v>
      </c>
      <c r="H21" s="19">
        <v>11.48</v>
      </c>
      <c r="I21" s="14" t="s">
        <v>26</v>
      </c>
    </row>
    <row r="22" spans="1:9" ht="12" customHeight="1" x14ac:dyDescent="0.2">
      <c r="A22" s="7" t="s">
        <v>33</v>
      </c>
      <c r="B22" s="14" t="s">
        <v>26</v>
      </c>
      <c r="C22" s="14" t="s">
        <v>26</v>
      </c>
      <c r="D22" s="14" t="s">
        <v>26</v>
      </c>
      <c r="E22" s="14" t="s">
        <v>26</v>
      </c>
      <c r="F22" s="14" t="s">
        <v>26</v>
      </c>
      <c r="G22" s="19">
        <v>3.51</v>
      </c>
      <c r="H22" s="19">
        <v>9.1</v>
      </c>
      <c r="I22" s="19">
        <v>11.77</v>
      </c>
    </row>
    <row r="23" spans="1:9" ht="12" customHeight="1" x14ac:dyDescent="0.2">
      <c r="A23" s="7" t="s">
        <v>34</v>
      </c>
      <c r="B23" s="14" t="s">
        <v>26</v>
      </c>
      <c r="C23" s="14" t="s">
        <v>26</v>
      </c>
      <c r="D23" s="14" t="s">
        <v>26</v>
      </c>
      <c r="E23" s="14" t="s">
        <v>26</v>
      </c>
      <c r="F23" s="14" t="s">
        <v>26</v>
      </c>
      <c r="G23" s="19">
        <v>1.35</v>
      </c>
      <c r="H23" s="19">
        <v>33.1</v>
      </c>
      <c r="I23" s="14" t="s">
        <v>58</v>
      </c>
    </row>
    <row r="24" spans="1:9" ht="12" customHeight="1" x14ac:dyDescent="0.2">
      <c r="A24" s="7" t="s">
        <v>35</v>
      </c>
      <c r="B24" s="14" t="s">
        <v>26</v>
      </c>
      <c r="C24" s="14" t="s">
        <v>26</v>
      </c>
      <c r="D24" s="14" t="s">
        <v>26</v>
      </c>
      <c r="E24" s="14" t="s">
        <v>26</v>
      </c>
      <c r="F24" s="14" t="s">
        <v>26</v>
      </c>
      <c r="G24" s="19">
        <v>5.97</v>
      </c>
      <c r="H24" s="19">
        <v>19.71</v>
      </c>
      <c r="I24" s="19">
        <v>29.62</v>
      </c>
    </row>
    <row r="25" spans="1:9" ht="10.5" x14ac:dyDescent="0.2">
      <c r="A25" s="7" t="s">
        <v>36</v>
      </c>
      <c r="B25" s="14" t="s">
        <v>26</v>
      </c>
      <c r="C25" s="14" t="s">
        <v>26</v>
      </c>
      <c r="D25" s="14" t="s">
        <v>26</v>
      </c>
      <c r="E25" s="14" t="s">
        <v>26</v>
      </c>
      <c r="F25" s="14" t="s">
        <v>26</v>
      </c>
      <c r="G25" s="19">
        <v>6.62</v>
      </c>
      <c r="H25" s="19">
        <v>20.99</v>
      </c>
      <c r="I25" s="19">
        <v>27.48</v>
      </c>
    </row>
    <row r="26" spans="1:9" ht="10.5"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ht="10.5" x14ac:dyDescent="0.2">
      <c r="A28" s="7" t="s">
        <v>38</v>
      </c>
      <c r="B28" s="14" t="s">
        <v>26</v>
      </c>
      <c r="C28" s="14" t="s">
        <v>26</v>
      </c>
      <c r="D28" s="14" t="s">
        <v>26</v>
      </c>
      <c r="E28" s="14" t="s">
        <v>26</v>
      </c>
      <c r="F28" s="14" t="s">
        <v>26</v>
      </c>
      <c r="G28" s="19">
        <v>5.97</v>
      </c>
      <c r="H28" s="19">
        <v>33.1</v>
      </c>
      <c r="I28" s="19">
        <v>61.71</v>
      </c>
    </row>
    <row r="29" spans="1:9" ht="10.5" x14ac:dyDescent="0.2">
      <c r="A29" s="7" t="s">
        <v>39</v>
      </c>
      <c r="B29" s="14" t="s">
        <v>26</v>
      </c>
      <c r="C29" s="14" t="s">
        <v>26</v>
      </c>
      <c r="D29" s="14" t="s">
        <v>26</v>
      </c>
      <c r="E29" s="14" t="s">
        <v>26</v>
      </c>
      <c r="F29" s="14" t="s">
        <v>26</v>
      </c>
      <c r="G29" s="19">
        <v>0.62</v>
      </c>
      <c r="H29" s="19">
        <v>5.56</v>
      </c>
      <c r="I29" s="19">
        <v>7.36</v>
      </c>
    </row>
    <row r="30" spans="1:9" ht="10.5" x14ac:dyDescent="0.2">
      <c r="A30" s="7" t="s">
        <v>40</v>
      </c>
      <c r="B30" s="14" t="s">
        <v>26</v>
      </c>
      <c r="C30" s="14" t="s">
        <v>26</v>
      </c>
      <c r="D30" s="14" t="s">
        <v>26</v>
      </c>
      <c r="E30" s="14" t="s">
        <v>26</v>
      </c>
      <c r="F30" s="14" t="s">
        <v>26</v>
      </c>
      <c r="G30" s="19">
        <v>2.25</v>
      </c>
      <c r="H30" s="19">
        <v>12.39</v>
      </c>
      <c r="I30" s="19">
        <v>19.79</v>
      </c>
    </row>
    <row r="31" spans="1:9" ht="10.5" x14ac:dyDescent="0.2">
      <c r="A31" s="7" t="s">
        <v>41</v>
      </c>
      <c r="B31" s="14" t="s">
        <v>26</v>
      </c>
      <c r="C31" s="14" t="s">
        <v>26</v>
      </c>
      <c r="D31" s="14" t="s">
        <v>26</v>
      </c>
      <c r="E31" s="14" t="s">
        <v>26</v>
      </c>
      <c r="F31" s="14" t="s">
        <v>26</v>
      </c>
      <c r="G31" s="19">
        <v>2.09</v>
      </c>
      <c r="H31" s="19">
        <v>9.92</v>
      </c>
      <c r="I31" s="19">
        <v>11.74</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27E86-C64C-42EB-B583-649DD870DB7A}">
  <sheetPr codeName="Sheet5">
    <outlinePr summaryBelow="0" summaryRight="0"/>
  </sheetPr>
  <dimension ref="A4:IU50"/>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59</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60</v>
      </c>
      <c r="B8" s="4" t="s">
        <v>3</v>
      </c>
    </row>
    <row r="9" spans="1:255" ht="10.5" x14ac:dyDescent="0.25">
      <c r="A9" s="3" t="s">
        <v>61</v>
      </c>
      <c r="B9" s="4" t="s">
        <v>5</v>
      </c>
    </row>
    <row r="10" spans="1:255" ht="10.5" x14ac:dyDescent="0.25">
      <c r="A10" s="3" t="s">
        <v>62</v>
      </c>
      <c r="B10" s="5">
        <v>45045</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7" t="s">
        <v>8</v>
      </c>
      <c r="B14" s="11" t="s">
        <v>63</v>
      </c>
      <c r="C14" s="11" t="s">
        <v>64</v>
      </c>
      <c r="D14" s="11" t="s">
        <v>65</v>
      </c>
      <c r="E14" s="11" t="s">
        <v>66</v>
      </c>
      <c r="F14" s="11" t="s">
        <v>67</v>
      </c>
      <c r="G14" s="11" t="s">
        <v>68</v>
      </c>
      <c r="H14" s="11" t="s">
        <v>69</v>
      </c>
      <c r="I14" s="11" t="s">
        <v>70</v>
      </c>
      <c r="J14" s="11" t="s">
        <v>71</v>
      </c>
      <c r="K14" s="11" t="s">
        <v>72</v>
      </c>
      <c r="L14" s="11" t="s">
        <v>73</v>
      </c>
      <c r="M14" s="11" t="s">
        <v>74</v>
      </c>
    </row>
    <row r="15" spans="1:255" ht="12" customHeight="1" x14ac:dyDescent="0.2">
      <c r="A15" s="7" t="s">
        <v>25</v>
      </c>
      <c r="B15" s="20">
        <v>0.55300000000000005</v>
      </c>
      <c r="C15" s="20">
        <v>0.307</v>
      </c>
      <c r="D15" s="20">
        <v>0.254</v>
      </c>
      <c r="E15" s="21">
        <v>0.20580000000000001</v>
      </c>
      <c r="F15" s="21">
        <v>5.28E-2</v>
      </c>
      <c r="G15" s="21">
        <v>-8.7099999999999997E-2</v>
      </c>
      <c r="H15" s="21">
        <v>-0.1239</v>
      </c>
      <c r="I15" s="21">
        <v>-0.214</v>
      </c>
      <c r="J15" s="21">
        <v>0.1016</v>
      </c>
      <c r="K15" s="22">
        <v>0.3</v>
      </c>
      <c r="L15" s="21">
        <v>0.16889999999999999</v>
      </c>
      <c r="M15" s="12">
        <v>1.1000000000000001</v>
      </c>
    </row>
    <row r="16" spans="1:255" ht="12" customHeight="1" x14ac:dyDescent="0.2">
      <c r="A16" s="7" t="s">
        <v>27</v>
      </c>
      <c r="B16" s="20">
        <v>0.44700000000000001</v>
      </c>
      <c r="C16" s="20">
        <v>0.109</v>
      </c>
      <c r="D16" s="20">
        <v>2.5000000000000001E-2</v>
      </c>
      <c r="E16" s="21">
        <v>8.2000000000000007E-3</v>
      </c>
      <c r="F16" s="21">
        <v>9.8699999999999996E-2</v>
      </c>
      <c r="G16" s="21">
        <v>2.1499999999999998E-2</v>
      </c>
      <c r="H16" s="21">
        <v>-0.3286</v>
      </c>
      <c r="I16" s="21">
        <v>-0.79949999999999999</v>
      </c>
      <c r="J16" s="21">
        <v>0.53610000000000002</v>
      </c>
      <c r="K16" s="22">
        <v>2.6</v>
      </c>
      <c r="L16" s="21">
        <v>0.37530000000000002</v>
      </c>
      <c r="M16" s="12">
        <v>1.26</v>
      </c>
    </row>
    <row r="17" spans="1:13" ht="12" customHeight="1" x14ac:dyDescent="0.2">
      <c r="A17" s="7" t="s">
        <v>28</v>
      </c>
      <c r="B17" s="20">
        <v>0.222</v>
      </c>
      <c r="C17" s="20">
        <v>7.5999999999999998E-2</v>
      </c>
      <c r="D17" s="20">
        <v>5.6000000000000001E-2</v>
      </c>
      <c r="E17" s="21">
        <v>2.3900000000000001E-2</v>
      </c>
      <c r="F17" s="21">
        <v>1.09E-2</v>
      </c>
      <c r="G17" s="21">
        <v>-7.1800000000000003E-2</v>
      </c>
      <c r="H17" s="21">
        <v>0.2387</v>
      </c>
      <c r="I17" s="21">
        <v>-0.56100000000000005</v>
      </c>
      <c r="J17" s="21">
        <v>1.1102000000000001</v>
      </c>
      <c r="K17" s="22">
        <v>3.7</v>
      </c>
      <c r="L17" s="21">
        <v>5.8299999999999998E-2</v>
      </c>
      <c r="M17" s="12">
        <v>0.97</v>
      </c>
    </row>
    <row r="18" spans="1:13" ht="12" customHeight="1" x14ac:dyDescent="0.2">
      <c r="A18" s="7" t="s">
        <v>29</v>
      </c>
      <c r="B18" s="20">
        <v>0.33500000000000002</v>
      </c>
      <c r="C18" s="20">
        <v>0.16800000000000001</v>
      </c>
      <c r="D18" s="20">
        <v>8.2000000000000003E-2</v>
      </c>
      <c r="E18" s="21">
        <v>2.92E-2</v>
      </c>
      <c r="F18" s="21">
        <v>5.1299999999999998E-2</v>
      </c>
      <c r="G18" s="21">
        <v>2.1299999999999999E-2</v>
      </c>
      <c r="H18" s="21">
        <v>5.7700000000000001E-2</v>
      </c>
      <c r="I18" s="21">
        <v>-0.76970000000000005</v>
      </c>
      <c r="J18" s="21">
        <v>0.39429999999999998</v>
      </c>
      <c r="K18" s="22">
        <v>2.6</v>
      </c>
      <c r="L18" s="21">
        <v>4.7199999999999999E-2</v>
      </c>
      <c r="M18" s="12">
        <v>1.24</v>
      </c>
    </row>
    <row r="19" spans="1:13" ht="12" customHeight="1" x14ac:dyDescent="0.2">
      <c r="A19" s="7" t="s">
        <v>30</v>
      </c>
      <c r="B19" s="20">
        <v>0.19700000000000001</v>
      </c>
      <c r="C19" s="20">
        <v>9.2999999999999999E-2</v>
      </c>
      <c r="D19" s="20">
        <v>0.08</v>
      </c>
      <c r="E19" s="21">
        <v>4.36E-2</v>
      </c>
      <c r="F19" s="21">
        <v>-7.8399999999999997E-2</v>
      </c>
      <c r="G19" s="21">
        <v>-0.1242</v>
      </c>
      <c r="H19" s="21">
        <v>-0.1439</v>
      </c>
      <c r="I19" s="21">
        <v>-0.60070000000000001</v>
      </c>
      <c r="J19" s="21">
        <v>1.4426000000000001</v>
      </c>
      <c r="K19" s="22">
        <v>2.1</v>
      </c>
      <c r="L19" s="21">
        <v>-0.03</v>
      </c>
      <c r="M19" s="12">
        <v>1.02</v>
      </c>
    </row>
    <row r="20" spans="1:13" ht="12" customHeight="1" x14ac:dyDescent="0.2">
      <c r="A20" s="7" t="s">
        <v>31</v>
      </c>
      <c r="B20" s="20">
        <v>0.65400000000000003</v>
      </c>
      <c r="C20" s="20">
        <v>0.20599999999999999</v>
      </c>
      <c r="D20" s="20">
        <v>0.17599999999999999</v>
      </c>
      <c r="E20" s="21">
        <v>0.1993</v>
      </c>
      <c r="F20" s="21">
        <v>4.3299999999999998E-2</v>
      </c>
      <c r="G20" s="21">
        <v>-2.4199999999999999E-2</v>
      </c>
      <c r="H20" s="21">
        <v>-5.3199999999999997E-2</v>
      </c>
      <c r="I20" s="21">
        <v>0.2727</v>
      </c>
      <c r="J20" s="21">
        <v>0.70940000000000003</v>
      </c>
      <c r="K20" s="22">
        <v>1.9</v>
      </c>
      <c r="L20" s="21">
        <v>6.4699999999999994E-2</v>
      </c>
      <c r="M20" s="12">
        <v>1.18</v>
      </c>
    </row>
    <row r="21" spans="1:13" ht="12" customHeight="1" x14ac:dyDescent="0.2">
      <c r="A21" s="7" t="s">
        <v>32</v>
      </c>
      <c r="B21" s="20">
        <v>0.38300000000000001</v>
      </c>
      <c r="C21" s="20">
        <v>0.17499999999999999</v>
      </c>
      <c r="D21" s="20">
        <v>-3.9E-2</v>
      </c>
      <c r="E21" s="21">
        <v>-5.0599999999999999E-2</v>
      </c>
      <c r="F21" s="21">
        <v>-0.27400000000000002</v>
      </c>
      <c r="G21" s="21">
        <v>-0.68759999999999999</v>
      </c>
      <c r="H21" s="14" t="s">
        <v>26</v>
      </c>
      <c r="I21" s="14" t="s">
        <v>26</v>
      </c>
      <c r="J21" s="21">
        <v>0.33360000000000001</v>
      </c>
      <c r="K21" s="22">
        <v>4.7</v>
      </c>
      <c r="L21" s="21">
        <v>3.3300000000000003E-2</v>
      </c>
      <c r="M21" s="12">
        <v>0.88</v>
      </c>
    </row>
    <row r="22" spans="1:13" ht="12" customHeight="1" x14ac:dyDescent="0.2">
      <c r="A22" s="7" t="s">
        <v>33</v>
      </c>
      <c r="B22" s="20">
        <v>0.57199999999999995</v>
      </c>
      <c r="C22" s="20">
        <v>0.379</v>
      </c>
      <c r="D22" s="20">
        <v>0.33800000000000002</v>
      </c>
      <c r="E22" s="21">
        <v>0.27400000000000002</v>
      </c>
      <c r="F22" s="21">
        <v>0.19209999999999999</v>
      </c>
      <c r="G22" s="21">
        <v>0.27789999999999998</v>
      </c>
      <c r="H22" s="21">
        <v>0.30680000000000002</v>
      </c>
      <c r="I22" s="21">
        <v>0.1787</v>
      </c>
      <c r="J22" s="21">
        <v>0.47289999999999999</v>
      </c>
      <c r="K22" s="22">
        <v>1</v>
      </c>
      <c r="L22" s="21">
        <v>5.8299999999999998E-2</v>
      </c>
      <c r="M22" s="12">
        <v>1.27</v>
      </c>
    </row>
    <row r="23" spans="1:13" ht="12" customHeight="1" x14ac:dyDescent="0.2">
      <c r="A23" s="7" t="s">
        <v>34</v>
      </c>
      <c r="B23" s="20">
        <v>0.26300000000000001</v>
      </c>
      <c r="C23" s="20">
        <v>0.11</v>
      </c>
      <c r="D23" s="20">
        <v>5.5E-2</v>
      </c>
      <c r="E23" s="21">
        <v>-5.8999999999999999E-3</v>
      </c>
      <c r="F23" s="21">
        <v>-0.16839999999999999</v>
      </c>
      <c r="G23" s="21">
        <v>-0.4869</v>
      </c>
      <c r="H23" s="21">
        <v>-0.63590000000000002</v>
      </c>
      <c r="I23" s="14" t="s">
        <v>26</v>
      </c>
      <c r="J23" s="21">
        <v>0.378</v>
      </c>
      <c r="K23" s="22">
        <v>4.0999999999999996</v>
      </c>
      <c r="L23" s="21">
        <v>-5.8599999999999999E-2</v>
      </c>
      <c r="M23" s="12">
        <v>1.69</v>
      </c>
    </row>
    <row r="24" spans="1:13" ht="12" customHeight="1" x14ac:dyDescent="0.2">
      <c r="A24" s="7" t="s">
        <v>35</v>
      </c>
      <c r="B24" s="20">
        <v>0.51100000000000001</v>
      </c>
      <c r="C24" s="20">
        <v>0.19900000000000001</v>
      </c>
      <c r="D24" s="20">
        <v>5.3999999999999999E-2</v>
      </c>
      <c r="E24" s="21">
        <v>5.5899999999999998E-2</v>
      </c>
      <c r="F24" s="21">
        <v>0.43609999999999999</v>
      </c>
      <c r="G24" s="21">
        <v>0.15909999999999999</v>
      </c>
      <c r="H24" s="21">
        <v>-0.65349999999999997</v>
      </c>
      <c r="I24" s="21">
        <v>-0.58250000000000002</v>
      </c>
      <c r="J24" s="21">
        <v>5.1200000000000002E-2</v>
      </c>
      <c r="K24" s="22">
        <v>0.6</v>
      </c>
      <c r="L24" s="21">
        <v>0.2747</v>
      </c>
      <c r="M24" s="12">
        <v>1.94</v>
      </c>
    </row>
    <row r="25" spans="1:13" ht="10.5" x14ac:dyDescent="0.2">
      <c r="A25" s="7" t="s">
        <v>36</v>
      </c>
      <c r="B25" s="20">
        <v>0.43099999999999999</v>
      </c>
      <c r="C25" s="20">
        <v>0.32300000000000001</v>
      </c>
      <c r="D25" s="20">
        <v>0.29399999999999998</v>
      </c>
      <c r="E25" s="21">
        <v>0.24560000000000001</v>
      </c>
      <c r="F25" s="21">
        <v>2.4400000000000002E-2</v>
      </c>
      <c r="G25" s="21">
        <v>-2.29E-2</v>
      </c>
      <c r="H25" s="21">
        <v>-2.5100000000000001E-2</v>
      </c>
      <c r="I25" s="21">
        <v>-5.3499999999999999E-2</v>
      </c>
      <c r="J25" s="21">
        <v>0.66200000000000003</v>
      </c>
      <c r="K25" s="22">
        <v>0.8</v>
      </c>
      <c r="L25" s="21">
        <v>0.1031</v>
      </c>
      <c r="M25" s="12">
        <v>1.3</v>
      </c>
    </row>
    <row r="26" spans="1:13" ht="10.5" x14ac:dyDescent="0.2">
      <c r="A26" s="8"/>
      <c r="B26" s="8"/>
      <c r="C26" s="8"/>
      <c r="D26" s="8"/>
      <c r="E26" s="8"/>
      <c r="F26" s="8"/>
      <c r="G26" s="8"/>
      <c r="H26" s="8"/>
      <c r="I26" s="8"/>
      <c r="J26" s="8"/>
      <c r="K26" s="8"/>
      <c r="L26" s="8"/>
      <c r="M26" s="8"/>
    </row>
    <row r="27" spans="1:13" ht="12" customHeight="1" x14ac:dyDescent="0.2">
      <c r="A27" s="7" t="s">
        <v>37</v>
      </c>
      <c r="B27" s="11" t="s">
        <v>63</v>
      </c>
      <c r="C27" s="11" t="s">
        <v>64</v>
      </c>
      <c r="D27" s="11" t="s">
        <v>65</v>
      </c>
      <c r="E27" s="11" t="s">
        <v>66</v>
      </c>
      <c r="F27" s="11" t="s">
        <v>67</v>
      </c>
      <c r="G27" s="11" t="s">
        <v>68</v>
      </c>
      <c r="H27" s="11" t="s">
        <v>69</v>
      </c>
      <c r="I27" s="11" t="s">
        <v>70</v>
      </c>
      <c r="J27" s="11" t="s">
        <v>71</v>
      </c>
      <c r="K27" s="11" t="s">
        <v>72</v>
      </c>
      <c r="L27" s="11" t="s">
        <v>73</v>
      </c>
      <c r="M27" s="11" t="s">
        <v>74</v>
      </c>
    </row>
    <row r="28" spans="1:13" ht="10.5" x14ac:dyDescent="0.2">
      <c r="A28" s="7" t="s">
        <v>38</v>
      </c>
      <c r="B28" s="20">
        <v>0.65400000000000003</v>
      </c>
      <c r="C28" s="20">
        <v>0.379</v>
      </c>
      <c r="D28" s="20">
        <v>0.33800000000000002</v>
      </c>
      <c r="E28" s="21">
        <v>0.27400000000000002</v>
      </c>
      <c r="F28" s="21">
        <v>0.43609999999999999</v>
      </c>
      <c r="G28" s="21">
        <v>0.27789999999999998</v>
      </c>
      <c r="H28" s="21">
        <v>0.30680000000000002</v>
      </c>
      <c r="I28" s="21">
        <v>0.2727</v>
      </c>
      <c r="J28" s="21">
        <v>1.4426000000000001</v>
      </c>
      <c r="K28" s="22">
        <v>4.7</v>
      </c>
      <c r="L28" s="21">
        <v>0.37530000000000002</v>
      </c>
      <c r="M28" s="12">
        <v>1.94</v>
      </c>
    </row>
    <row r="29" spans="1:13" ht="10.5" x14ac:dyDescent="0.2">
      <c r="A29" s="7" t="s">
        <v>39</v>
      </c>
      <c r="B29" s="20">
        <v>0.19700000000000001</v>
      </c>
      <c r="C29" s="20">
        <v>7.5999999999999998E-2</v>
      </c>
      <c r="D29" s="20">
        <v>-3.9E-2</v>
      </c>
      <c r="E29" s="21">
        <v>-5.0599999999999999E-2</v>
      </c>
      <c r="F29" s="21">
        <v>-0.27400000000000002</v>
      </c>
      <c r="G29" s="21">
        <v>-0.68759999999999999</v>
      </c>
      <c r="H29" s="21">
        <v>-0.65349999999999997</v>
      </c>
      <c r="I29" s="21">
        <v>-0.79949999999999999</v>
      </c>
      <c r="J29" s="21">
        <v>5.1200000000000002E-2</v>
      </c>
      <c r="K29" s="22">
        <v>0.3</v>
      </c>
      <c r="L29" s="21">
        <v>-5.8599999999999999E-2</v>
      </c>
      <c r="M29" s="12">
        <v>0.88</v>
      </c>
    </row>
    <row r="30" spans="1:13" ht="10.5" x14ac:dyDescent="0.2">
      <c r="A30" s="7" t="s">
        <v>40</v>
      </c>
      <c r="B30" s="20">
        <v>0.41399999999999998</v>
      </c>
      <c r="C30" s="20">
        <v>0.182</v>
      </c>
      <c r="D30" s="20">
        <v>0.108</v>
      </c>
      <c r="E30" s="21">
        <v>7.8299999999999995E-2</v>
      </c>
      <c r="F30" s="21">
        <v>3.6400000000000002E-2</v>
      </c>
      <c r="G30" s="21">
        <v>-0.1002</v>
      </c>
      <c r="H30" s="21">
        <v>-0.1484</v>
      </c>
      <c r="I30" s="21">
        <v>-0.38450000000000001</v>
      </c>
      <c r="J30" s="21">
        <v>0.55300000000000005</v>
      </c>
      <c r="K30" s="22">
        <v>2.4</v>
      </c>
      <c r="L30" s="21">
        <v>9.9199999999999997E-2</v>
      </c>
      <c r="M30" s="12">
        <v>1.25</v>
      </c>
    </row>
    <row r="31" spans="1:13" ht="10.5" x14ac:dyDescent="0.2">
      <c r="A31" s="7" t="s">
        <v>41</v>
      </c>
      <c r="B31" s="20">
        <v>0.41499999999999998</v>
      </c>
      <c r="C31" s="20">
        <v>0.17100000000000001</v>
      </c>
      <c r="D31" s="20">
        <v>6.8000000000000005E-2</v>
      </c>
      <c r="E31" s="21">
        <v>3.6400000000000002E-2</v>
      </c>
      <c r="F31" s="21">
        <v>4.7300000000000002E-2</v>
      </c>
      <c r="G31" s="21">
        <v>-4.8000000000000001E-2</v>
      </c>
      <c r="H31" s="21">
        <v>-0.1239</v>
      </c>
      <c r="I31" s="21">
        <v>-0.57179999999999997</v>
      </c>
      <c r="J31" s="21">
        <v>0.43359999999999999</v>
      </c>
      <c r="K31" s="22">
        <v>2.2999999999999998</v>
      </c>
      <c r="L31" s="21">
        <v>5.8299999999999998E-2</v>
      </c>
      <c r="M31" s="12">
        <v>1.21</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53D4-3FFA-4B94-B616-35A298EA9290}">
  <sheetPr codeName="Sheet6">
    <outlinePr summaryBelow="0" summaryRight="0"/>
  </sheetPr>
  <dimension ref="A4:IU44"/>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76</v>
      </c>
      <c r="B8" s="4" t="s">
        <v>3</v>
      </c>
    </row>
    <row r="9" spans="1:255" ht="10.5" x14ac:dyDescent="0.25">
      <c r="A9" s="3" t="s">
        <v>77</v>
      </c>
      <c r="B9" s="4" t="s">
        <v>5</v>
      </c>
    </row>
    <row r="10" spans="1:255" ht="10.5" x14ac:dyDescent="0.25">
      <c r="A10" s="3" t="s">
        <v>78</v>
      </c>
      <c r="B10" s="5">
        <v>45045</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ht="10.5" x14ac:dyDescent="0.2">
      <c r="A25" s="8"/>
      <c r="B25" s="8"/>
      <c r="C25" s="8"/>
    </row>
    <row r="26" spans="1:3" ht="10.5"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FA3CD-F897-4FFB-89AD-55CCDA71E50F}">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104</v>
      </c>
      <c r="B8" s="4" t="s">
        <v>3</v>
      </c>
    </row>
    <row r="9" spans="1:255" ht="10.5" x14ac:dyDescent="0.25">
      <c r="A9" s="3" t="s">
        <v>105</v>
      </c>
      <c r="B9" s="4" t="s">
        <v>5</v>
      </c>
    </row>
    <row r="10" spans="1:255" ht="10.5" x14ac:dyDescent="0.25">
      <c r="A10" s="3" t="s">
        <v>106</v>
      </c>
      <c r="B10" s="5">
        <v>45045</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387537</v>
      </c>
      <c r="C15" s="13">
        <v>125288</v>
      </c>
      <c r="D15" s="13">
        <v>113965</v>
      </c>
      <c r="E15" s="12">
        <v>397148.5</v>
      </c>
      <c r="F15" s="12">
        <v>125332.62</v>
      </c>
      <c r="G15" s="12">
        <v>5.91</v>
      </c>
      <c r="H15" s="12">
        <v>6.17</v>
      </c>
      <c r="I15" s="12">
        <v>3.58</v>
      </c>
    </row>
    <row r="16" spans="1:255" ht="10.5" x14ac:dyDescent="0.2">
      <c r="A16" s="8"/>
      <c r="B16" s="8"/>
      <c r="C16" s="8"/>
      <c r="D16" s="8"/>
      <c r="E16" s="8"/>
      <c r="F16" s="8"/>
      <c r="G16" s="8"/>
      <c r="H16" s="8"/>
      <c r="I16" s="8"/>
    </row>
    <row r="17" spans="1:9" ht="10.5" x14ac:dyDescent="0.2">
      <c r="A17" s="9"/>
      <c r="B17" s="9" t="s">
        <v>108</v>
      </c>
      <c r="C17" s="9" t="s">
        <v>108</v>
      </c>
      <c r="D17" s="9" t="s">
        <v>108</v>
      </c>
      <c r="E17" s="9" t="s">
        <v>109</v>
      </c>
      <c r="F17" s="9" t="s">
        <v>108</v>
      </c>
      <c r="G17" s="9" t="s">
        <v>108</v>
      </c>
      <c r="H17" s="9" t="s">
        <v>110</v>
      </c>
      <c r="I17" s="9" t="s">
        <v>108</v>
      </c>
    </row>
    <row r="18" spans="1:9" ht="21" x14ac:dyDescent="0.2">
      <c r="A18" s="9"/>
      <c r="B18" s="11" t="s">
        <v>50</v>
      </c>
      <c r="C18" s="11" t="s">
        <v>51</v>
      </c>
      <c r="D18" s="11" t="s">
        <v>52</v>
      </c>
      <c r="E18" s="11" t="s">
        <v>111</v>
      </c>
      <c r="F18" s="11" t="s">
        <v>112</v>
      </c>
      <c r="G18" s="11" t="s">
        <v>53</v>
      </c>
      <c r="H18" s="11" t="s">
        <v>113</v>
      </c>
      <c r="I18" s="11" t="s">
        <v>54</v>
      </c>
    </row>
    <row r="19" spans="1:9" ht="10.5" x14ac:dyDescent="0.2">
      <c r="A19" s="9" t="s">
        <v>38</v>
      </c>
      <c r="B19" s="14" t="s">
        <v>58</v>
      </c>
      <c r="C19" s="14" t="s">
        <v>58</v>
      </c>
      <c r="D19" s="14" t="s">
        <v>58</v>
      </c>
      <c r="E19" s="19">
        <v>5.97</v>
      </c>
      <c r="F19" s="19">
        <v>33.1</v>
      </c>
      <c r="G19" s="14" t="s">
        <v>58</v>
      </c>
      <c r="H19" s="19">
        <v>61.71</v>
      </c>
      <c r="I19" s="14" t="s">
        <v>58</v>
      </c>
    </row>
    <row r="20" spans="1:9" ht="10.5" x14ac:dyDescent="0.2">
      <c r="A20" s="9" t="s">
        <v>39</v>
      </c>
      <c r="B20" s="14" t="s">
        <v>58</v>
      </c>
      <c r="C20" s="14" t="s">
        <v>58</v>
      </c>
      <c r="D20" s="14" t="s">
        <v>58</v>
      </c>
      <c r="E20" s="19">
        <v>0.62</v>
      </c>
      <c r="F20" s="19">
        <v>5.56</v>
      </c>
      <c r="G20" s="14" t="s">
        <v>58</v>
      </c>
      <c r="H20" s="19">
        <v>7.36</v>
      </c>
      <c r="I20" s="14" t="s">
        <v>58</v>
      </c>
    </row>
    <row r="21" spans="1:9" ht="10.5" x14ac:dyDescent="0.2">
      <c r="A21" s="9" t="s">
        <v>40</v>
      </c>
      <c r="B21" s="14" t="s">
        <v>58</v>
      </c>
      <c r="C21" s="14" t="s">
        <v>58</v>
      </c>
      <c r="D21" s="14" t="s">
        <v>58</v>
      </c>
      <c r="E21" s="19">
        <v>2.25</v>
      </c>
      <c r="F21" s="19">
        <v>12.39</v>
      </c>
      <c r="G21" s="14" t="s">
        <v>58</v>
      </c>
      <c r="H21" s="19">
        <v>19.79</v>
      </c>
      <c r="I21" s="14" t="s">
        <v>58</v>
      </c>
    </row>
    <row r="22" spans="1:9" ht="10.5" x14ac:dyDescent="0.2">
      <c r="A22" s="9" t="s">
        <v>41</v>
      </c>
      <c r="B22" s="14" t="s">
        <v>58</v>
      </c>
      <c r="C22" s="14" t="s">
        <v>58</v>
      </c>
      <c r="D22" s="14" t="s">
        <v>58</v>
      </c>
      <c r="E22" s="19">
        <v>2.09</v>
      </c>
      <c r="F22" s="19">
        <v>9.92</v>
      </c>
      <c r="G22" s="14" t="s">
        <v>58</v>
      </c>
      <c r="H22" s="19">
        <v>11.74</v>
      </c>
      <c r="I22" s="14" t="s">
        <v>58</v>
      </c>
    </row>
    <row r="23" spans="1:9" ht="10.5" x14ac:dyDescent="0.2">
      <c r="A23" s="8"/>
      <c r="B23" s="8"/>
      <c r="C23" s="8"/>
      <c r="D23" s="8"/>
      <c r="E23" s="8"/>
      <c r="F23" s="8"/>
      <c r="G23" s="8"/>
      <c r="H23" s="8"/>
      <c r="I23" s="8"/>
    </row>
    <row r="24" spans="1:9" ht="10.5" x14ac:dyDescent="0.2">
      <c r="A24" s="9" t="s">
        <v>114</v>
      </c>
      <c r="B24" s="9"/>
      <c r="C24" s="9"/>
      <c r="D24" s="9"/>
      <c r="E24" s="9"/>
      <c r="F24" s="9"/>
      <c r="G24" s="9"/>
      <c r="H24" s="9"/>
      <c r="I24" s="9"/>
    </row>
    <row r="25" spans="1:9" ht="10.5" x14ac:dyDescent="0.2">
      <c r="A25" s="7" t="s">
        <v>38</v>
      </c>
      <c r="B25" s="14" t="s">
        <v>115</v>
      </c>
      <c r="C25" s="14" t="s">
        <v>115</v>
      </c>
      <c r="D25" s="14" t="s">
        <v>115</v>
      </c>
      <c r="E25" s="12">
        <v>2372558.6800000002</v>
      </c>
      <c r="F25" s="12">
        <v>4148078.74</v>
      </c>
      <c r="G25" s="8"/>
      <c r="H25" s="8"/>
      <c r="I25" s="8"/>
    </row>
    <row r="26" spans="1:9" ht="10.5" x14ac:dyDescent="0.2">
      <c r="A26" s="7" t="s">
        <v>39</v>
      </c>
      <c r="B26" s="14" t="s">
        <v>115</v>
      </c>
      <c r="C26" s="14" t="s">
        <v>115</v>
      </c>
      <c r="D26" s="14" t="s">
        <v>115</v>
      </c>
      <c r="E26" s="12">
        <v>245288.02</v>
      </c>
      <c r="F26" s="12">
        <v>696912.74</v>
      </c>
      <c r="G26" s="8"/>
      <c r="H26" s="8"/>
      <c r="I26" s="8"/>
    </row>
    <row r="27" spans="1:9" ht="10.5" x14ac:dyDescent="0.2">
      <c r="A27" s="7" t="s">
        <v>40</v>
      </c>
      <c r="B27" s="14" t="s">
        <v>115</v>
      </c>
      <c r="C27" s="14" t="s">
        <v>115</v>
      </c>
      <c r="D27" s="14" t="s">
        <v>115</v>
      </c>
      <c r="E27" s="12">
        <v>893956.49</v>
      </c>
      <c r="F27" s="12">
        <v>1553378.87</v>
      </c>
      <c r="G27" s="8"/>
      <c r="H27" s="8"/>
      <c r="I27" s="8"/>
    </row>
    <row r="28" spans="1:9" ht="10.5" x14ac:dyDescent="0.2">
      <c r="A28" s="7" t="s">
        <v>41</v>
      </c>
      <c r="B28" s="14" t="s">
        <v>115</v>
      </c>
      <c r="C28" s="14" t="s">
        <v>115</v>
      </c>
      <c r="D28" s="14" t="s">
        <v>115</v>
      </c>
      <c r="E28" s="12">
        <v>828348.89</v>
      </c>
      <c r="F28" s="12">
        <v>1243774.8999999999</v>
      </c>
      <c r="G28" s="8"/>
      <c r="H28" s="8"/>
      <c r="I28" s="8"/>
    </row>
    <row r="29" spans="1:9" ht="10.5" x14ac:dyDescent="0.2">
      <c r="A29" s="8"/>
      <c r="B29" s="8"/>
      <c r="C29" s="8"/>
      <c r="D29" s="8"/>
      <c r="E29" s="8"/>
      <c r="F29" s="8"/>
      <c r="G29" s="8"/>
      <c r="H29" s="8"/>
      <c r="I29" s="8"/>
    </row>
    <row r="30" spans="1:9" ht="12" customHeight="1" x14ac:dyDescent="0.2">
      <c r="A30" s="9" t="s">
        <v>116</v>
      </c>
      <c r="B30" s="13">
        <v>51355</v>
      </c>
      <c r="C30" s="13">
        <v>51355</v>
      </c>
      <c r="D30" s="13">
        <v>51355</v>
      </c>
      <c r="E30" s="13">
        <v>51355</v>
      </c>
      <c r="F30" s="13">
        <v>51355</v>
      </c>
      <c r="G30" s="8"/>
      <c r="H30" s="8"/>
      <c r="I30" s="8"/>
    </row>
    <row r="31" spans="1:9" ht="12" customHeight="1" x14ac:dyDescent="0.2">
      <c r="A31" s="9" t="s">
        <v>117</v>
      </c>
      <c r="B31" s="13">
        <v>111110</v>
      </c>
      <c r="C31" s="13">
        <v>111110</v>
      </c>
      <c r="D31" s="13">
        <v>111110</v>
      </c>
      <c r="E31" s="13">
        <v>111110</v>
      </c>
      <c r="F31" s="13">
        <v>111110</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120</v>
      </c>
      <c r="B35" s="9"/>
      <c r="C35" s="9"/>
      <c r="D35" s="9"/>
      <c r="E35" s="9"/>
      <c r="F35" s="9"/>
      <c r="G35" s="9"/>
      <c r="H35" s="9"/>
      <c r="I35" s="9"/>
    </row>
    <row r="36" spans="1:9" ht="10.5" x14ac:dyDescent="0.2">
      <c r="A36" s="7" t="s">
        <v>38</v>
      </c>
      <c r="B36" s="14" t="s">
        <v>115</v>
      </c>
      <c r="C36" s="14" t="s">
        <v>115</v>
      </c>
      <c r="D36" s="14" t="s">
        <v>115</v>
      </c>
      <c r="E36" s="12">
        <v>2312803.6800000002</v>
      </c>
      <c r="F36" s="12">
        <v>4088323.74</v>
      </c>
      <c r="G36" s="14" t="s">
        <v>115</v>
      </c>
      <c r="H36" s="12">
        <v>6028450.4299999997</v>
      </c>
      <c r="I36" s="14" t="s">
        <v>115</v>
      </c>
    </row>
    <row r="37" spans="1:9" ht="10.5" x14ac:dyDescent="0.2">
      <c r="A37" s="7" t="s">
        <v>39</v>
      </c>
      <c r="B37" s="14" t="s">
        <v>115</v>
      </c>
      <c r="C37" s="14" t="s">
        <v>115</v>
      </c>
      <c r="D37" s="14" t="s">
        <v>115</v>
      </c>
      <c r="E37" s="12">
        <v>185533.02</v>
      </c>
      <c r="F37" s="12">
        <v>637157.74</v>
      </c>
      <c r="G37" s="14" t="s">
        <v>115</v>
      </c>
      <c r="H37" s="12">
        <v>719429.92</v>
      </c>
      <c r="I37" s="14" t="s">
        <v>115</v>
      </c>
    </row>
    <row r="38" spans="1:9" ht="10.5" x14ac:dyDescent="0.2">
      <c r="A38" s="7" t="s">
        <v>40</v>
      </c>
      <c r="B38" s="14" t="s">
        <v>115</v>
      </c>
      <c r="C38" s="14" t="s">
        <v>115</v>
      </c>
      <c r="D38" s="14" t="s">
        <v>115</v>
      </c>
      <c r="E38" s="12">
        <v>834201.49</v>
      </c>
      <c r="F38" s="12">
        <v>1493623.87</v>
      </c>
      <c r="G38" s="14" t="s">
        <v>115</v>
      </c>
      <c r="H38" s="12">
        <v>1933276.45</v>
      </c>
      <c r="I38" s="14" t="s">
        <v>115</v>
      </c>
    </row>
    <row r="39" spans="1:9" ht="10.5" x14ac:dyDescent="0.2">
      <c r="A39" s="7" t="s">
        <v>41</v>
      </c>
      <c r="B39" s="14" t="s">
        <v>115</v>
      </c>
      <c r="C39" s="14" t="s">
        <v>115</v>
      </c>
      <c r="D39" s="14" t="s">
        <v>115</v>
      </c>
      <c r="E39" s="12">
        <v>768593.89</v>
      </c>
      <c r="F39" s="12">
        <v>1184019.8999999999</v>
      </c>
      <c r="G39" s="14" t="s">
        <v>115</v>
      </c>
      <c r="H39" s="12">
        <v>1146872.1599999999</v>
      </c>
      <c r="I39" s="14" t="s">
        <v>115</v>
      </c>
    </row>
    <row r="40" spans="1:9" ht="10.5" x14ac:dyDescent="0.2">
      <c r="A40" s="8"/>
      <c r="B40" s="8"/>
      <c r="C40" s="8"/>
      <c r="D40" s="8"/>
      <c r="E40" s="8"/>
      <c r="F40" s="8"/>
      <c r="G40" s="8"/>
      <c r="H40" s="8"/>
      <c r="I40" s="8"/>
    </row>
    <row r="41" spans="1:9" ht="12" customHeight="1" x14ac:dyDescent="0.2">
      <c r="A41" s="9" t="s">
        <v>121</v>
      </c>
      <c r="B41" s="12">
        <v>15821.95</v>
      </c>
      <c r="C41" s="12">
        <v>15821.95</v>
      </c>
      <c r="D41" s="12">
        <v>15821.95</v>
      </c>
      <c r="E41" s="12">
        <v>15821.95</v>
      </c>
      <c r="F41" s="12">
        <v>15821.95</v>
      </c>
      <c r="G41" s="12">
        <v>15821.95</v>
      </c>
      <c r="H41" s="12">
        <v>15821.95</v>
      </c>
      <c r="I41" s="12">
        <v>15821.95</v>
      </c>
    </row>
    <row r="42" spans="1:9" ht="10.5" x14ac:dyDescent="0.2">
      <c r="A42" s="8"/>
      <c r="B42" s="8"/>
      <c r="C42" s="8"/>
      <c r="D42" s="8"/>
      <c r="E42" s="8"/>
      <c r="F42" s="8"/>
      <c r="G42" s="8"/>
      <c r="H42" s="8"/>
      <c r="I42" s="8"/>
    </row>
    <row r="43" spans="1:9" ht="10.5" x14ac:dyDescent="0.2">
      <c r="A43" s="9" t="s">
        <v>122</v>
      </c>
      <c r="B43" s="9"/>
      <c r="C43" s="9"/>
      <c r="D43" s="9"/>
      <c r="E43" s="9"/>
      <c r="F43" s="9"/>
      <c r="G43" s="9"/>
      <c r="H43" s="9"/>
      <c r="I43" s="9"/>
    </row>
    <row r="44" spans="1:9" ht="10.5" x14ac:dyDescent="0.2">
      <c r="A44" s="7" t="s">
        <v>38</v>
      </c>
      <c r="B44" s="14" t="s">
        <v>115</v>
      </c>
      <c r="C44" s="14" t="s">
        <v>115</v>
      </c>
      <c r="D44" s="14" t="s">
        <v>115</v>
      </c>
      <c r="E44" s="12">
        <v>146.18</v>
      </c>
      <c r="F44" s="12">
        <v>258.39999999999998</v>
      </c>
      <c r="G44" s="14" t="s">
        <v>115</v>
      </c>
      <c r="H44" s="12">
        <v>381.02</v>
      </c>
      <c r="I44" s="14" t="s">
        <v>115</v>
      </c>
    </row>
    <row r="45" spans="1:9" ht="10.5" x14ac:dyDescent="0.2">
      <c r="A45" s="7" t="s">
        <v>39</v>
      </c>
      <c r="B45" s="14" t="s">
        <v>115</v>
      </c>
      <c r="C45" s="14" t="s">
        <v>115</v>
      </c>
      <c r="D45" s="14" t="s">
        <v>115</v>
      </c>
      <c r="E45" s="12">
        <v>11.73</v>
      </c>
      <c r="F45" s="12">
        <v>40.270000000000003</v>
      </c>
      <c r="G45" s="14" t="s">
        <v>115</v>
      </c>
      <c r="H45" s="12">
        <v>45.47</v>
      </c>
      <c r="I45" s="14" t="s">
        <v>115</v>
      </c>
    </row>
    <row r="46" spans="1:9" ht="10.5" x14ac:dyDescent="0.2">
      <c r="A46" s="7" t="s">
        <v>40</v>
      </c>
      <c r="B46" s="14" t="s">
        <v>115</v>
      </c>
      <c r="C46" s="14" t="s">
        <v>115</v>
      </c>
      <c r="D46" s="14" t="s">
        <v>115</v>
      </c>
      <c r="E46" s="12">
        <v>52.72</v>
      </c>
      <c r="F46" s="12">
        <v>94.4</v>
      </c>
      <c r="G46" s="14" t="s">
        <v>115</v>
      </c>
      <c r="H46" s="12">
        <v>122.19</v>
      </c>
      <c r="I46" s="14" t="s">
        <v>115</v>
      </c>
    </row>
    <row r="47" spans="1:9" ht="10.5" x14ac:dyDescent="0.2">
      <c r="A47" s="7" t="s">
        <v>41</v>
      </c>
      <c r="B47" s="14" t="s">
        <v>115</v>
      </c>
      <c r="C47" s="14" t="s">
        <v>115</v>
      </c>
      <c r="D47" s="14" t="s">
        <v>115</v>
      </c>
      <c r="E47" s="12">
        <v>48.58</v>
      </c>
      <c r="F47" s="12">
        <v>74.83</v>
      </c>
      <c r="G47" s="14" t="s">
        <v>115</v>
      </c>
      <c r="H47" s="12">
        <v>72.489999999999995</v>
      </c>
      <c r="I47" s="14" t="s">
        <v>115</v>
      </c>
    </row>
    <row r="48" spans="1:9" ht="10.5" x14ac:dyDescent="0.2">
      <c r="A48" s="8"/>
      <c r="B48" s="8"/>
      <c r="C48" s="8"/>
      <c r="D48" s="8"/>
      <c r="E48" s="8"/>
      <c r="F48" s="8"/>
      <c r="G48" s="8"/>
      <c r="H48" s="8"/>
      <c r="I48" s="8"/>
    </row>
    <row r="49" spans="1:9" ht="10.5" x14ac:dyDescent="0.2">
      <c r="A49" s="9" t="s">
        <v>123</v>
      </c>
      <c r="B49" s="11" t="s">
        <v>124</v>
      </c>
      <c r="C49" s="11" t="s">
        <v>125</v>
      </c>
      <c r="D49" s="9"/>
      <c r="E49" s="9"/>
      <c r="F49" s="9"/>
      <c r="G49" s="9"/>
      <c r="H49" s="9"/>
      <c r="I49" s="9"/>
    </row>
    <row r="50" spans="1:9" ht="10.5" x14ac:dyDescent="0.2">
      <c r="A50" s="9" t="s">
        <v>38</v>
      </c>
      <c r="B50" s="24">
        <v>4143192.62</v>
      </c>
      <c r="C50" s="24">
        <v>261.86</v>
      </c>
      <c r="D50" s="8"/>
      <c r="E50" s="8"/>
      <c r="F50" s="8"/>
      <c r="G50" s="8"/>
      <c r="H50" s="8"/>
      <c r="I50" s="8"/>
    </row>
    <row r="51" spans="1:9" ht="10.5" x14ac:dyDescent="0.2">
      <c r="A51" s="9" t="s">
        <v>39</v>
      </c>
      <c r="B51" s="24">
        <v>514040.23</v>
      </c>
      <c r="C51" s="24">
        <v>32.49</v>
      </c>
      <c r="D51" s="8"/>
      <c r="E51" s="8"/>
      <c r="F51" s="8"/>
      <c r="G51" s="8"/>
      <c r="H51" s="8"/>
      <c r="I51" s="8"/>
    </row>
    <row r="52" spans="1:9" ht="10.5" x14ac:dyDescent="0.2">
      <c r="A52" s="9" t="s">
        <v>40</v>
      </c>
      <c r="B52" s="24">
        <v>1420367.27</v>
      </c>
      <c r="C52" s="24">
        <v>89.77</v>
      </c>
      <c r="D52" s="8"/>
      <c r="E52" s="8"/>
      <c r="F52" s="8"/>
      <c r="G52" s="8"/>
      <c r="H52" s="8"/>
      <c r="I52" s="8"/>
    </row>
    <row r="53" spans="1:9" ht="10.5" x14ac:dyDescent="0.2">
      <c r="A53" s="9" t="s">
        <v>41</v>
      </c>
      <c r="B53" s="24">
        <v>1033161.99</v>
      </c>
      <c r="C53" s="24">
        <v>65.3</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EB421-C660-4808-A90F-8D7D08BA2DDE}">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127</v>
      </c>
      <c r="B8" s="4" t="s">
        <v>3</v>
      </c>
    </row>
    <row r="9" spans="1:255" ht="10.5" x14ac:dyDescent="0.25">
      <c r="A9" s="3" t="s">
        <v>128</v>
      </c>
      <c r="B9" s="4" t="s">
        <v>5</v>
      </c>
    </row>
    <row r="10" spans="1:255" ht="10.5" x14ac:dyDescent="0.25">
      <c r="A10" s="3" t="s">
        <v>129</v>
      </c>
      <c r="B10" s="5">
        <v>45045</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10.5" x14ac:dyDescent="0.2">
      <c r="A14" s="25"/>
      <c r="B14" s="27"/>
    </row>
    <row r="15" spans="1:255" ht="400" customHeight="1" x14ac:dyDescent="0.2">
      <c r="A15" s="26"/>
      <c r="B15" s="10"/>
    </row>
    <row r="18" spans="1:1" x14ac:dyDescent="0.2">
      <c r="A18" s="6"/>
    </row>
    <row r="23" spans="1:1" x14ac:dyDescent="0.2">
      <c r="A23" t="s">
        <v>43</v>
      </c>
    </row>
    <row r="32" spans="1:1" ht="2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CF159-8140-4392-885B-88AB68968535}">
  <sheetPr codeName="Sheet9">
    <outlinePr summaryBelow="0" summaryRight="0"/>
  </sheetPr>
  <dimension ref="A4:IU48"/>
  <sheetViews>
    <sheetView defaultGridColor="0" colorId="0" workbookViewId="0"/>
  </sheetViews>
  <sheetFormatPr defaultRowHeight="10" x14ac:dyDescent="0.2"/>
  <cols>
    <col min="1" max="1" width="47.81640625" customWidth="1"/>
    <col min="2" max="5" width="13.81640625" customWidth="1"/>
    <col min="6" max="12" width="25.81640625" customWidth="1"/>
  </cols>
  <sheetData>
    <row r="4" spans="1:255" ht="17" x14ac:dyDescent="0.3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ht="10.5" x14ac:dyDescent="0.25">
      <c r="A8" s="3" t="s">
        <v>131</v>
      </c>
      <c r="B8" s="4" t="s">
        <v>3</v>
      </c>
    </row>
    <row r="9" spans="1:255" ht="10.5" x14ac:dyDescent="0.25">
      <c r="A9" s="3" t="s">
        <v>132</v>
      </c>
      <c r="B9" s="4" t="s">
        <v>5</v>
      </c>
    </row>
    <row r="10" spans="1:255" ht="10.5" x14ac:dyDescent="0.25">
      <c r="A10" s="3" t="s">
        <v>133</v>
      </c>
      <c r="B10" s="5">
        <v>45045</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1"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25</v>
      </c>
      <c r="B15" s="30">
        <v>1</v>
      </c>
      <c r="C15" s="30">
        <v>1</v>
      </c>
      <c r="D15" s="30">
        <v>1</v>
      </c>
      <c r="E15" s="30">
        <v>1</v>
      </c>
      <c r="F15" s="35">
        <v>45016</v>
      </c>
      <c r="G15" s="35">
        <v>45043</v>
      </c>
      <c r="H15" s="36" t="s">
        <v>145</v>
      </c>
      <c r="I15" s="36" t="s">
        <v>146</v>
      </c>
      <c r="J15" s="36" t="s">
        <v>147</v>
      </c>
      <c r="K15" s="37" t="s">
        <v>148</v>
      </c>
      <c r="L15" s="37" t="s">
        <v>149</v>
      </c>
    </row>
    <row r="16" spans="1:255" ht="12" customHeight="1" x14ac:dyDescent="0.2">
      <c r="A16" s="28" t="s">
        <v>33</v>
      </c>
      <c r="B16" s="30">
        <v>1</v>
      </c>
      <c r="C16" s="30">
        <v>1</v>
      </c>
      <c r="D16" s="31">
        <v>2</v>
      </c>
      <c r="E16" s="31">
        <v>2</v>
      </c>
      <c r="F16" s="35">
        <v>44920</v>
      </c>
      <c r="G16" s="35">
        <v>44961</v>
      </c>
      <c r="H16" s="36" t="s">
        <v>150</v>
      </c>
      <c r="I16" s="36" t="s">
        <v>151</v>
      </c>
      <c r="J16" s="36" t="s">
        <v>152</v>
      </c>
      <c r="K16" s="37" t="s">
        <v>148</v>
      </c>
      <c r="L16" s="37" t="s">
        <v>153</v>
      </c>
    </row>
    <row r="17" spans="1:12" ht="12" customHeight="1" x14ac:dyDescent="0.2">
      <c r="A17" s="28" t="s">
        <v>35</v>
      </c>
      <c r="B17" s="31">
        <v>2</v>
      </c>
      <c r="C17" s="32">
        <v>3</v>
      </c>
      <c r="D17" s="30">
        <v>1</v>
      </c>
      <c r="E17" s="30">
        <v>1</v>
      </c>
      <c r="F17" s="35">
        <v>44926</v>
      </c>
      <c r="G17" s="35">
        <v>44985</v>
      </c>
      <c r="H17" s="36" t="s">
        <v>154</v>
      </c>
      <c r="I17" s="36" t="s">
        <v>155</v>
      </c>
      <c r="J17" s="36" t="s">
        <v>156</v>
      </c>
      <c r="K17" s="37" t="s">
        <v>148</v>
      </c>
      <c r="L17" s="37" t="s">
        <v>153</v>
      </c>
    </row>
    <row r="18" spans="1:12" ht="12" customHeight="1" x14ac:dyDescent="0.2">
      <c r="A18" s="28" t="s">
        <v>32</v>
      </c>
      <c r="B18" s="31">
        <v>2</v>
      </c>
      <c r="C18" s="32">
        <v>3</v>
      </c>
      <c r="D18" s="31">
        <v>2</v>
      </c>
      <c r="E18" s="31">
        <v>2</v>
      </c>
      <c r="F18" s="35">
        <v>44926</v>
      </c>
      <c r="G18" s="35">
        <v>45045</v>
      </c>
      <c r="H18" s="36" t="s">
        <v>150</v>
      </c>
      <c r="I18" s="36" t="s">
        <v>157</v>
      </c>
      <c r="J18" s="36" t="s">
        <v>158</v>
      </c>
      <c r="K18" s="37" t="s">
        <v>148</v>
      </c>
      <c r="L18" s="37" t="s">
        <v>153</v>
      </c>
    </row>
    <row r="19" spans="1:12" ht="12" customHeight="1" x14ac:dyDescent="0.2">
      <c r="A19" s="28" t="s">
        <v>27</v>
      </c>
      <c r="B19" s="32">
        <v>3</v>
      </c>
      <c r="C19" s="31">
        <v>2</v>
      </c>
      <c r="D19" s="31">
        <v>2</v>
      </c>
      <c r="E19" s="33">
        <v>4</v>
      </c>
      <c r="F19" s="35">
        <v>45016</v>
      </c>
      <c r="G19" s="35">
        <v>45045</v>
      </c>
      <c r="H19" s="36" t="s">
        <v>159</v>
      </c>
      <c r="I19" s="36" t="s">
        <v>160</v>
      </c>
      <c r="J19" s="36" t="s">
        <v>161</v>
      </c>
      <c r="K19" s="37" t="s">
        <v>148</v>
      </c>
      <c r="L19" s="37" t="s">
        <v>162</v>
      </c>
    </row>
    <row r="20" spans="1:12" ht="12" customHeight="1" x14ac:dyDescent="0.2">
      <c r="A20" s="28" t="s">
        <v>31</v>
      </c>
      <c r="B20" s="32">
        <v>3</v>
      </c>
      <c r="C20" s="32">
        <v>3</v>
      </c>
      <c r="D20" s="33">
        <v>4</v>
      </c>
      <c r="E20" s="31">
        <v>2</v>
      </c>
      <c r="F20" s="35">
        <v>44953</v>
      </c>
      <c r="G20" s="35">
        <v>44987</v>
      </c>
      <c r="H20" s="36" t="s">
        <v>163</v>
      </c>
      <c r="I20" s="36" t="s">
        <v>157</v>
      </c>
      <c r="J20" s="36" t="s">
        <v>164</v>
      </c>
      <c r="K20" s="37" t="s">
        <v>148</v>
      </c>
      <c r="L20" s="37" t="s">
        <v>165</v>
      </c>
    </row>
    <row r="21" spans="1:12" ht="12" customHeight="1" x14ac:dyDescent="0.2">
      <c r="A21" s="28" t="s">
        <v>34</v>
      </c>
      <c r="B21" s="32">
        <v>3</v>
      </c>
      <c r="C21" s="33">
        <v>4</v>
      </c>
      <c r="D21" s="32">
        <v>3</v>
      </c>
      <c r="E21" s="32">
        <v>3</v>
      </c>
      <c r="F21" s="35">
        <v>44925</v>
      </c>
      <c r="G21" s="35">
        <v>44961</v>
      </c>
      <c r="H21" s="36" t="s">
        <v>166</v>
      </c>
      <c r="I21" s="36" t="s">
        <v>167</v>
      </c>
      <c r="J21" s="36" t="s">
        <v>168</v>
      </c>
      <c r="K21" s="37" t="s">
        <v>148</v>
      </c>
      <c r="L21" s="37" t="s">
        <v>165</v>
      </c>
    </row>
    <row r="22" spans="1:12" ht="12" customHeight="1" x14ac:dyDescent="0.2">
      <c r="A22" s="28" t="s">
        <v>30</v>
      </c>
      <c r="B22" s="33">
        <v>4</v>
      </c>
      <c r="C22" s="31">
        <v>2</v>
      </c>
      <c r="D22" s="33">
        <v>4</v>
      </c>
      <c r="E22" s="33">
        <v>4</v>
      </c>
      <c r="F22" s="35">
        <v>44957</v>
      </c>
      <c r="G22" s="35">
        <v>44987</v>
      </c>
      <c r="H22" s="36" t="s">
        <v>169</v>
      </c>
      <c r="I22" s="36" t="s">
        <v>155</v>
      </c>
      <c r="J22" s="36" t="s">
        <v>170</v>
      </c>
      <c r="K22" s="37" t="s">
        <v>148</v>
      </c>
      <c r="L22" s="37" t="s">
        <v>165</v>
      </c>
    </row>
    <row r="23" spans="1:12" ht="12" customHeight="1" x14ac:dyDescent="0.2">
      <c r="A23" s="28" t="s">
        <v>29</v>
      </c>
      <c r="B23" s="33">
        <v>4</v>
      </c>
      <c r="C23" s="33">
        <v>4</v>
      </c>
      <c r="D23" s="32">
        <v>3</v>
      </c>
      <c r="E23" s="32">
        <v>3</v>
      </c>
      <c r="F23" s="35">
        <v>44957</v>
      </c>
      <c r="G23" s="35">
        <v>45002</v>
      </c>
      <c r="H23" s="36" t="s">
        <v>169</v>
      </c>
      <c r="I23" s="36" t="s">
        <v>171</v>
      </c>
      <c r="J23" s="36" t="s">
        <v>172</v>
      </c>
      <c r="K23" s="37" t="s">
        <v>148</v>
      </c>
      <c r="L23" s="37" t="s">
        <v>165</v>
      </c>
    </row>
    <row r="24" spans="1:12" ht="12" customHeight="1" x14ac:dyDescent="0.2">
      <c r="A24" s="28" t="s">
        <v>28</v>
      </c>
      <c r="B24" s="33">
        <v>4</v>
      </c>
      <c r="C24" s="33">
        <v>4</v>
      </c>
      <c r="D24" s="33">
        <v>4</v>
      </c>
      <c r="E24" s="33">
        <v>4</v>
      </c>
      <c r="F24" s="35">
        <v>44960</v>
      </c>
      <c r="G24" s="35">
        <v>45016</v>
      </c>
      <c r="H24" s="36" t="s">
        <v>169</v>
      </c>
      <c r="I24" s="36" t="s">
        <v>157</v>
      </c>
      <c r="J24" s="36" t="s">
        <v>173</v>
      </c>
      <c r="K24" s="37" t="s">
        <v>148</v>
      </c>
      <c r="L24" s="37" t="s">
        <v>165</v>
      </c>
    </row>
    <row r="25" spans="1:12" ht="10.5" x14ac:dyDescent="0.2">
      <c r="A25" s="8"/>
      <c r="B25" s="8"/>
      <c r="C25" s="8"/>
      <c r="D25" s="8"/>
      <c r="E25" s="8"/>
      <c r="F25" s="8"/>
      <c r="G25" s="8"/>
      <c r="H25" s="8"/>
      <c r="I25" s="8"/>
      <c r="J25" s="8"/>
      <c r="K25" s="8"/>
      <c r="L25" s="8"/>
    </row>
    <row r="26" spans="1:12" ht="10.5" x14ac:dyDescent="0.2">
      <c r="A26" s="9"/>
      <c r="B26" s="9"/>
      <c r="C26" s="9"/>
      <c r="D26" s="9"/>
      <c r="E26" s="9"/>
      <c r="F26" s="9"/>
      <c r="G26" s="9"/>
      <c r="H26" s="9"/>
      <c r="I26" s="9"/>
      <c r="J26" s="9"/>
      <c r="K26" s="9"/>
      <c r="L26" s="9"/>
    </row>
    <row r="27" spans="1:12" ht="12" customHeight="1" x14ac:dyDescent="0.2">
      <c r="A27" s="28" t="s">
        <v>36</v>
      </c>
      <c r="B27" s="31">
        <v>2</v>
      </c>
      <c r="C27" s="31">
        <v>2</v>
      </c>
      <c r="D27" s="32">
        <v>3</v>
      </c>
      <c r="E27" s="32">
        <v>3</v>
      </c>
      <c r="F27" s="35">
        <v>44926</v>
      </c>
      <c r="G27" s="35">
        <v>44961</v>
      </c>
      <c r="H27" s="36" t="s">
        <v>145</v>
      </c>
      <c r="I27" s="36" t="s">
        <v>146</v>
      </c>
      <c r="J27" s="36" t="s">
        <v>174</v>
      </c>
      <c r="K27" s="37" t="s">
        <v>148</v>
      </c>
      <c r="L27" s="37" t="s">
        <v>165</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175</v>
      </c>
    </row>
    <row r="45" spans="1:1" ht="25" customHeight="1" x14ac:dyDescent="0.2">
      <c r="A45" s="18" t="s">
        <v>176</v>
      </c>
    </row>
    <row r="48" spans="1:1" ht="120" customHeight="1" x14ac:dyDescent="0.2">
      <c r="A48" s="38" t="s">
        <v>177</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093B5-9B99-434E-9E9C-0281C8384309}">
  <sheetPr codeName="Sheet10">
    <outlinePr summaryBelow="0" summaryRight="0"/>
  </sheetPr>
  <dimension ref="A6:A26"/>
  <sheetViews>
    <sheetView defaultGridColor="0" colorId="0" workbookViewId="0"/>
  </sheetViews>
  <sheetFormatPr defaultRowHeight="10" x14ac:dyDescent="0.2"/>
  <cols>
    <col min="1" max="1" width="150.81640625" customWidth="1"/>
    <col min="2" max="2" width="9.26953125"/>
  </cols>
  <sheetData>
    <row r="6" spans="1:1" ht="16.5" customHeight="1" x14ac:dyDescent="0.35">
      <c r="A6" s="1" t="s">
        <v>178</v>
      </c>
    </row>
    <row r="8" spans="1:1" x14ac:dyDescent="0.2">
      <c r="A8" t="s">
        <v>179</v>
      </c>
    </row>
    <row r="10" spans="1:1" ht="120" customHeight="1" x14ac:dyDescent="0.2">
      <c r="A10" s="39" t="s">
        <v>180</v>
      </c>
    </row>
    <row r="12" spans="1:1" ht="72" customHeight="1" x14ac:dyDescent="0.2">
      <c r="A12" s="39" t="s">
        <v>181</v>
      </c>
    </row>
    <row r="14" spans="1:1" ht="36" customHeight="1" x14ac:dyDescent="0.2">
      <c r="A14" s="39" t="s">
        <v>182</v>
      </c>
    </row>
    <row r="16" spans="1:1" ht="36" customHeight="1" x14ac:dyDescent="0.2">
      <c r="A16" s="40" t="s">
        <v>183</v>
      </c>
    </row>
    <row r="18" spans="1:1" ht="36" customHeight="1" x14ac:dyDescent="0.2">
      <c r="A18" s="40" t="s">
        <v>184</v>
      </c>
    </row>
    <row r="20" spans="1:1" ht="36" customHeight="1" x14ac:dyDescent="0.2">
      <c r="A20" s="40" t="s">
        <v>185</v>
      </c>
    </row>
    <row r="22" spans="1:1" ht="24" customHeight="1" x14ac:dyDescent="0.2">
      <c r="A22" s="40" t="s">
        <v>186</v>
      </c>
    </row>
    <row r="24" spans="1:1" ht="24" customHeight="1" x14ac:dyDescent="0.2">
      <c r="A24" s="40" t="s">
        <v>187</v>
      </c>
    </row>
    <row r="26" spans="1:1" ht="24" customHeight="1" x14ac:dyDescent="0.2">
      <c r="A26" s="40" t="s">
        <v>188</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29988-DE62-4704-B379-E5B31527935E}">
  <sheetPr codeName="Sheet11"/>
  <dimension ref="A5"/>
  <sheetViews>
    <sheetView workbookViewId="0"/>
  </sheetViews>
  <sheetFormatPr defaultRowHeight="10" x14ac:dyDescent="0.2"/>
  <sheetData>
    <row r="5" spans="1:1" ht="23.25" customHeight="1" x14ac:dyDescent="0.45">
      <c r="A5" s="42" t="s">
        <v>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2023-04-30T02:28:53Z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