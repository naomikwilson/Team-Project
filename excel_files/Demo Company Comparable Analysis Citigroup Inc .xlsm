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filterPrivacy="1" codeName="ThisWorkbook" defaultThemeVersion="166925"/>
  <xr:revisionPtr revIDLastSave="0" documentId="13_ncr:1_{658B1448-8CB5-4C64-97FC-0B232ED78E2B}" xr6:coauthVersionLast="47" xr6:coauthVersionMax="47" xr10:uidLastSave="{00000000-0000-0000-0000-000000000000}"/>
  <bookViews>
    <workbookView xWindow="8300" yWindow="120" windowWidth="10900" windowHeight="11420" xr2:uid="{00000000-000D-0000-FFFF-FFFF00000000}"/>
  </bookViews>
  <sheets>
    <sheet name="COMPCO" sheetId="9" r:id="rId1"/>
    <sheet name="BENCHMARKING" sheetId="8" r:id="rId2"/>
    <sheet name="Financial Data" sheetId="1" r:id="rId3"/>
    <sheet name="Trading Multiples" sheetId="2" r:id="rId4"/>
    <sheet name="Operating Statistics" sheetId="3" r:id="rId5"/>
    <sheet name="Business Description" sheetId="4" r:id="rId6"/>
    <sheet name="Implied Valuation" sheetId="5" r:id="rId7"/>
    <sheet name="Valuation Chart" sheetId="6" r:id="rId8"/>
    <sheet name="Evaluation Warning" sheetId="7" r:id="rId9"/>
  </sheets>
  <definedNames>
    <definedName name="_xlnm.Print_Titles" localSheetId="5">'Business Description'!$1:$3</definedName>
    <definedName name="_xlnm.Print_Titles" localSheetId="2">'Financial Data'!$1:$3</definedName>
    <definedName name="_xlnm.Print_Titles" localSheetId="6">'Implied Valuation'!$1:$3</definedName>
    <definedName name="_xlnm.Print_Titles" localSheetId="4">'Operating Statistics'!$1:$3</definedName>
    <definedName name="_xlnm.Print_Titles" localSheetId="3">'Trading Multiples'!$1:$3</definedName>
    <definedName name="_xlnm.Print_Titles" localSheetId="7">'Valuation Chart'!$1:$3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0" i="9" l="1"/>
  <c r="N44" i="9"/>
  <c r="N43" i="9"/>
  <c r="N42" i="9"/>
  <c r="N41" i="9"/>
  <c r="N40" i="9"/>
  <c r="N39" i="9"/>
  <c r="N38" i="9"/>
  <c r="N37" i="9"/>
  <c r="N36" i="9"/>
  <c r="N35" i="9"/>
  <c r="N34" i="9"/>
  <c r="N33" i="9"/>
  <c r="N32" i="9"/>
  <c r="N31" i="9"/>
  <c r="N30" i="9"/>
  <c r="N29" i="9"/>
  <c r="N28" i="9"/>
  <c r="N27" i="9"/>
  <c r="N26" i="9"/>
  <c r="N25" i="9"/>
  <c r="N24" i="9"/>
  <c r="M44" i="9"/>
  <c r="M43" i="9"/>
  <c r="M42" i="9"/>
  <c r="M41" i="9"/>
  <c r="M40" i="9"/>
  <c r="M39" i="9"/>
  <c r="M38" i="9"/>
  <c r="M37" i="9"/>
  <c r="M36" i="9"/>
  <c r="M35" i="9"/>
  <c r="M34" i="9"/>
  <c r="M33" i="9"/>
  <c r="M32" i="9"/>
  <c r="M31" i="9"/>
  <c r="M30" i="9"/>
  <c r="M29" i="9"/>
  <c r="M28" i="9"/>
  <c r="M27" i="9"/>
  <c r="M26" i="9"/>
  <c r="M25" i="9"/>
  <c r="M24" i="9"/>
  <c r="L44" i="9"/>
  <c r="L43" i="9"/>
  <c r="L42" i="9"/>
  <c r="L41" i="9"/>
  <c r="L40" i="9"/>
  <c r="L39" i="9"/>
  <c r="L38" i="9"/>
  <c r="L37" i="9"/>
  <c r="L36" i="9"/>
  <c r="L35" i="9"/>
  <c r="L34" i="9"/>
  <c r="L33" i="9"/>
  <c r="L32" i="9"/>
  <c r="L31" i="9"/>
  <c r="L30" i="9"/>
  <c r="L29" i="9"/>
  <c r="L28" i="9"/>
  <c r="L27" i="9"/>
  <c r="L26" i="9"/>
  <c r="L25" i="9"/>
  <c r="L24" i="9"/>
  <c r="L22" i="9"/>
  <c r="S8" i="9" s="1"/>
  <c r="S14" i="9" s="1"/>
  <c r="S12" i="9" s="1"/>
  <c r="S10" i="9" s="1"/>
  <c r="D28" i="8"/>
  <c r="O29" i="8"/>
  <c r="N29" i="8"/>
  <c r="M29" i="8"/>
  <c r="L29" i="8"/>
  <c r="K29" i="8"/>
  <c r="J29" i="8"/>
  <c r="I29" i="8"/>
  <c r="H29" i="8"/>
  <c r="G29" i="8"/>
  <c r="F29" i="8"/>
  <c r="E29" i="8"/>
  <c r="D29" i="8"/>
  <c r="O51" i="8"/>
  <c r="O50" i="8"/>
  <c r="O49" i="8"/>
  <c r="O48" i="8"/>
  <c r="O47" i="8"/>
  <c r="O46" i="8"/>
  <c r="O45" i="8"/>
  <c r="O44" i="8"/>
  <c r="O43" i="8"/>
  <c r="O42" i="8"/>
  <c r="O41" i="8"/>
  <c r="O40" i="8"/>
  <c r="O39" i="8"/>
  <c r="O38" i="8"/>
  <c r="O37" i="8"/>
  <c r="O36" i="8"/>
  <c r="O35" i="8"/>
  <c r="O34" i="8"/>
  <c r="O33" i="8"/>
  <c r="O32" i="8"/>
  <c r="O31" i="8"/>
  <c r="N51" i="8"/>
  <c r="N50" i="8"/>
  <c r="N49" i="8"/>
  <c r="N48" i="8"/>
  <c r="N47" i="8"/>
  <c r="N46" i="8"/>
  <c r="N45" i="8"/>
  <c r="N44" i="8"/>
  <c r="N43" i="8"/>
  <c r="N42" i="8"/>
  <c r="N41" i="8"/>
  <c r="N40" i="8"/>
  <c r="N39" i="8"/>
  <c r="N38" i="8"/>
  <c r="N37" i="8"/>
  <c r="N36" i="8"/>
  <c r="N35" i="8"/>
  <c r="N34" i="8"/>
  <c r="N33" i="8"/>
  <c r="N32" i="8"/>
  <c r="N31" i="8"/>
  <c r="M51" i="8"/>
  <c r="M50" i="8"/>
  <c r="M49" i="8"/>
  <c r="M48" i="8"/>
  <c r="M47" i="8"/>
  <c r="M46" i="8"/>
  <c r="M45" i="8"/>
  <c r="M44" i="8"/>
  <c r="M43" i="8"/>
  <c r="M42" i="8"/>
  <c r="M41" i="8"/>
  <c r="M40" i="8"/>
  <c r="M39" i="8"/>
  <c r="M38" i="8"/>
  <c r="M37" i="8"/>
  <c r="M36" i="8"/>
  <c r="M35" i="8"/>
  <c r="M34" i="8"/>
  <c r="M33" i="8"/>
  <c r="M32" i="8"/>
  <c r="M31" i="8"/>
  <c r="L51" i="8"/>
  <c r="L50" i="8"/>
  <c r="L49" i="8"/>
  <c r="L48" i="8"/>
  <c r="L47" i="8"/>
  <c r="L46" i="8"/>
  <c r="L45" i="8"/>
  <c r="L44" i="8"/>
  <c r="L43" i="8"/>
  <c r="L42" i="8"/>
  <c r="L41" i="8"/>
  <c r="L40" i="8"/>
  <c r="L39" i="8"/>
  <c r="L38" i="8"/>
  <c r="L37" i="8"/>
  <c r="L36" i="8"/>
  <c r="L35" i="8"/>
  <c r="L34" i="8"/>
  <c r="L33" i="8"/>
  <c r="L32" i="8"/>
  <c r="L31" i="8"/>
  <c r="K51" i="8"/>
  <c r="K50" i="8"/>
  <c r="K49" i="8"/>
  <c r="K48" i="8"/>
  <c r="K47" i="8"/>
  <c r="K46" i="8"/>
  <c r="K45" i="8"/>
  <c r="K44" i="8"/>
  <c r="K43" i="8"/>
  <c r="K42" i="8"/>
  <c r="K41" i="8"/>
  <c r="K40" i="8"/>
  <c r="K39" i="8"/>
  <c r="K38" i="8"/>
  <c r="K37" i="8"/>
  <c r="K36" i="8"/>
  <c r="K35" i="8"/>
  <c r="K34" i="8"/>
  <c r="K33" i="8"/>
  <c r="K32" i="8"/>
  <c r="K31" i="8"/>
  <c r="J51" i="8"/>
  <c r="J50" i="8"/>
  <c r="J49" i="8"/>
  <c r="J48" i="8"/>
  <c r="J47" i="8"/>
  <c r="J46" i="8"/>
  <c r="J45" i="8"/>
  <c r="J44" i="8"/>
  <c r="J43" i="8"/>
  <c r="J42" i="8"/>
  <c r="J41" i="8"/>
  <c r="J40" i="8"/>
  <c r="J39" i="8"/>
  <c r="J38" i="8"/>
  <c r="J37" i="8"/>
  <c r="J36" i="8"/>
  <c r="J35" i="8"/>
  <c r="J34" i="8"/>
  <c r="J33" i="8"/>
  <c r="J32" i="8"/>
  <c r="J31" i="8"/>
  <c r="I51" i="8"/>
  <c r="I50" i="8"/>
  <c r="I49" i="8"/>
  <c r="I48" i="8"/>
  <c r="I47" i="8"/>
  <c r="I46" i="8"/>
  <c r="I45" i="8"/>
  <c r="I44" i="8"/>
  <c r="I43" i="8"/>
  <c r="I42" i="8"/>
  <c r="I41" i="8"/>
  <c r="I40" i="8"/>
  <c r="I39" i="8"/>
  <c r="I38" i="8"/>
  <c r="I37" i="8"/>
  <c r="I36" i="8"/>
  <c r="I35" i="8"/>
  <c r="I34" i="8"/>
  <c r="I33" i="8"/>
  <c r="I32" i="8"/>
  <c r="I31" i="8"/>
  <c r="H51" i="8"/>
  <c r="H50" i="8"/>
  <c r="H49" i="8"/>
  <c r="H48" i="8"/>
  <c r="H47" i="8"/>
  <c r="H46" i="8"/>
  <c r="H45" i="8"/>
  <c r="H44" i="8"/>
  <c r="H43" i="8"/>
  <c r="H42" i="8"/>
  <c r="H41" i="8"/>
  <c r="H40" i="8"/>
  <c r="H39" i="8"/>
  <c r="H38" i="8"/>
  <c r="H37" i="8"/>
  <c r="H36" i="8"/>
  <c r="H35" i="8"/>
  <c r="H34" i="8"/>
  <c r="H33" i="8"/>
  <c r="H32" i="8"/>
  <c r="H31" i="8"/>
  <c r="G51" i="8"/>
  <c r="G50" i="8"/>
  <c r="G49" i="8"/>
  <c r="G48" i="8"/>
  <c r="G47" i="8"/>
  <c r="G46" i="8"/>
  <c r="G45" i="8"/>
  <c r="G44" i="8"/>
  <c r="G43" i="8"/>
  <c r="G42" i="8"/>
  <c r="G41" i="8"/>
  <c r="G40" i="8"/>
  <c r="G39" i="8"/>
  <c r="G38" i="8"/>
  <c r="G37" i="8"/>
  <c r="G36" i="8"/>
  <c r="G35" i="8"/>
  <c r="G34" i="8"/>
  <c r="G33" i="8"/>
  <c r="G32" i="8"/>
  <c r="G31" i="8"/>
  <c r="F51" i="8"/>
  <c r="F50" i="8"/>
  <c r="F49" i="8"/>
  <c r="F48" i="8"/>
  <c r="F47" i="8"/>
  <c r="F46" i="8"/>
  <c r="F45" i="8"/>
  <c r="F44" i="8"/>
  <c r="F43" i="8"/>
  <c r="F42" i="8"/>
  <c r="F41" i="8"/>
  <c r="F40" i="8"/>
  <c r="F39" i="8"/>
  <c r="F38" i="8"/>
  <c r="F37" i="8"/>
  <c r="F36" i="8"/>
  <c r="F35" i="8"/>
  <c r="F34" i="8"/>
  <c r="F33" i="8"/>
  <c r="F32" i="8"/>
  <c r="F31" i="8"/>
  <c r="E51" i="8"/>
  <c r="E50" i="8"/>
  <c r="E49" i="8"/>
  <c r="E48" i="8"/>
  <c r="E47" i="8"/>
  <c r="E46" i="8"/>
  <c r="E45" i="8"/>
  <c r="E44" i="8"/>
  <c r="E43" i="8"/>
  <c r="E42" i="8"/>
  <c r="E41" i="8"/>
  <c r="E40" i="8"/>
  <c r="E39" i="8"/>
  <c r="E38" i="8"/>
  <c r="E37" i="8"/>
  <c r="E36" i="8"/>
  <c r="E35" i="8"/>
  <c r="E34" i="8"/>
  <c r="E33" i="8"/>
  <c r="E32" i="8"/>
  <c r="E31" i="8"/>
  <c r="D51" i="8"/>
  <c r="D50" i="8"/>
  <c r="D49" i="8"/>
  <c r="D48" i="8"/>
  <c r="D47" i="8"/>
  <c r="D46" i="8"/>
  <c r="D45" i="8"/>
  <c r="D44" i="8"/>
  <c r="D43" i="8"/>
  <c r="D42" i="8"/>
  <c r="D41" i="8"/>
  <c r="D40" i="8"/>
  <c r="D39" i="8"/>
  <c r="D38" i="8"/>
  <c r="D37" i="8"/>
  <c r="D36" i="8"/>
  <c r="D35" i="8"/>
  <c r="D34" i="8"/>
  <c r="D33" i="8"/>
  <c r="D32" i="8"/>
  <c r="D31" i="8"/>
  <c r="Q8" i="9" l="1"/>
  <c r="Q10" i="9" s="1"/>
  <c r="Q12" i="9" s="1"/>
  <c r="Q14" i="9" s="1"/>
  <c r="Q15" i="9" s="1"/>
  <c r="Q17" i="9" s="1"/>
  <c r="R8" i="9"/>
  <c r="R10" i="9" s="1"/>
  <c r="R12" i="9" s="1"/>
  <c r="R14" i="9" s="1"/>
</calcChain>
</file>

<file path=xl/sharedStrings.xml><?xml version="1.0" encoding="utf-8"?>
<sst xmlns="http://schemas.openxmlformats.org/spreadsheetml/2006/main" count="856" uniqueCount="147">
  <si>
    <t>Citigroup Inc. (NYSE:C) &gt;  Quick Comparable Analysis &gt; Financial Data</t>
  </si>
  <si>
    <t>Details</t>
  </si>
  <si>
    <t>Template:</t>
  </si>
  <si>
    <t>Capital IQ Default Comps</t>
  </si>
  <si>
    <t>Currency:</t>
  </si>
  <si>
    <t>US Dollar</t>
  </si>
  <si>
    <t>As-Of Date:</t>
  </si>
  <si>
    <t>Company Comp Set</t>
  </si>
  <si>
    <t>Company Name</t>
  </si>
  <si>
    <t>Day Close Price Latest</t>
  </si>
  <si>
    <t>Shares Outstanding Latest</t>
  </si>
  <si>
    <t>Market Capitalization Latest</t>
  </si>
  <si>
    <t xml:space="preserve">LTM Net Debt </t>
  </si>
  <si>
    <t>LTM Total Pref. Equity</t>
  </si>
  <si>
    <t>LTM Minority Interest</t>
  </si>
  <si>
    <t>Total Enterprise Value Latest</t>
  </si>
  <si>
    <t xml:space="preserve">LTM Tangible Book Value/Share </t>
  </si>
  <si>
    <t xml:space="preserve">LTM Filing Date, Income Statement </t>
  </si>
  <si>
    <t xml:space="preserve">LTM Total Revenue </t>
  </si>
  <si>
    <t xml:space="preserve">LTM EBITDA </t>
  </si>
  <si>
    <t xml:space="preserve">LTM EBIT </t>
  </si>
  <si>
    <t xml:space="preserve">LTM Diluted EPS Excl. Extra Items </t>
  </si>
  <si>
    <t xml:space="preserve">NTM Revenue (Capital IQ) </t>
  </si>
  <si>
    <t xml:space="preserve">NTM EBITDA (Capital IQ) </t>
  </si>
  <si>
    <t xml:space="preserve">NTM EPS (Capital IQ) </t>
  </si>
  <si>
    <t>Wells Fargo &amp; Company (NYSE:WFC)</t>
  </si>
  <si>
    <t>-</t>
  </si>
  <si>
    <t>Bank of America Corporation (NYSE:BAC)</t>
  </si>
  <si>
    <t>JPMorgan Chase &amp; Co. (NYSE:JPM)</t>
  </si>
  <si>
    <t>Morgan Stanley (NYSE:MS)</t>
  </si>
  <si>
    <t>U.S. Bancorp (NYSE:USB)</t>
  </si>
  <si>
    <t>Bank of China Limited (SEHK:3988)</t>
  </si>
  <si>
    <t>The PNC Financial Services Group, Inc. (NYSE:PNC)</t>
  </si>
  <si>
    <t>HSBC Holdings plc (LSE:HSBA)</t>
  </si>
  <si>
    <t>The Bank of New York Mellon Corporation (NYSE:BK)</t>
  </si>
  <si>
    <t>Agricultural Bank of China Limited (SEHK:1288)</t>
  </si>
  <si>
    <t>Citigroup Inc. (NYSE:C)</t>
  </si>
  <si>
    <t>Summary Statistics</t>
  </si>
  <si>
    <t>High</t>
  </si>
  <si>
    <t>Low</t>
  </si>
  <si>
    <t>Mean</t>
  </si>
  <si>
    <t>Median</t>
  </si>
  <si>
    <t>Displaying 11 Companies.</t>
  </si>
  <si>
    <t>Values converted at today's spot rate.</t>
  </si>
  <si>
    <t>Companies by default are sorted by S&amp;P Capital IQ’s proprietary relevancy score.</t>
  </si>
  <si>
    <t>Historical Equity Pricing Data supplied by Interactive Data Pricing and Reference Data LLC</t>
  </si>
  <si>
    <t>Citigroup Inc. (NYSE:C) &gt;  Quick Comparable Analysis &gt; Trading Multiples</t>
  </si>
  <si>
    <t>Template:</t>
  </si>
  <si>
    <t>Currency:</t>
  </si>
  <si>
    <t>As-Of Date:</t>
  </si>
  <si>
    <t>TEV/Total Revenues LTM - Latest</t>
  </si>
  <si>
    <t>TEV/EBITDA LTM - Latest</t>
  </si>
  <si>
    <t>TEV/EBIT LTM - Latest</t>
  </si>
  <si>
    <t>P/Diluted EPS Before Extra LTM - Latest</t>
  </si>
  <si>
    <t>P/TangBV LTM - Latest</t>
  </si>
  <si>
    <t xml:space="preserve">NTM TEV/Forward Total Revenue (Capital IQ) </t>
  </si>
  <si>
    <t xml:space="preserve">NTM TEV/Forward EBITDA (Capital IQ) </t>
  </si>
  <si>
    <t xml:space="preserve">NTM Forward P/E (Capital IQ) </t>
  </si>
  <si>
    <t>Citigroup Inc. (NYSE:C) &gt;  Quick Comparable Analysis &gt; Operating Statistics</t>
  </si>
  <si>
    <t>Template:</t>
  </si>
  <si>
    <t>Currency:</t>
  </si>
  <si>
    <t>As-Of Date:</t>
  </si>
  <si>
    <t xml:space="preserve">LTM Gross Margin % </t>
  </si>
  <si>
    <t xml:space="preserve">LTM EBITDA Margin % </t>
  </si>
  <si>
    <t xml:space="preserve">LTM EBIT Margin % </t>
  </si>
  <si>
    <t xml:space="preserve">LTM Net Income Margin % </t>
  </si>
  <si>
    <t xml:space="preserve">LTM Total Revenues, 1 Yr Growth % </t>
  </si>
  <si>
    <t xml:space="preserve">LTM EBITDA, 1 Yr Growth % </t>
  </si>
  <si>
    <t xml:space="preserve">LTM EBIT, 1 Yr Growth % </t>
  </si>
  <si>
    <t xml:space="preserve">LTM Net Income, 1 Yr Growth % </t>
  </si>
  <si>
    <t>LTM Total Debt/Capital %</t>
  </si>
  <si>
    <t xml:space="preserve">LTM Total Debt/EBITDA </t>
  </si>
  <si>
    <t xml:space="preserve">NTM LT EPS Growth Rate (Capital IQ) </t>
  </si>
  <si>
    <t>5 Year Beta</t>
  </si>
  <si>
    <t>Citigroup Inc. (NYSE:C) &gt;  Quick Comparable Analysis &gt; Business Description</t>
  </si>
  <si>
    <t>Template:</t>
  </si>
  <si>
    <t>Currency:</t>
  </si>
  <si>
    <t>As-Of Date:</t>
  </si>
  <si>
    <t>Business Description</t>
  </si>
  <si>
    <t>Headquarters</t>
  </si>
  <si>
    <t>Wells Fargo &amp; Company, a diversified financial services company, provides banking, investment, mortgage, and consumer and commercial finance products and services in the United States and internationally. It operates through four segments: Consumer Banking and Lending; Commercial Banking; Corporate and Investment Banking; and Wealth and Investment Management. The Consumer Banking and Lending segment offers diversified financial products and services for consumers and small businesses. Its financial products and services include checking and savings accounts, and credit and debit cards, as well as home, auto, personal, and small business lending services. The Commercial Banking segment provides financial solutions to private, family owned, and certain public companies. Its products and services include banking and credit products across various industry sectors and municipalities, secured lending and lease products, and treasury management services. The Corporate and Investment Banking segment offers a suite of capital markets, banking, and financial products and services to corporate, commercial real estate, government, and institutional clients. Its products and services comprise corporate banking, investment banking, treasury management, commercial real estate lending and servicing, equity, and fixed income solutions, as well as sales, trading, and research capabilities services. The Wealth and Investment Management segment provides personalized wealth management, brokerage, financial planning, lending, private banking, and trust and fiduciary products and services to affluent, high-net worth, and ultra-high-net worth clients. It also operates through financial advisors. Its serves to independent offices and consumer banks. The company was founded in 1852 and is headquartered in San Francisco, California.</t>
  </si>
  <si>
    <t>420 Montgomery Street, San Francisco, California, 94104, United States</t>
  </si>
  <si>
    <t>Bank of America Corporation, through its subsidiaries, provides banking and financial products and services for individual consumers, small and middle-market businesses, institutional investors, large corporations, and governments worldwide. Its Consumer Banking segment offers traditional and money market savings accounts, certificates of deposit and IRAs, noninterest-and interest-bearing checking accounts, and investment accounts and products; and credit and debit cards, residential mortgages, and home equity loans, as well as direct and indirect loans, such as automotive, recreational vehicle, and consumer personal loans. The company’s Global Wealth &amp; Investment Management segment offers investment management, brokerage, banking, and trust and retirement products and services; and wealth management solutions, as well as customized solutions, including specialty asset management services. Its Global Banking segment provides lending products and services, including commercial loans, leases, commitment facilities, trade finance, and commercial real estate and asset-based lending; treasury solutions, such as treasury management, foreign exchange, and short-term investing options and merchant services; working capital management solutions; and debt and equity underwriting and distribution, and merger-related and other advisory services. The company’s Global Markets segment offers market-making, financing, securities clearing, settlement, and custody services, as well as risk management products using interest rate, equity, credit, currency and commodity derivatives, foreign exchange, fixed-income, and mortgage-related products. The company was founded in 1784 and is based in Charlotte, North Carolina.</t>
  </si>
  <si>
    <t>Bank of America Corporate Center, 100 North Tryon Street, Charlotte, North Carolina, 28255, United States</t>
  </si>
  <si>
    <t>JPMorgan Chase &amp; Co. operates as a financial services company worldwide. It operates through four segments: Consumer &amp; Community Banking (CCB), Corporate &amp; Investment Bank (CIB), Commercial Banking (CB), and Asset &amp; Wealth Management (AWM). The CCB segment offers deposit, investment and lending products, cash management, and payments and services to consumers and small businesses; mortgage origination and servicing activities; residential mortgages and home equity loans; and credit cards, auto loans, leases, and travel services. The CIB segment provides investment banking products and services, including corporate strategy and structure advisory, and equity and debt markets capital-raising services, as well as loan origination and syndication; payments and cross-border financing; and cash and derivative instruments, risk management solutions, prime brokerage, and research. This segment also offers securities services, including custody, fund accounting and administration, and securities lending products for asset managers, insurance companies, and public and private investment funds. The CB segment provides financial solutions, including lending, payments, investment banking, and asset management to small and midsized companies, local governments, nonprofit clients, and large corporations; and commercial real estate banking services to investors, developers, and owners of multifamily, office, retail, industrial, and affordable housing properties. The AWM segment offers multi-asset investment management solutions in equities, fixed income, alternatives, and money market funds to institutional clients and retail investors; and retirement products and services, brokerage, custody, estate planning, lending, deposits, and investment management products. The company also provides ATM, online and mobile, and telephone banking services. JPMorgan Chase &amp; Co. was founded in 1799 and is headquartered in New York, New York.</t>
  </si>
  <si>
    <t>383 Madison Avenue, New York, New York, 10179, United States</t>
  </si>
  <si>
    <t>Morgan Stanley, a financial holding company, provides various financial products and services to corporations, governments, financial institutions, and individuals in the Americas, Europe, the Middle East, Africa, and Asia. It operates through Institutional Securities, Wealth Management, and Investment Management segments. The Institutional Securities segment offers capital raising and financial advisory services, including services related to the underwriting of debt, equity, and other securities, as well as advice on mergers and acquisitions, restructurings, real estate, and project finance. This segment also provides equity and fixed income products comprising sales, financing, prime brokerage, and market-making services; foreign exchange and commodities; corporate and commercial real estate loans, commercial mortgage and secured lending facilities, and financing for sales and trading customers, and asset-backed and mortgage lending; and wealth management services, investment, and research services. The Wealth Management segment offers financial advisor-led brokerage, custody, administrative, and investment advisory services; self-directed brokerage services; financial and wealth planning services; workplace services, including stock plan administration; annuity and insurance products; securities-based lending, residential real estate loans, and other lending products; banking; and retirement plan services to individual investors and small to medium-sized businesses and institutions. The Investment Management segment provides equity, fixed income, alternatives and solutions, and liquidity and overlay services to benefit/defined contribution plans, foundations, endowments, government entities, sovereign wealth funds, insurance companies, third-party fund sponsors, corporations, and individuals through institutional and intermediary channels. Morgan Stanley was founded in 1924 and is headquartered in New York, New York.</t>
  </si>
  <si>
    <t>1585 Broadway, New York, New York, 10036, United States</t>
  </si>
  <si>
    <t>U.S. Bancorp, a financial services holding company, provides various financial services to individuals, businesses, institutional organizations, governmental entities and other financial institutions in the United States. It operates in Corporate and Commercial Banking, Consumer and Business Banking, Wealth Management and Investment Services, Payment Services, and Treasury and Corporate Support segments. The company offers depository services, including checking accounts, savings accounts, and time certificate contracts; lending services, such as traditional credit products; and credit card services, lease financing and import/export trade, asset-backed lending, agricultural finance, and other products. In addition, it provides ancillary services comprising capital markets, treasury management, and receivable lock-box collection services to corporate and governmental entity customers. Further, the company offers asset management and fiduciary services for individuals, estates, foundations, business corporations, and charitable organizations. Additionally, it provides investment and insurance products to its customers principally within its markets, as well as fund administration services to mutual and other funds. Furthermore, the company provides corporate and purchasing card, and corporate trust services. The company offers merchant processing, investment management, ATM processing, mortgage banking, insurance, and brokerage and leasing services. U.S. Bancorp was founded in 1863 and is headquartered in Minneapolis, Minnesota.</t>
  </si>
  <si>
    <t>800 Nicollet Mall, Minneapolis, Minnesota, 55402, United States</t>
  </si>
  <si>
    <t>Bank of China Limited, together with its subsidiaries, provides various banking and financial services in Chinese Mainland, Hong Kong, Macao, Taiwan, and internationally. It operates through Corporate Banking, Personal Banking, Treasury Operations, Investment Banking, Insurance, and Other segments. The Corporate Banking segment provides current accounts, deposits, overdrafts, loans, payments and settlements, trade-related products, and other credit facilities, as well as foreign currency, derivative, and wealth management products for corporate customers, government authorities, and financial institutions. The Personal Banking segment offers savings deposits, personal loans, credit cards and debit cards, payments and settlements, wealth management, and funds and insurance agency services to retail customers. The Treasury Operations segment offers foreign exchange transactions, customer-based interest rate, and foreign exchange derivative transactions, as well as money market transactions, proprietary trading, and asset and liability management. The Investment Banking segment provides debt and equity underwriting and financial advisory, sale and trading of securities, stock brokerage, investment research, asset management services, and private equity investment services. The Insurance segment provides underwriting services for general and life insurance business, and insurance agency services. In addition, the company operates debt-to-equity swaps and other supporting, and aircraft and financial leasing business. The company was founded in 1912 and is headquartered in Beijing, China.</t>
  </si>
  <si>
    <t>No. 1 Fuxingmen Nei Dajie, Xicheng District, Beijing  100818, China</t>
  </si>
  <si>
    <t>The PNC Financial Services Group, Inc. operates as a diversified financial services company in the United States. It operates through three segments: Retail Banking, Corporate &amp; Institutional Banking, and Asset Management Group segments. The company's Retail Banking segment offers checking, savings, and money market accounts, as well as certificates of deposit; residential mortgages, home equity loans and lines of credit, auto loans, credit cards, education loans, and personal and small business loans and lines of credit; and brokerage, insurance, and investment and cash management services. This segment serves consumer and small business customers through a network of branches, ATMs, call centers, and online and mobile banking channels. Its Corporate &amp; Institutional Banking segment provides secured and unsecured loans, letters of credit, and equipment leases; cash and investment management services, receivables and disbursement management services, funds transfer services, international payment services, and access to online/mobile information management and reporting; securities underwriting, loan syndications, customer-related trading, and mergers and acquisitions and equity capital markets advisory related services; and commercial loan servicing and technology solutions. It serves mid-sized and large corporations, and government and not-for-profit entities. The company's Asset Management Group segment offers investment and retirement planning, customized investment management, credit and cash management solutions, and trust management and administration services for high net worth and ultra high net worth individuals, and their families; and multi-generational family planning services for ultra high net worth individuals and their families. It also provides outsourced chief investment officer, custody, private real estate, cash and fixed income client solutions, and fiduciary retirement advisory services for institutional clients. The company was founded in 1852 and is headquartered in Pittsburgh, Pennsylvania.</t>
  </si>
  <si>
    <t>The Tower at PNC Plaza, 300 Fifth Avenue, Pittsburgh, Pennsylvania, 15222-2401, United States</t>
  </si>
  <si>
    <t>HSBC Holdings plc provides banking and financial services worldwide. The company operates through Wealth and Personal Banking, Commercial Banking, and Global Banking and Markets segments. The Wealth and Personal Banking segment offers retail banking and wealth products, including current and savings accounts, mortgages and personal loans, credit and debit cards, and local and international payment services; and wealth management services comprising insurance and investment products, global asset management services, investment management, and private wealth solutions. This segment serves personal banking and high net worth individuals. The Commercial Banking segment provides credit and lending, treasury management, payment, cash management, commercial insurance, and investment services; commercial cards; international trade and receivables finance services; foreign exchange products; capital raising services on debt and equity markets; and advisory services. It serves small and medium sized enterprises, mid-market enterprises, and corporates. The Global Banking and Markets segment offers financing, advisory, and transaction services; and credit, rates, foreign exchange, equities, money markets, and securities services; and engages in principal investment activities. It serves government, corporate and institutional clients, and private investors. HSBC Holdings plc was founded in 1865 and is headquartered in London, the United Kingdom.</t>
  </si>
  <si>
    <t>8 Canada Square, London, Greater London, E14 5HQ, United Kingdom</t>
  </si>
  <si>
    <t>The Bank of New York Mellon Corporation provides a range of financial products and services in the United States and internationally. The company operates through Securities Services, Market and Wealth Services, Investment and Wealth Management, and other segments. The Securities Services segment offers custody, trust and depositary, accounting, exchange-traded funds, middle-office solutions, transfer agency, services for private equity and real estate funds, foreign exchange, securities lending, liquidity/lending services, and data analytics. This segment also provides trustee, paying agency, fiduciary, escrow and other financial, issuer, and support services for brokers and investors. The Market and Wealth Services segment offers clearing and custody, investment, wealth and retirement solutions, technology and enterprise data management, trading, and prime brokerage services. This segment also provides integrated cash management solutions, including payments, foreign exchange, liquidity management, receivables processing and payables management, and trade finance and processing services. The Investment and Wealth Management segment offers investment management strategies and distribution of investment products, investment management, custody, wealth and estate planning, private banking, investment, and information management services. The Other segment engages in the provision of leasing, corporate treasury, derivative and other trading, corporate and bank-owned life insurance, renewable energy investment, and business exit services. It serves central banks and sovereigns, financial institutions, asset managers, insurance companies, corporations, local authorities and high net-worth individuals, and family offices. The company was founded in 1784 and is headquartered in New York, New York.</t>
  </si>
  <si>
    <t>240 Greenwich Street, New York, New York, 10286, United States</t>
  </si>
  <si>
    <t>Agricultural Bank of China Limited provides banking products and services. The company operates through Corporate Banking, Personal Banking, Treasury Operations, and others segments. It offers demand, personal call, foreign currency time, foreign currency call, time or demand optional, foreign exchange demand, foreign exchange call, foreign exchange time, certificates of deposit, savings, agreed-term, and negotiated deposits; and loans comprise housing, consumer, business, fixed asset, working capital, real estate, and entrusted syndicated loans, as well as trade finances, guarantees and commitments, and loans with custody of export rebates accounts. In addition, the company provides credit card, debit card, payment and settlement, private banking, cash management, investment banking, custody, financial market, and financial institution services, as well as trading and wealth management services; and personal fund collection and automatic transfer services. Further, it offers agro-related personal and corporate banking products and services; telephone, mobile, self-service, television, and SMS banking services; financial leasing services; fund management services; assets custodian services; insurance, and reinsurance related products and services. The company operates domestic branches, including specialized institutions, training institutes, tier-1 branches, tier-2 branches, tier-1 sub-branches, foundation-level branch outlets and other establishments; and overseas branches in Hong Kong, Singapore, Seoul, New York, Dubai International Financial Centre, Tokyo, Frankfurt, Sydney, Luxemburg, Dubai, London, Macao, and Hanoi; and overseas representative offices in Vancouver, Taipei, Sao Paulo, and Dushanbe. Agricultural Bank of China Limited was founded in 1951 and is based in Beijing, the People’s Republic of China.</t>
  </si>
  <si>
    <t>No. 69, Jianguomen Nei Avenue, Dongcheng District, Beijing  100005, China</t>
  </si>
  <si>
    <t>Citigroup Inc., a diversified financial services holding company, provides various financial products and services to consumers, corporations, governments, and institutions in North America, Latin America, Asia, Europe, the Middle East, and Africa. It operates through three segments: Institutional Clients Group (ICG), Personal Banking and Wealth Management (PBWM), and Legacy Franchises. The ICG segment offers wholesale banking products and services, including fixed income and equity sales and trading, foreign exchange, prime brokerage, derivative, equity and fixed income research, corporate lending, investment banking and advisory, private banking, cash management, trade finance, and securities services to corporate, institutional, and public sector clients. The PBWM segment offers traditional banking services to retail and small business customers through retail banking, cash, rewards, value portfolios, and co-branded cards. It also provides various banking, credit cards, custody, trust, mortgages, home equity, small business, and personal consumer loans. The Legacy Franchises segment provides traditional retail banking and branded card products to retail and small business customers. The company was founded in 1812 and is headquartered in New York, New York.</t>
  </si>
  <si>
    <t>388 Greenwich Street, New York, New York, 10013, United States</t>
  </si>
  <si>
    <t>Citigroup Inc. (NYSE:C) &gt;  Quick Comparable Analysis &gt; Implied Valuation</t>
  </si>
  <si>
    <t>Template:</t>
  </si>
  <si>
    <t>Currency:</t>
  </si>
  <si>
    <t>As-Of Date:</t>
  </si>
  <si>
    <t xml:space="preserve">LTM Basic EPS </t>
  </si>
  <si>
    <t xml:space="preserve"> </t>
  </si>
  <si>
    <t>Total Enterprise Value Multiples</t>
  </si>
  <si>
    <t>Pricing Multiples</t>
  </si>
  <si>
    <t xml:space="preserve">NTM Forward P/E </t>
  </si>
  <si>
    <t>NM</t>
  </si>
  <si>
    <t>Implied Enterprise Value</t>
  </si>
  <si>
    <t>NA</t>
  </si>
  <si>
    <t>+ Total Cash &amp; ST Investments</t>
  </si>
  <si>
    <t>- Total Debt</t>
  </si>
  <si>
    <t>- Total Pref. Equity</t>
  </si>
  <si>
    <t>- Minority Interest</t>
  </si>
  <si>
    <t>= Implied Equity Value</t>
  </si>
  <si>
    <t>/ Shares Outstanding</t>
  </si>
  <si>
    <t>= Implied Price per Share</t>
  </si>
  <si>
    <t>Mean Equity Value Across Multiples</t>
  </si>
  <si>
    <t>Equity Value</t>
  </si>
  <si>
    <t>Price Per Share</t>
  </si>
  <si>
    <t>Citigroup Inc. (NYSE:C) &gt;  Quick Comparable Analysis &gt; Valuation Chart</t>
  </si>
  <si>
    <t>Template:</t>
  </si>
  <si>
    <t>Currency:</t>
  </si>
  <si>
    <t>As-Of Date:</t>
  </si>
  <si>
    <t>Evaluation Only. Created with Aspose.Cells for .NET.Copyright 2003 - 2023 Aspose Pty Ltd.</t>
  </si>
  <si>
    <t>Percentile Average</t>
  </si>
  <si>
    <t>Company vs Peers</t>
  </si>
  <si>
    <t>Percentiles</t>
  </si>
  <si>
    <t>Applied Percentile</t>
  </si>
  <si>
    <t>NTM EV/REV</t>
  </si>
  <si>
    <t>NTM EV/EBITDA</t>
  </si>
  <si>
    <t>NTM P/E</t>
  </si>
  <si>
    <t>Weighting %</t>
  </si>
  <si>
    <t>Applied Multiple</t>
  </si>
  <si>
    <t>Company Metric</t>
  </si>
  <si>
    <t>EV</t>
  </si>
  <si>
    <t>Net Debt</t>
  </si>
  <si>
    <t>Shares Outstanding</t>
  </si>
  <si>
    <t>Implied Price / Share</t>
  </si>
  <si>
    <t>Weighted Price</t>
  </si>
  <si>
    <t>Current Price</t>
  </si>
  <si>
    <t>Implied Market Upside(Downside)</t>
  </si>
  <si>
    <t>Based on Benchmarking Analysis the Target Company Vs its Comps is Under(Overvalued) by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</si>
</sst>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mmm\-dd\-yyyy"/>
    <numFmt numFmtId="165" formatCode="_(\ #,##0.0#_);_(\(\ #,##0.0#\)_);_(\ &quot; - &quot;_)"/>
    <numFmt numFmtId="166" formatCode="_(\ #,##0.0_);_(\ \(#,##0.0\)_);_(\ &quot; - &quot;_)"/>
    <numFmt numFmtId="168" formatCode="#,##0.00\x"/>
    <numFmt numFmtId="169" formatCode="_(#,##0.0%_);_(\(#,##0.0%\)_);_(#,##0.0%_)"/>
    <numFmt numFmtId="170" formatCode="_(#,##0.00%_);_(\(#,##0.00%\)_);_(#,##0.00%_)"/>
  </numFmts>
  <fonts count="21" x14ac:knownFonts="1">
    <font>
      <sz val="10"/>
      <name val="Arial"/>
    </font>
    <font>
      <sz val="8"/>
      <name val="Arial"/>
    </font>
    <font>
      <b/>
      <sz val="13"/>
      <color indexed="8"/>
      <name val="Verdana"/>
    </font>
    <font>
      <b/>
      <sz val="12"/>
      <color indexed="8"/>
      <name val="Verdana"/>
    </font>
    <font>
      <b/>
      <sz val="10"/>
      <color indexed="9"/>
      <name val="Arial"/>
    </font>
    <font>
      <b/>
      <u val="singleAccounting"/>
      <sz val="8"/>
      <color indexed="8"/>
      <name val="Verdana"/>
    </font>
    <font>
      <b/>
      <sz val="8"/>
      <color indexed="9"/>
      <name val="Verdana"/>
    </font>
    <font>
      <b/>
      <u val="singleAccounting"/>
      <sz val="8"/>
      <color indexed="8"/>
      <name val="Arial"/>
    </font>
    <font>
      <sz val="8"/>
      <color indexed="8"/>
      <name val="Arial"/>
    </font>
    <font>
      <vertAlign val="superscript"/>
      <sz val="8"/>
      <color indexed="8"/>
      <name val="Arial"/>
    </font>
    <font>
      <vertAlign val="subscript"/>
      <sz val="8"/>
      <color indexed="8"/>
      <name val="Arial"/>
    </font>
    <font>
      <b/>
      <sz val="8"/>
      <color indexed="8"/>
      <name val="Arial"/>
    </font>
    <font>
      <i/>
      <sz val="8"/>
      <color indexed="8"/>
      <name val="Arial"/>
    </font>
    <font>
      <sz val="1"/>
      <color indexed="9"/>
      <name val="Symbol"/>
    </font>
    <font>
      <sz val="10"/>
      <color indexed="8"/>
      <name val="Arial"/>
    </font>
    <font>
      <b/>
      <sz val="8"/>
      <color indexed="8"/>
      <name val="Verdana"/>
    </font>
    <font>
      <b/>
      <sz val="8"/>
      <name val="Arial"/>
    </font>
    <font>
      <b/>
      <i/>
      <sz val="18"/>
      <color rgb="FF0000FF"/>
      <name val="Arial"/>
    </font>
    <font>
      <sz val="10"/>
      <name val="Arial"/>
    </font>
    <font>
      <sz val="8"/>
      <color rgb="FFFF0000"/>
      <name val="Arial"/>
    </font>
    <font>
      <sz val="10"/>
      <color rgb="FFFF0000"/>
      <name val="Arial"/>
    </font>
  </fonts>
  <fills count="6">
    <fill>
      <patternFill patternType="none"/>
    </fill>
    <fill>
      <patternFill patternType="gray125"/>
    </fill>
    <fill>
      <patternFill patternType="solid">
        <fgColor indexed="63"/>
        <bgColor indexed="64"/>
      </patternFill>
    </fill>
    <fill>
      <patternFill patternType="solid">
        <fgColor indexed="62"/>
        <bgColor indexed="64"/>
      </patternFill>
    </fill>
    <fill>
      <patternFill patternType="solid">
        <fgColor indexed="56"/>
        <bgColor indexed="64"/>
      </patternFill>
    </fill>
    <fill>
      <patternFill patternType="solid">
        <fgColor indexed="6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s>
  <cellStyleXfs count="19">
    <xf numFmtId="0" fontId="0" fillId="0" borderId="0"/>
    <xf numFmtId="43" fontId="18" fillId="0" borderId="0" applyFont="0" applyFill="0" applyBorder="0" applyAlignment="0" applyProtection="0"/>
    <xf numFmtId="44" fontId="18" fillId="0" borderId="0" applyFont="0" applyFill="0" applyBorder="0" applyAlignment="0" applyProtection="0"/>
    <xf numFmtId="9" fontId="18" fillId="0" borderId="0" applyFont="0" applyFill="0" applyBorder="0" applyAlignment="0" applyProtection="0"/>
    <xf numFmtId="0" fontId="2" fillId="0" borderId="0" applyAlignment="0"/>
    <xf numFmtId="0" fontId="3" fillId="0" borderId="0" applyAlignment="0"/>
    <xf numFmtId="0" fontId="4" fillId="2" borderId="0" applyAlignment="0"/>
    <xf numFmtId="0" fontId="5" fillId="3" borderId="0" applyAlignment="0"/>
    <xf numFmtId="0" fontId="6" fillId="4" borderId="0" applyAlignment="0"/>
    <xf numFmtId="0" fontId="7" fillId="5" borderId="0" applyAlignment="0"/>
    <xf numFmtId="0" fontId="8" fillId="0" borderId="0" applyAlignment="0"/>
    <xf numFmtId="0" fontId="9" fillId="0" borderId="0" applyAlignment="0"/>
    <xf numFmtId="0" fontId="10" fillId="0" borderId="0" applyAlignment="0"/>
    <xf numFmtId="0" fontId="11" fillId="0" borderId="0" applyAlignment="0"/>
    <xf numFmtId="0" fontId="12" fillId="0" borderId="0" applyAlignment="0"/>
    <xf numFmtId="0" fontId="11" fillId="0" borderId="0" applyAlignment="0"/>
    <xf numFmtId="0" fontId="13" fillId="0" borderId="0" applyAlignment="0"/>
    <xf numFmtId="0" fontId="14" fillId="0" borderId="0" applyAlignment="0"/>
    <xf numFmtId="0" fontId="15" fillId="0" borderId="0" applyAlignment="0"/>
  </cellStyleXfs>
  <cellXfs count="113">
    <xf numFmtId="0" fontId="1" fillId="0" borderId="0" xfId="0" applyFont="1" applyAlignment="1"/>
    <xf numFmtId="0" fontId="2" fillId="0" borderId="0" xfId="0" applyNumberFormat="1" applyFont="1" applyAlignment="1"/>
    <xf numFmtId="0" fontId="6" fillId="4" borderId="0" xfId="0" applyFont="1" applyFill="1" applyAlignment="1"/>
    <xf numFmtId="0" fontId="16" fillId="0" borderId="0" xfId="0" applyFont="1" applyAlignment="1"/>
    <xf numFmtId="0" fontId="1" fillId="0" borderId="0" xfId="0" applyFont="1" applyAlignment="1">
      <alignment horizontal="left"/>
    </xf>
    <xf numFmtId="164" fontId="1" fillId="0" borderId="0" xfId="0" applyNumberFormat="1" applyFont="1" applyAlignment="1">
      <alignment horizontal="left"/>
    </xf>
    <xf numFmtId="0" fontId="8" fillId="0" borderId="0" xfId="0" applyNumberFormat="1" applyFont="1" applyAlignment="1">
      <alignment horizontal="left" vertical="top"/>
    </xf>
    <xf numFmtId="0" fontId="11" fillId="5" borderId="0" xfId="0" applyFont="1" applyFill="1" applyAlignment="1">
      <alignment horizontal="left" vertical="top" wrapText="1"/>
    </xf>
    <xf numFmtId="0" fontId="11" fillId="0" borderId="0" xfId="0" applyFont="1" applyAlignment="1">
      <alignment vertical="top" wrapText="1"/>
    </xf>
    <xf numFmtId="0" fontId="11" fillId="5" borderId="0" xfId="0" applyFont="1" applyFill="1" applyAlignment="1">
      <alignment vertical="top" wrapText="1"/>
    </xf>
    <xf numFmtId="0" fontId="1" fillId="0" borderId="0" xfId="0" applyFont="1" applyAlignment="1">
      <alignment vertical="top" wrapText="1"/>
    </xf>
    <xf numFmtId="0" fontId="11" fillId="5" borderId="0" xfId="0" applyFont="1" applyFill="1" applyAlignment="1">
      <alignment horizontal="right" vertical="top" wrapText="1"/>
    </xf>
    <xf numFmtId="165" fontId="8" fillId="0" borderId="0" xfId="0" applyNumberFormat="1" applyFont="1" applyAlignment="1">
      <alignment horizontal="right" vertical="top" wrapText="1"/>
    </xf>
    <xf numFmtId="166" fontId="8" fillId="0" borderId="0" xfId="0" applyNumberFormat="1" applyFont="1" applyAlignment="1">
      <alignment horizontal="right" vertical="top" wrapText="1"/>
    </xf>
    <xf numFmtId="0" fontId="8" fillId="0" borderId="0" xfId="0" applyNumberFormat="1" applyFont="1" applyAlignment="1">
      <alignment horizontal="right" vertical="top" wrapText="1"/>
    </xf>
    <xf numFmtId="0" fontId="11" fillId="5" borderId="0" xfId="0" applyFont="1" applyFill="1" applyAlignment="1">
      <alignment horizontal="center" vertical="top" wrapText="1"/>
    </xf>
    <xf numFmtId="164" fontId="8" fillId="0" borderId="0" xfId="0" applyNumberFormat="1" applyFont="1" applyAlignment="1">
      <alignment horizontal="center" vertical="top" wrapText="1"/>
    </xf>
    <xf numFmtId="0" fontId="8" fillId="0" borderId="0" xfId="0" applyNumberFormat="1" applyFont="1" applyAlignment="1">
      <alignment horizontal="center" vertical="top" wrapText="1"/>
    </xf>
    <xf numFmtId="0" fontId="1" fillId="0" borderId="0" xfId="0" applyFont="1" applyAlignment="1">
      <alignment horizontal="right" wrapText="1"/>
    </xf>
    <xf numFmtId="168" fontId="8" fillId="0" borderId="0" xfId="0" applyNumberFormat="1" applyFont="1" applyAlignment="1">
      <alignment horizontal="right" vertical="top" wrapText="1"/>
    </xf>
    <xf numFmtId="169" fontId="8" fillId="0" borderId="0" xfId="0" applyNumberFormat="1" applyFont="1" applyAlignment="1">
      <alignment horizontal="right" vertical="top" wrapText="1"/>
    </xf>
    <xf numFmtId="170" fontId="8" fillId="0" borderId="0" xfId="0" applyNumberFormat="1" applyFont="1" applyAlignment="1">
      <alignment horizontal="right" vertical="top" wrapText="1"/>
    </xf>
    <xf numFmtId="0" fontId="8" fillId="0" borderId="0" xfId="0" applyNumberFormat="1" applyFont="1" applyAlignment="1">
      <alignment horizontal="left" vertical="top" wrapText="1"/>
    </xf>
    <xf numFmtId="165" fontId="8" fillId="0" borderId="0" xfId="0" applyNumberFormat="1" applyFont="1" applyAlignment="1">
      <alignment vertical="top" wrapText="1"/>
    </xf>
    <xf numFmtId="0" fontId="11" fillId="0" borderId="0" xfId="0" applyNumberFormat="1" applyFont="1" applyAlignment="1">
      <alignment vertical="top" wrapText="1"/>
    </xf>
    <xf numFmtId="0" fontId="1" fillId="0" borderId="0" xfId="0" applyFont="1" applyAlignment="1">
      <alignment horizontal="center" vertical="top" wrapText="1"/>
    </xf>
    <xf numFmtId="0" fontId="8" fillId="0" borderId="0" xfId="0" applyNumberFormat="1" applyFont="1" applyAlignment="1">
      <alignment vertical="top" wrapText="1"/>
    </xf>
    <xf numFmtId="0" fontId="13" fillId="0" borderId="0" xfId="16" applyFont="1" applyAlignment="1"/>
    <xf numFmtId="0" fontId="17" fillId="0" borderId="0" xfId="0" applyNumberFormat="1" applyFont="1" applyFill="1" applyBorder="1" applyAlignment="1" applyProtection="1"/>
    <xf numFmtId="0" fontId="1" fillId="0" borderId="0" xfId="0" applyFont="1" applyFill="1" applyBorder="1" applyAlignment="1"/>
    <xf numFmtId="9" fontId="1" fillId="0" borderId="3" xfId="0" applyNumberFormat="1" applyFont="1" applyFill="1" applyBorder="1" applyAlignment="1"/>
    <xf numFmtId="9" fontId="1" fillId="0" borderId="4" xfId="0" applyNumberFormat="1" applyFont="1" applyFill="1" applyBorder="1" applyAlignment="1"/>
    <xf numFmtId="9" fontId="1" fillId="0" borderId="7" xfId="0" applyNumberFormat="1" applyFont="1" applyFill="1" applyBorder="1" applyAlignment="1"/>
    <xf numFmtId="9" fontId="1" fillId="0" borderId="13" xfId="0" applyNumberFormat="1" applyFont="1" applyFill="1" applyBorder="1" applyAlignment="1"/>
    <xf numFmtId="9" fontId="1" fillId="0" borderId="14" xfId="0" applyNumberFormat="1" applyFont="1" applyFill="1" applyBorder="1" applyAlignment="1"/>
    <xf numFmtId="9" fontId="19" fillId="0" borderId="14" xfId="0" applyNumberFormat="1" applyFont="1" applyFill="1" applyBorder="1" applyAlignment="1"/>
    <xf numFmtId="9" fontId="1" fillId="0" borderId="16" xfId="0" applyNumberFormat="1" applyFont="1" applyFill="1" applyBorder="1" applyAlignment="1"/>
    <xf numFmtId="0" fontId="1" fillId="0" borderId="17" xfId="0" applyFont="1" applyFill="1" applyBorder="1" applyAlignment="1"/>
    <xf numFmtId="0" fontId="1" fillId="0" borderId="9" xfId="0" applyFont="1" applyFill="1" applyBorder="1" applyAlignment="1"/>
    <xf numFmtId="0" fontId="1" fillId="0" borderId="1" xfId="0" applyNumberFormat="1" applyFont="1" applyFill="1" applyBorder="1" applyAlignment="1">
      <alignment horizontal="right" vertical="top" wrapText="1"/>
    </xf>
    <xf numFmtId="170" fontId="1" fillId="0" borderId="1" xfId="0" applyNumberFormat="1" applyFont="1" applyFill="1" applyBorder="1" applyAlignment="1">
      <alignment horizontal="right" vertical="top" wrapText="1"/>
    </xf>
    <xf numFmtId="0" fontId="16" fillId="0" borderId="4" xfId="0" applyFont="1" applyFill="1" applyBorder="1" applyAlignment="1">
      <alignment horizontal="left" vertical="top" wrapText="1"/>
    </xf>
    <xf numFmtId="0" fontId="1" fillId="0" borderId="8" xfId="0" applyNumberFormat="1" applyFont="1" applyFill="1" applyBorder="1" applyAlignment="1">
      <alignment horizontal="right" vertical="top" wrapText="1"/>
    </xf>
    <xf numFmtId="170" fontId="1" fillId="0" borderId="8" xfId="0" applyNumberFormat="1" applyFont="1" applyFill="1" applyBorder="1" applyAlignment="1">
      <alignment horizontal="right" vertical="top" wrapText="1"/>
    </xf>
    <xf numFmtId="165" fontId="1" fillId="0" borderId="11" xfId="0" applyNumberFormat="1" applyFont="1" applyFill="1" applyBorder="1" applyAlignment="1">
      <alignment horizontal="right" vertical="top" wrapText="1"/>
    </xf>
    <xf numFmtId="165" fontId="1" fillId="0" borderId="12" xfId="0" applyNumberFormat="1" applyFont="1" applyFill="1" applyBorder="1" applyAlignment="1">
      <alignment horizontal="right" vertical="top" wrapText="1"/>
    </xf>
    <xf numFmtId="0" fontId="16" fillId="0" borderId="18" xfId="0" applyFont="1" applyFill="1" applyBorder="1" applyAlignment="1">
      <alignment horizontal="left" vertical="top" wrapText="1"/>
    </xf>
    <xf numFmtId="0" fontId="16" fillId="0" borderId="19" xfId="0" applyFont="1" applyFill="1" applyBorder="1" applyAlignment="1">
      <alignment horizontal="left" vertical="top" wrapText="1"/>
    </xf>
    <xf numFmtId="0" fontId="16" fillId="0" borderId="20" xfId="0" applyFont="1" applyFill="1" applyBorder="1" applyAlignment="1">
      <alignment horizontal="right" vertical="top" wrapText="1"/>
    </xf>
    <xf numFmtId="0" fontId="16" fillId="0" borderId="15" xfId="0" applyFont="1" applyFill="1" applyBorder="1" applyAlignment="1">
      <alignment horizontal="right" vertical="top" wrapText="1"/>
    </xf>
    <xf numFmtId="0" fontId="1" fillId="0" borderId="3" xfId="0" applyNumberFormat="1" applyFont="1" applyFill="1" applyBorder="1" applyAlignment="1">
      <alignment horizontal="right" vertical="top" wrapText="1"/>
    </xf>
    <xf numFmtId="169" fontId="1" fillId="0" borderId="3" xfId="0" applyNumberFormat="1" applyFont="1" applyFill="1" applyBorder="1" applyAlignment="1">
      <alignment horizontal="right" vertical="top" wrapText="1"/>
    </xf>
    <xf numFmtId="0" fontId="1" fillId="0" borderId="7" xfId="0" applyNumberFormat="1" applyFont="1" applyFill="1" applyBorder="1" applyAlignment="1">
      <alignment horizontal="right" vertical="top" wrapText="1"/>
    </xf>
    <xf numFmtId="0" fontId="1" fillId="0" borderId="4" xfId="0" applyNumberFormat="1" applyFont="1" applyFill="1" applyBorder="1" applyAlignment="1">
      <alignment horizontal="right" vertical="top" wrapText="1"/>
    </xf>
    <xf numFmtId="0" fontId="1" fillId="0" borderId="5" xfId="0" applyNumberFormat="1" applyFont="1" applyFill="1" applyBorder="1" applyAlignment="1">
      <alignment horizontal="right" vertical="top" wrapText="1"/>
    </xf>
    <xf numFmtId="170" fontId="1" fillId="0" borderId="5" xfId="0" applyNumberFormat="1" applyFont="1" applyFill="1" applyBorder="1" applyAlignment="1">
      <alignment horizontal="right" vertical="top" wrapText="1"/>
    </xf>
    <xf numFmtId="165" fontId="1" fillId="0" borderId="10" xfId="0" applyNumberFormat="1" applyFont="1" applyFill="1" applyBorder="1" applyAlignment="1">
      <alignment horizontal="right" vertical="top" wrapText="1"/>
    </xf>
    <xf numFmtId="9" fontId="1" fillId="0" borderId="5" xfId="3" applyFont="1" applyFill="1" applyBorder="1" applyAlignment="1"/>
    <xf numFmtId="9" fontId="1" fillId="0" borderId="1" xfId="3" applyFont="1" applyFill="1" applyBorder="1" applyAlignment="1"/>
    <xf numFmtId="9" fontId="1" fillId="0" borderId="8" xfId="3" applyFont="1" applyFill="1" applyBorder="1" applyAlignment="1"/>
    <xf numFmtId="168" fontId="1" fillId="0" borderId="5" xfId="3" applyNumberFormat="1" applyFont="1" applyFill="1" applyBorder="1" applyAlignment="1"/>
    <xf numFmtId="168" fontId="1" fillId="0" borderId="1" xfId="3" applyNumberFormat="1" applyFont="1" applyFill="1" applyBorder="1" applyAlignment="1"/>
    <xf numFmtId="168" fontId="1" fillId="0" borderId="8" xfId="3" applyNumberFormat="1" applyFont="1" applyFill="1" applyBorder="1" applyAlignment="1"/>
    <xf numFmtId="43" fontId="1" fillId="0" borderId="10" xfId="1" applyFont="1" applyFill="1" applyBorder="1" applyAlignment="1"/>
    <xf numFmtId="43" fontId="1" fillId="0" borderId="11" xfId="1" applyFont="1" applyFill="1" applyBorder="1" applyAlignment="1"/>
    <xf numFmtId="43" fontId="1" fillId="0" borderId="12" xfId="1" applyFont="1" applyFill="1" applyBorder="1" applyAlignment="1"/>
    <xf numFmtId="0" fontId="0" fillId="0" borderId="0" xfId="0"/>
    <xf numFmtId="0" fontId="0" fillId="0" borderId="3" xfId="0" applyBorder="1"/>
    <xf numFmtId="0" fontId="0" fillId="0" borderId="4" xfId="0" applyBorder="1"/>
    <xf numFmtId="0" fontId="0" fillId="0" borderId="5" xfId="0" applyBorder="1"/>
    <xf numFmtId="0" fontId="0" fillId="0" borderId="7" xfId="0" applyBorder="1"/>
    <xf numFmtId="0" fontId="0" fillId="0" borderId="10" xfId="0" applyBorder="1"/>
    <xf numFmtId="0" fontId="0" fillId="0" borderId="4" xfId="0" applyBorder="1" applyAlignment="1">
      <alignment wrapText="1"/>
    </xf>
    <xf numFmtId="0" fontId="0" fillId="0" borderId="5" xfId="0" applyBorder="1" applyAlignment="1">
      <alignment wrapText="1"/>
    </xf>
    <xf numFmtId="0" fontId="0" fillId="0" borderId="10" xfId="0" applyBorder="1" applyAlignment="1">
      <alignment wrapText="1"/>
    </xf>
    <xf numFmtId="0" fontId="0" fillId="0" borderId="3" xfId="0" applyBorder="1" applyAlignment="1">
      <alignment wrapText="1"/>
    </xf>
    <xf numFmtId="0" fontId="0" fillId="0" borderId="7" xfId="0" applyBorder="1" applyAlignment="1">
      <alignment wrapText="1"/>
    </xf>
    <xf numFmtId="168" fontId="0" fillId="0" borderId="5" xfId="0" applyNumberFormat="1" applyBorder="1"/>
    <xf numFmtId="168" fontId="0" fillId="0" borderId="10" xfId="0" applyNumberFormat="1" applyBorder="1"/>
    <xf numFmtId="168" fontId="0" fillId="0" borderId="1" xfId="0" applyNumberFormat="1" applyBorder="1"/>
    <xf numFmtId="168" fontId="0" fillId="0" borderId="11" xfId="0" applyNumberFormat="1" applyBorder="1"/>
    <xf numFmtId="168" fontId="0" fillId="0" borderId="8" xfId="0" applyNumberFormat="1" applyBorder="1"/>
    <xf numFmtId="168" fontId="0" fillId="0" borderId="12" xfId="0" applyNumberFormat="1" applyBorder="1"/>
    <xf numFmtId="0" fontId="0" fillId="0" borderId="6" xfId="0" applyBorder="1"/>
    <xf numFmtId="0" fontId="0" fillId="0" borderId="21" xfId="0" applyBorder="1"/>
    <xf numFmtId="0" fontId="0" fillId="0" borderId="0" xfId="0" applyBorder="1" applyAlignment="1">
      <alignment wrapText="1"/>
    </xf>
    <xf numFmtId="9" fontId="20" fillId="0" borderId="0" xfId="3" applyFont="1"/>
    <xf numFmtId="44" fontId="0" fillId="0" borderId="1" xfId="2" applyFont="1" applyBorder="1" applyAlignment="1">
      <alignment wrapText="1"/>
    </xf>
    <xf numFmtId="44" fontId="0" fillId="0" borderId="8" xfId="2" applyFont="1" applyBorder="1" applyAlignment="1">
      <alignment wrapText="1"/>
    </xf>
    <xf numFmtId="43" fontId="0" fillId="0" borderId="1" xfId="1" applyFont="1" applyBorder="1" applyAlignment="1">
      <alignment wrapText="1"/>
    </xf>
    <xf numFmtId="43" fontId="0" fillId="0" borderId="8" xfId="1" applyFont="1" applyBorder="1" applyAlignment="1">
      <alignment wrapText="1"/>
    </xf>
    <xf numFmtId="168" fontId="0" fillId="0" borderId="1" xfId="2" applyNumberFormat="1" applyFont="1" applyBorder="1" applyAlignment="1">
      <alignment wrapText="1"/>
    </xf>
    <xf numFmtId="168" fontId="0" fillId="0" borderId="11" xfId="2" applyNumberFormat="1" applyFont="1" applyBorder="1" applyAlignment="1">
      <alignment wrapText="1"/>
    </xf>
    <xf numFmtId="168" fontId="0" fillId="0" borderId="8" xfId="2" applyNumberFormat="1" applyFont="1" applyBorder="1" applyAlignment="1">
      <alignment wrapText="1"/>
    </xf>
    <xf numFmtId="168" fontId="0" fillId="0" borderId="12" xfId="2" applyNumberFormat="1" applyFont="1" applyBorder="1" applyAlignment="1">
      <alignment wrapText="1"/>
    </xf>
    <xf numFmtId="9" fontId="0" fillId="0" borderId="4" xfId="3" applyFont="1" applyBorder="1"/>
    <xf numFmtId="9" fontId="0" fillId="0" borderId="3" xfId="3" applyFont="1" applyBorder="1"/>
    <xf numFmtId="9" fontId="0" fillId="0" borderId="7" xfId="3" applyFont="1" applyBorder="1"/>
    <xf numFmtId="44" fontId="0" fillId="0" borderId="1" xfId="2" applyFont="1" applyBorder="1"/>
    <xf numFmtId="44" fontId="0" fillId="0" borderId="11" xfId="2" applyFont="1" applyBorder="1"/>
    <xf numFmtId="44" fontId="0" fillId="0" borderId="2" xfId="2" applyFont="1" applyBorder="1"/>
    <xf numFmtId="44" fontId="0" fillId="0" borderId="8" xfId="2" applyFont="1" applyBorder="1"/>
    <xf numFmtId="44" fontId="0" fillId="0" borderId="12" xfId="2" applyFont="1" applyBorder="1"/>
    <xf numFmtId="44" fontId="0" fillId="0" borderId="10" xfId="2" applyFont="1" applyBorder="1"/>
    <xf numFmtId="44" fontId="0" fillId="0" borderId="0" xfId="2" applyFont="1"/>
    <xf numFmtId="9" fontId="0" fillId="0" borderId="1" xfId="3" applyFont="1" applyBorder="1"/>
    <xf numFmtId="9" fontId="0" fillId="0" borderId="11" xfId="3" applyFont="1" applyBorder="1"/>
    <xf numFmtId="168" fontId="0" fillId="0" borderId="1" xfId="2" applyNumberFormat="1" applyFont="1" applyBorder="1"/>
    <xf numFmtId="168" fontId="0" fillId="0" borderId="11" xfId="2" applyNumberFormat="1" applyFont="1" applyBorder="1"/>
    <xf numFmtId="43" fontId="0" fillId="0" borderId="1" xfId="1" applyFont="1" applyBorder="1"/>
    <xf numFmtId="43" fontId="0" fillId="0" borderId="11" xfId="1" applyFont="1" applyBorder="1"/>
    <xf numFmtId="9" fontId="0" fillId="0" borderId="12" xfId="3" applyFont="1" applyBorder="1"/>
    <xf numFmtId="9" fontId="20" fillId="0" borderId="14" xfId="3" applyFont="1" applyBorder="1"/>
  </cellXfs>
  <cellStyles count="19">
    <cellStyle name="ChartingText" xfId="17" xr:uid="{00000000-0005-0000-0000-000013000000}"/>
    <cellStyle name="CHPTop" xfId="18" xr:uid="{00000000-0005-0000-0000-000014000000}"/>
    <cellStyle name="ColumnHeaderNormal" xfId="9" xr:uid="{00000000-0005-0000-0000-00000B000000}"/>
    <cellStyle name="Comma" xfId="1" builtinId="3"/>
    <cellStyle name="Currency" xfId="2" builtinId="4"/>
    <cellStyle name="Invisible" xfId="16" xr:uid="{00000000-0005-0000-0000-000012000000}"/>
    <cellStyle name="NewColumnHeaderNormal" xfId="7" xr:uid="{00000000-0005-0000-0000-000009000000}"/>
    <cellStyle name="NewSectionHeaderNormal" xfId="6" xr:uid="{00000000-0005-0000-0000-000008000000}"/>
    <cellStyle name="NewTitleNormal" xfId="5" xr:uid="{00000000-0005-0000-0000-000007000000}"/>
    <cellStyle name="Normal" xfId="0" builtinId="0"/>
    <cellStyle name="Percent" xfId="3" builtinId="5"/>
    <cellStyle name="SectionHeaderNormal" xfId="8" xr:uid="{00000000-0005-0000-0000-00000A000000}"/>
    <cellStyle name="SubScript" xfId="12" xr:uid="{00000000-0005-0000-0000-00000E000000}"/>
    <cellStyle name="SuperScript" xfId="11" xr:uid="{00000000-0005-0000-0000-00000D000000}"/>
    <cellStyle name="TextBold" xfId="13" xr:uid="{00000000-0005-0000-0000-00000F000000}"/>
    <cellStyle name="TextItalic" xfId="14" xr:uid="{00000000-0005-0000-0000-000010000000}"/>
    <cellStyle name="TextNormal" xfId="10" xr:uid="{00000000-0005-0000-0000-00000C000000}"/>
    <cellStyle name="TitleNormal" xfId="4" xr:uid="{00000000-0005-0000-0000-000006000000}"/>
    <cellStyle name="Total" xfId="15" xr:uid="{00000000-0005-0000-0000-000011000000}"/>
  </cellStyles>
  <dxfs count="4">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2060"/>
      <rgbColor rgb="00FA4040"/>
      <rgbColor rgb="00FFFFEB"/>
      <rgbColor rgb="00EEEEEE"/>
      <rgbColor rgb="00F0F0DC"/>
      <rgbColor rgb="00993366"/>
      <rgbColor rgb="00F5F5E1"/>
      <rgbColor rgb="0000408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A9705076-6521-49C3-BD35-B0DA794BE901}"/>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47</xdr:row>
      <xdr:rowOff>0</xdr:rowOff>
    </xdr:from>
    <xdr:to>
      <xdr:col>3</xdr:col>
      <xdr:colOff>764586</xdr:colOff>
      <xdr:row>49</xdr:row>
      <xdr:rowOff>122709</xdr:rowOff>
    </xdr:to>
    <xdr:pic>
      <xdr:nvPicPr>
        <xdr:cNvPr id="3" name="Picture 3">
          <a:extLst>
            <a:ext uri="{FF2B5EF4-FFF2-40B4-BE49-F238E27FC236}">
              <a16:creationId xmlns:a16="http://schemas.microsoft.com/office/drawing/2014/main" id="{9610160F-93C9-4E58-9D56-8BD7F3A4277F}"/>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8088C36F-5BA0-467C-A6AC-172D3EFE194C}"/>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7BBFE78A-D5D6-457F-83BA-6F0633DF5FC3}"/>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2AE73079-AA1A-46C6-B91D-C011A7FED8D0}"/>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49</xdr:row>
      <xdr:rowOff>0</xdr:rowOff>
    </xdr:from>
    <xdr:to>
      <xdr:col>3</xdr:col>
      <xdr:colOff>764586</xdr:colOff>
      <xdr:row>51</xdr:row>
      <xdr:rowOff>122709</xdr:rowOff>
    </xdr:to>
    <xdr:pic>
      <xdr:nvPicPr>
        <xdr:cNvPr id="3" name="Picture 3">
          <a:extLst>
            <a:ext uri="{FF2B5EF4-FFF2-40B4-BE49-F238E27FC236}">
              <a16:creationId xmlns:a16="http://schemas.microsoft.com/office/drawing/2014/main" id="{C5F76B75-4952-498B-85F3-0B48358619DB}"/>
            </a:ext>
          </a:extLst>
        </xdr:cNvPr>
        <xdr:cNvPicPr>
          <a:picLocks noChangeAspect="1"/>
        </xdr:cNvPicPr>
      </xdr:nvPicPr>
      <xdr:blipFill>
        <a:blip xmlns:r="http://schemas.openxmlformats.org/officeDocument/2006/relationships" r:embed="rId2"/>
        <a:stretch>
          <a:fillRect/>
        </a:stretch>
      </xdr:blipFill>
      <xdr:spPr>
        <a:xfrm>
          <a:off x="5972175" y="7829550"/>
          <a:ext cx="762000" cy="6000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916130</xdr:colOff>
      <xdr:row>2</xdr:row>
      <xdr:rowOff>113854</xdr:rowOff>
    </xdr:to>
    <xdr:pic>
      <xdr:nvPicPr>
        <xdr:cNvPr id="2" name="Picture 2">
          <a:extLst>
            <a:ext uri="{FF2B5EF4-FFF2-40B4-BE49-F238E27FC236}">
              <a16:creationId xmlns:a16="http://schemas.microsoft.com/office/drawing/2014/main" id="{46F7BBDE-D56A-4B3B-8A11-858A90FBC4F2}"/>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43</xdr:row>
      <xdr:rowOff>0</xdr:rowOff>
    </xdr:from>
    <xdr:to>
      <xdr:col>4</xdr:col>
      <xdr:colOff>146921</xdr:colOff>
      <xdr:row>45</xdr:row>
      <xdr:rowOff>122709</xdr:rowOff>
    </xdr:to>
    <xdr:pic>
      <xdr:nvPicPr>
        <xdr:cNvPr id="3" name="Picture 3">
          <a:extLst>
            <a:ext uri="{FF2B5EF4-FFF2-40B4-BE49-F238E27FC236}">
              <a16:creationId xmlns:a16="http://schemas.microsoft.com/office/drawing/2014/main" id="{3E8B529B-64FB-41FD-B38B-C80C5A09BCCD}"/>
            </a:ext>
          </a:extLst>
        </xdr:cNvPr>
        <xdr:cNvPicPr>
          <a:picLocks noChangeAspect="1"/>
        </xdr:cNvPicPr>
      </xdr:nvPicPr>
      <xdr:blipFill>
        <a:blip xmlns:r="http://schemas.openxmlformats.org/officeDocument/2006/relationships" r:embed="rId2"/>
        <a:stretch>
          <a:fillRect/>
        </a:stretch>
      </xdr:blipFill>
      <xdr:spPr>
        <a:xfrm>
          <a:off x="6638925" y="6858000"/>
          <a:ext cx="762000"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111AB789-BF88-41DD-8369-27F0B2E89483}"/>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3</xdr:col>
      <xdr:colOff>0</xdr:colOff>
      <xdr:row>68</xdr:row>
      <xdr:rowOff>0</xdr:rowOff>
    </xdr:from>
    <xdr:to>
      <xdr:col>3</xdr:col>
      <xdr:colOff>764363</xdr:colOff>
      <xdr:row>70</xdr:row>
      <xdr:rowOff>122709</xdr:rowOff>
    </xdr:to>
    <xdr:pic>
      <xdr:nvPicPr>
        <xdr:cNvPr id="3" name="Picture 3">
          <a:extLst>
            <a:ext uri="{FF2B5EF4-FFF2-40B4-BE49-F238E27FC236}">
              <a16:creationId xmlns:a16="http://schemas.microsoft.com/office/drawing/2014/main" id="{7672DCEA-A852-4766-A662-52418A702E52}"/>
            </a:ext>
          </a:extLst>
        </xdr:cNvPr>
        <xdr:cNvPicPr>
          <a:picLocks noChangeAspect="1"/>
        </xdr:cNvPicPr>
      </xdr:nvPicPr>
      <xdr:blipFill>
        <a:blip xmlns:r="http://schemas.openxmlformats.org/officeDocument/2006/relationships" r:embed="rId2"/>
        <a:stretch>
          <a:fillRect/>
        </a:stretch>
      </xdr:blipFill>
      <xdr:spPr>
        <a:xfrm>
          <a:off x="4505325" y="10953750"/>
          <a:ext cx="762000"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917572</xdr:colOff>
      <xdr:row>2</xdr:row>
      <xdr:rowOff>113854</xdr:rowOff>
    </xdr:to>
    <xdr:pic>
      <xdr:nvPicPr>
        <xdr:cNvPr id="2" name="Picture 2">
          <a:extLst>
            <a:ext uri="{FF2B5EF4-FFF2-40B4-BE49-F238E27FC236}">
              <a16:creationId xmlns:a16="http://schemas.microsoft.com/office/drawing/2014/main" id="{E10D3D07-6683-4AB2-9B34-A509B3452F62}"/>
            </a:ext>
          </a:extLst>
        </xdr:cNvPr>
        <xdr:cNvPicPr>
          <a:picLocks noChangeAspect="1"/>
        </xdr:cNvPicPr>
      </xdr:nvPicPr>
      <xdr:blipFill>
        <a:blip xmlns:r="http://schemas.openxmlformats.org/officeDocument/2006/relationships" r:embed="rId1"/>
        <a:stretch>
          <a:fillRect/>
        </a:stretch>
      </xdr:blipFill>
      <xdr:spPr>
        <a:xfrm>
          <a:off x="0" y="0"/>
          <a:ext cx="914400" cy="438150"/>
        </a:xfrm>
        <a:prstGeom prst="rect">
          <a:avLst/>
        </a:prstGeom>
      </xdr:spPr>
    </xdr:pic>
    <xdr:clientData/>
  </xdr:twoCellAnchor>
  <xdr:twoCellAnchor>
    <xdr:from>
      <xdr:col>0</xdr:col>
      <xdr:colOff>8418</xdr:colOff>
      <xdr:row>14</xdr:row>
      <xdr:rowOff>0</xdr:rowOff>
    </xdr:from>
    <xdr:to>
      <xdr:col>3</xdr:col>
      <xdr:colOff>218266</xdr:colOff>
      <xdr:row>14</xdr:row>
      <xdr:rowOff>3807619</xdr:rowOff>
    </xdr:to>
    <xdr:pic>
      <xdr:nvPicPr>
        <xdr:cNvPr id="3" name="Picture 3">
          <a:extLst>
            <a:ext uri="{FF2B5EF4-FFF2-40B4-BE49-F238E27FC236}">
              <a16:creationId xmlns:a16="http://schemas.microsoft.com/office/drawing/2014/main" id="{CD58DB0D-9B0B-4B76-9616-FDB725A9FE0D}"/>
            </a:ext>
          </a:extLst>
        </xdr:cNvPr>
        <xdr:cNvPicPr>
          <a:picLocks noChangeAspect="1"/>
        </xdr:cNvPicPr>
      </xdr:nvPicPr>
      <xdr:blipFill>
        <a:blip xmlns:r="http://schemas.openxmlformats.org/officeDocument/2006/relationships" r:embed="rId2"/>
        <a:stretch>
          <a:fillRect/>
        </a:stretch>
      </xdr:blipFill>
      <xdr:spPr>
        <a:xfrm>
          <a:off x="9525" y="2266950"/>
          <a:ext cx="7610475" cy="3810000"/>
        </a:xfrm>
        <a:prstGeom prst="rect">
          <a:avLst/>
        </a:prstGeom>
      </xdr:spPr>
    </xdr:pic>
    <xdr:clientData/>
  </xdr:twoCellAnchor>
  <xdr:twoCellAnchor>
    <xdr:from>
      <xdr:col>3</xdr:col>
      <xdr:colOff>0</xdr:colOff>
      <xdr:row>31</xdr:row>
      <xdr:rowOff>0</xdr:rowOff>
    </xdr:from>
    <xdr:to>
      <xdr:col>4</xdr:col>
      <xdr:colOff>146921</xdr:colOff>
      <xdr:row>33</xdr:row>
      <xdr:rowOff>122709</xdr:rowOff>
    </xdr:to>
    <xdr:pic>
      <xdr:nvPicPr>
        <xdr:cNvPr id="4" name="Picture 4">
          <a:extLst>
            <a:ext uri="{FF2B5EF4-FFF2-40B4-BE49-F238E27FC236}">
              <a16:creationId xmlns:a16="http://schemas.microsoft.com/office/drawing/2014/main" id="{4CA94800-B361-4A98-B2B7-6C5B8EFFB6CA}"/>
            </a:ext>
          </a:extLst>
        </xdr:cNvPr>
        <xdr:cNvPicPr>
          <a:picLocks noChangeAspect="1"/>
        </xdr:cNvPicPr>
      </xdr:nvPicPr>
      <xdr:blipFill>
        <a:blip xmlns:r="http://schemas.openxmlformats.org/officeDocument/2006/relationships" r:embed="rId3"/>
        <a:stretch>
          <a:fillRect/>
        </a:stretch>
      </xdr:blipFill>
      <xdr:spPr>
        <a:xfrm>
          <a:off x="7400925" y="9934575"/>
          <a:ext cx="762000" cy="6000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4574D-2A76-4D6F-8315-7E257AD2F178}">
  <sheetPr codeName="Sheet1"/>
  <dimension ref="C5:S44"/>
  <sheetViews>
    <sheetView showGridLines="0" tabSelected="1" workbookViewId="0"/>
  </sheetViews>
  <sheetFormatPr defaultRowHeight="12.5" x14ac:dyDescent="0.25"/>
  <cols>
    <col min="1" max="2" width="8.7265625" style="66"/>
    <col min="3" max="3" width="44.81640625" style="66" bestFit="1" customWidth="1"/>
    <col min="4" max="4" width="19.453125" style="66" bestFit="1" customWidth="1"/>
    <col min="5" max="5" width="22.36328125" style="66" bestFit="1" customWidth="1"/>
    <col min="6" max="6" width="23.36328125" style="66" bestFit="1" customWidth="1"/>
    <col min="7" max="7" width="12.6328125" style="66" bestFit="1" customWidth="1"/>
    <col min="8" max="8" width="24.36328125" style="66" bestFit="1" customWidth="1"/>
    <col min="9" max="9" width="22.81640625" style="66" bestFit="1" customWidth="1"/>
    <col min="10" max="10" width="22.36328125" style="66" bestFit="1" customWidth="1"/>
    <col min="11" max="11" width="19.36328125" style="66" bestFit="1" customWidth="1"/>
    <col min="12" max="12" width="39" style="66" bestFit="1" customWidth="1"/>
    <col min="13" max="13" width="33.90625" style="66" bestFit="1" customWidth="1"/>
    <col min="14" max="14" width="26.1796875" style="66" bestFit="1" customWidth="1"/>
    <col min="15" max="15" width="8.7265625" style="66"/>
    <col min="16" max="16" width="28.1796875" style="66" bestFit="1" customWidth="1"/>
    <col min="17" max="19" width="12.90625" style="66" bestFit="1" customWidth="1"/>
    <col min="20" max="16384" width="8.7265625" style="66"/>
  </cols>
  <sheetData>
    <row r="5" spans="3:19" ht="13" thickBot="1" x14ac:dyDescent="0.3"/>
    <row r="6" spans="3:19" x14ac:dyDescent="0.25">
      <c r="C6" s="72" t="s">
        <v>8</v>
      </c>
      <c r="D6" s="73" t="s">
        <v>9</v>
      </c>
      <c r="E6" s="73" t="s">
        <v>10</v>
      </c>
      <c r="F6" s="73" t="s">
        <v>11</v>
      </c>
      <c r="G6" s="73" t="s">
        <v>12</v>
      </c>
      <c r="H6" s="73" t="s">
        <v>15</v>
      </c>
      <c r="I6" s="73" t="s">
        <v>22</v>
      </c>
      <c r="J6" s="73" t="s">
        <v>23</v>
      </c>
      <c r="K6" s="73" t="s">
        <v>24</v>
      </c>
      <c r="L6" s="73" t="s">
        <v>55</v>
      </c>
      <c r="M6" s="73" t="s">
        <v>56</v>
      </c>
      <c r="N6" s="74" t="s">
        <v>57</v>
      </c>
      <c r="P6" s="68"/>
      <c r="Q6" s="69" t="s">
        <v>133</v>
      </c>
      <c r="R6" s="69" t="s">
        <v>134</v>
      </c>
      <c r="S6" s="71" t="s">
        <v>135</v>
      </c>
    </row>
    <row r="7" spans="3:19" x14ac:dyDescent="0.25">
      <c r="C7" s="75" t="s">
        <v>25</v>
      </c>
      <c r="D7" s="87">
        <v>39.75</v>
      </c>
      <c r="E7" s="89">
        <v>3763.2</v>
      </c>
      <c r="F7" s="87">
        <v>149588.1</v>
      </c>
      <c r="G7" s="87">
        <v>-65523</v>
      </c>
      <c r="H7" s="87" t="s">
        <v>26</v>
      </c>
      <c r="I7" s="87">
        <v>78657.77</v>
      </c>
      <c r="J7" s="87" t="s">
        <v>26</v>
      </c>
      <c r="K7" s="87">
        <v>4.57</v>
      </c>
      <c r="L7" s="91" t="s">
        <v>26</v>
      </c>
      <c r="M7" s="91" t="s">
        <v>26</v>
      </c>
      <c r="N7" s="92">
        <v>8.7100000000000009</v>
      </c>
      <c r="P7" s="67" t="s">
        <v>136</v>
      </c>
      <c r="Q7" s="105">
        <v>0.33333333333333331</v>
      </c>
      <c r="R7" s="105">
        <v>0.33333333333333331</v>
      </c>
      <c r="S7" s="106">
        <v>0.33333333333333331</v>
      </c>
    </row>
    <row r="8" spans="3:19" x14ac:dyDescent="0.25">
      <c r="C8" s="75" t="s">
        <v>27</v>
      </c>
      <c r="D8" s="87">
        <v>29.28</v>
      </c>
      <c r="E8" s="89">
        <v>7972.4</v>
      </c>
      <c r="F8" s="87">
        <v>233433</v>
      </c>
      <c r="G8" s="87">
        <v>-346872</v>
      </c>
      <c r="H8" s="87" t="s">
        <v>26</v>
      </c>
      <c r="I8" s="87">
        <v>99216.11</v>
      </c>
      <c r="J8" s="87" t="s">
        <v>26</v>
      </c>
      <c r="K8" s="87">
        <v>3.24</v>
      </c>
      <c r="L8" s="91" t="s">
        <v>26</v>
      </c>
      <c r="M8" s="91" t="s">
        <v>26</v>
      </c>
      <c r="N8" s="92">
        <v>9.0299999999999994</v>
      </c>
      <c r="P8" s="67" t="s">
        <v>137</v>
      </c>
      <c r="Q8" s="107" t="e">
        <f>INDEX(L24:L44,MATCH($L$22,$K$24:$K$44))</f>
        <v>#NUM!</v>
      </c>
      <c r="R8" s="107" t="e">
        <f>INDEX(M24:M44,MATCH($L$22,$K$24:$K$44))</f>
        <v>#NUM!</v>
      </c>
      <c r="S8" s="108">
        <f>INDEX(N24:N44,MATCH($L$22,$K$24:$K$44))</f>
        <v>6.8080000000000007</v>
      </c>
    </row>
    <row r="9" spans="3:19" x14ac:dyDescent="0.25">
      <c r="C9" s="75" t="s">
        <v>28</v>
      </c>
      <c r="D9" s="87">
        <v>138.24</v>
      </c>
      <c r="E9" s="89">
        <v>2931.5</v>
      </c>
      <c r="F9" s="87">
        <v>405245.2</v>
      </c>
      <c r="G9" s="87">
        <v>-798263</v>
      </c>
      <c r="H9" s="87" t="s">
        <v>26</v>
      </c>
      <c r="I9" s="87">
        <v>145348.89000000001</v>
      </c>
      <c r="J9" s="87" t="s">
        <v>26</v>
      </c>
      <c r="K9" s="87">
        <v>13.77</v>
      </c>
      <c r="L9" s="91" t="s">
        <v>26</v>
      </c>
      <c r="M9" s="91" t="s">
        <v>26</v>
      </c>
      <c r="N9" s="92">
        <v>10.039999999999999</v>
      </c>
      <c r="P9" s="67" t="s">
        <v>138</v>
      </c>
      <c r="Q9" s="98">
        <v>78343.89</v>
      </c>
      <c r="R9" s="98" t="s">
        <v>26</v>
      </c>
      <c r="S9" s="99">
        <v>5.8</v>
      </c>
    </row>
    <row r="10" spans="3:19" x14ac:dyDescent="0.25">
      <c r="C10" s="75" t="s">
        <v>29</v>
      </c>
      <c r="D10" s="87">
        <v>89.97</v>
      </c>
      <c r="E10" s="89">
        <v>1672.4</v>
      </c>
      <c r="F10" s="87">
        <v>150462.9</v>
      </c>
      <c r="G10" s="87">
        <v>-187285</v>
      </c>
      <c r="H10" s="87" t="s">
        <v>26</v>
      </c>
      <c r="I10" s="87">
        <v>56533.67</v>
      </c>
      <c r="J10" s="87" t="s">
        <v>26</v>
      </c>
      <c r="K10" s="87">
        <v>6.8</v>
      </c>
      <c r="L10" s="91" t="s">
        <v>26</v>
      </c>
      <c r="M10" s="91" t="s">
        <v>26</v>
      </c>
      <c r="N10" s="92">
        <v>13.24</v>
      </c>
      <c r="P10" s="67" t="s">
        <v>139</v>
      </c>
      <c r="Q10" s="98" t="e">
        <f>Q9*Q8</f>
        <v>#NUM!</v>
      </c>
      <c r="R10" s="98" t="e">
        <f>R9*R8</f>
        <v>#VALUE!</v>
      </c>
      <c r="S10" s="99">
        <f>S12+S11</f>
        <v>-442638.87647999998</v>
      </c>
    </row>
    <row r="11" spans="3:19" x14ac:dyDescent="0.25">
      <c r="C11" s="75" t="s">
        <v>30</v>
      </c>
      <c r="D11" s="87">
        <v>34.28</v>
      </c>
      <c r="E11" s="89">
        <v>1531.8</v>
      </c>
      <c r="F11" s="87">
        <v>52509.7</v>
      </c>
      <c r="G11" s="87">
        <v>31692</v>
      </c>
      <c r="H11" s="87" t="s">
        <v>26</v>
      </c>
      <c r="I11" s="87">
        <v>28915.55</v>
      </c>
      <c r="J11" s="87" t="s">
        <v>26</v>
      </c>
      <c r="K11" s="87">
        <v>4.6399999999999997</v>
      </c>
      <c r="L11" s="91" t="s">
        <v>26</v>
      </c>
      <c r="M11" s="91" t="s">
        <v>26</v>
      </c>
      <c r="N11" s="92">
        <v>7.4</v>
      </c>
      <c r="P11" s="67" t="s">
        <v>140</v>
      </c>
      <c r="Q11" s="98">
        <v>-519511</v>
      </c>
      <c r="R11" s="98">
        <v>-519511</v>
      </c>
      <c r="S11" s="99">
        <v>-519511</v>
      </c>
    </row>
    <row r="12" spans="3:19" x14ac:dyDescent="0.25">
      <c r="C12" s="75" t="s">
        <v>31</v>
      </c>
      <c r="D12" s="87">
        <v>0.4</v>
      </c>
      <c r="E12" s="89">
        <v>294387.8</v>
      </c>
      <c r="F12" s="87">
        <v>145230.1</v>
      </c>
      <c r="G12" s="87">
        <v>298305.2</v>
      </c>
      <c r="H12" s="87" t="s">
        <v>26</v>
      </c>
      <c r="I12" s="87" t="s">
        <v>26</v>
      </c>
      <c r="J12" s="87" t="s">
        <v>26</v>
      </c>
      <c r="K12" s="87" t="s">
        <v>26</v>
      </c>
      <c r="L12" s="91" t="s">
        <v>26</v>
      </c>
      <c r="M12" s="91" t="s">
        <v>26</v>
      </c>
      <c r="N12" s="92" t="s">
        <v>26</v>
      </c>
      <c r="P12" s="67" t="s">
        <v>122</v>
      </c>
      <c r="Q12" s="98" t="e">
        <f>Q10-Q11</f>
        <v>#NUM!</v>
      </c>
      <c r="R12" s="98" t="e">
        <f>R10-R11</f>
        <v>#VALUE!</v>
      </c>
      <c r="S12" s="99">
        <f>S13*S14</f>
        <v>76872.123520000008</v>
      </c>
    </row>
    <row r="13" spans="3:19" x14ac:dyDescent="0.25">
      <c r="C13" s="75" t="s">
        <v>32</v>
      </c>
      <c r="D13" s="87">
        <v>130.25</v>
      </c>
      <c r="E13" s="89">
        <v>399.7</v>
      </c>
      <c r="F13" s="87">
        <v>52058.6</v>
      </c>
      <c r="G13" s="87">
        <v>53517</v>
      </c>
      <c r="H13" s="87" t="s">
        <v>26</v>
      </c>
      <c r="I13" s="87">
        <v>21978.03</v>
      </c>
      <c r="J13" s="87" t="s">
        <v>26</v>
      </c>
      <c r="K13" s="87">
        <v>13.04</v>
      </c>
      <c r="L13" s="91" t="s">
        <v>26</v>
      </c>
      <c r="M13" s="91" t="s">
        <v>26</v>
      </c>
      <c r="N13" s="92">
        <v>9.98</v>
      </c>
      <c r="P13" s="67" t="s">
        <v>141</v>
      </c>
      <c r="Q13" s="109">
        <v>1946.8</v>
      </c>
      <c r="R13" s="109">
        <v>1946.8</v>
      </c>
      <c r="S13" s="110">
        <v>1946.8</v>
      </c>
    </row>
    <row r="14" spans="3:19" ht="13" thickBot="1" x14ac:dyDescent="0.3">
      <c r="C14" s="75" t="s">
        <v>33</v>
      </c>
      <c r="D14" s="87">
        <v>7.21</v>
      </c>
      <c r="E14" s="89">
        <v>19978.8</v>
      </c>
      <c r="F14" s="87">
        <v>144117.4</v>
      </c>
      <c r="G14" s="87">
        <v>-485635</v>
      </c>
      <c r="H14" s="87" t="s">
        <v>26</v>
      </c>
      <c r="I14" s="87">
        <v>62585.7</v>
      </c>
      <c r="J14" s="87" t="s">
        <v>26</v>
      </c>
      <c r="K14" s="87">
        <v>1.08</v>
      </c>
      <c r="L14" s="91" t="s">
        <v>26</v>
      </c>
      <c r="M14" s="91" t="s">
        <v>26</v>
      </c>
      <c r="N14" s="92">
        <v>6.66</v>
      </c>
      <c r="P14" s="84" t="s">
        <v>142</v>
      </c>
      <c r="Q14" s="100" t="e">
        <f>Q12/Q13</f>
        <v>#NUM!</v>
      </c>
      <c r="R14" s="101" t="e">
        <f>R12/R13</f>
        <v>#VALUE!</v>
      </c>
      <c r="S14" s="102">
        <f>S8*S9</f>
        <v>39.486400000000003</v>
      </c>
    </row>
    <row r="15" spans="3:19" x14ac:dyDescent="0.25">
      <c r="C15" s="75" t="s">
        <v>34</v>
      </c>
      <c r="D15" s="87">
        <v>42.59</v>
      </c>
      <c r="E15" s="89">
        <v>789.1</v>
      </c>
      <c r="F15" s="87">
        <v>33609.199999999997</v>
      </c>
      <c r="G15" s="87">
        <v>-91473</v>
      </c>
      <c r="H15" s="87" t="s">
        <v>26</v>
      </c>
      <c r="I15" s="87">
        <v>17654.53</v>
      </c>
      <c r="J15" s="87" t="s">
        <v>26</v>
      </c>
      <c r="K15" s="87">
        <v>4.8899999999999997</v>
      </c>
      <c r="L15" s="91" t="s">
        <v>26</v>
      </c>
      <c r="M15" s="91" t="s">
        <v>26</v>
      </c>
      <c r="N15" s="92">
        <v>8.7100000000000009</v>
      </c>
      <c r="P15" s="68" t="s">
        <v>143</v>
      </c>
      <c r="Q15" s="103" t="e">
        <f>SUMPRODUCT(Q14:S14,Q7:S7)</f>
        <v>#NUM!</v>
      </c>
      <c r="R15" s="104"/>
      <c r="S15" s="104"/>
    </row>
    <row r="16" spans="3:19" x14ac:dyDescent="0.25">
      <c r="C16" s="75" t="s">
        <v>35</v>
      </c>
      <c r="D16" s="87">
        <v>0.39</v>
      </c>
      <c r="E16" s="89">
        <v>349983</v>
      </c>
      <c r="F16" s="87">
        <v>169794.6</v>
      </c>
      <c r="G16" s="87">
        <v>-359198.2</v>
      </c>
      <c r="H16" s="87" t="s">
        <v>26</v>
      </c>
      <c r="I16" s="87">
        <v>113991.21</v>
      </c>
      <c r="J16" s="87" t="s">
        <v>26</v>
      </c>
      <c r="K16" s="87">
        <v>0.11</v>
      </c>
      <c r="L16" s="91" t="s">
        <v>26</v>
      </c>
      <c r="M16" s="91" t="s">
        <v>26</v>
      </c>
      <c r="N16" s="92">
        <v>3.57</v>
      </c>
      <c r="P16" s="67" t="s">
        <v>144</v>
      </c>
      <c r="Q16" s="99">
        <v>47.07</v>
      </c>
      <c r="R16" s="104"/>
      <c r="S16" s="104"/>
    </row>
    <row r="17" spans="3:19" ht="13" thickBot="1" x14ac:dyDescent="0.3">
      <c r="C17" s="76" t="s">
        <v>36</v>
      </c>
      <c r="D17" s="88">
        <v>47.07</v>
      </c>
      <c r="E17" s="90">
        <v>1946.8</v>
      </c>
      <c r="F17" s="88">
        <v>91635.9</v>
      </c>
      <c r="G17" s="88">
        <v>-519511</v>
      </c>
      <c r="H17" s="88" t="s">
        <v>26</v>
      </c>
      <c r="I17" s="88">
        <v>78343.89</v>
      </c>
      <c r="J17" s="88" t="s">
        <v>26</v>
      </c>
      <c r="K17" s="88">
        <v>5.8</v>
      </c>
      <c r="L17" s="93" t="s">
        <v>26</v>
      </c>
      <c r="M17" s="93" t="s">
        <v>26</v>
      </c>
      <c r="N17" s="94">
        <v>8.1199999999999992</v>
      </c>
      <c r="P17" s="70" t="s">
        <v>145</v>
      </c>
      <c r="Q17" s="111" t="e">
        <f>Q15/Q16-1</f>
        <v>#NUM!</v>
      </c>
      <c r="R17" s="104"/>
      <c r="S17" s="104"/>
    </row>
    <row r="20" spans="3:19" ht="25" x14ac:dyDescent="0.25">
      <c r="C20" s="85" t="s">
        <v>146</v>
      </c>
      <c r="D20" s="86" t="e">
        <f>Q17</f>
        <v>#NUM!</v>
      </c>
    </row>
    <row r="21" spans="3:19" ht="13" thickBot="1" x14ac:dyDescent="0.3"/>
    <row r="22" spans="3:19" ht="13" thickBot="1" x14ac:dyDescent="0.3">
      <c r="K22" s="83" t="s">
        <v>132</v>
      </c>
      <c r="L22" s="112">
        <f>BENCHMARKING!D28</f>
        <v>0.17499999999999999</v>
      </c>
    </row>
    <row r="23" spans="3:19" ht="13" thickBot="1" x14ac:dyDescent="0.3">
      <c r="K23" s="66" t="s">
        <v>131</v>
      </c>
    </row>
    <row r="24" spans="3:19" x14ac:dyDescent="0.25">
      <c r="K24" s="95">
        <v>0</v>
      </c>
      <c r="L24" s="77" t="e">
        <f>PERCENTILE(L7:L16,K24)</f>
        <v>#NUM!</v>
      </c>
      <c r="M24" s="77" t="e">
        <f>PERCENTILE(M7:M16,K24)</f>
        <v>#NUM!</v>
      </c>
      <c r="N24" s="78">
        <f>PERCENTILE(N7:N16,K24)</f>
        <v>3.57</v>
      </c>
    </row>
    <row r="25" spans="3:19" x14ac:dyDescent="0.25">
      <c r="K25" s="96">
        <v>0.05</v>
      </c>
      <c r="L25" s="79" t="e">
        <f>PERCENTILE(L7:L16,K25)</f>
        <v>#NUM!</v>
      </c>
      <c r="M25" s="79" t="e">
        <f>PERCENTILE(M7:M16,K25)</f>
        <v>#NUM!</v>
      </c>
      <c r="N25" s="80">
        <f>PERCENTILE(N7:N16,K25)</f>
        <v>4.8059999999999992</v>
      </c>
    </row>
    <row r="26" spans="3:19" x14ac:dyDescent="0.25">
      <c r="K26" s="96">
        <v>0.1</v>
      </c>
      <c r="L26" s="79" t="e">
        <f>PERCENTILE(L7:L16,K26)</f>
        <v>#NUM!</v>
      </c>
      <c r="M26" s="79" t="e">
        <f>PERCENTILE(M7:M16,K26)</f>
        <v>#NUM!</v>
      </c>
      <c r="N26" s="80">
        <f>PERCENTILE(N7:N16,K26)</f>
        <v>6.0419999999999998</v>
      </c>
    </row>
    <row r="27" spans="3:19" x14ac:dyDescent="0.25">
      <c r="K27" s="96">
        <v>0.15</v>
      </c>
      <c r="L27" s="79" t="e">
        <f>PERCENTILE(L7:L16,K27)</f>
        <v>#NUM!</v>
      </c>
      <c r="M27" s="79" t="e">
        <f>PERCENTILE(M7:M16,K27)</f>
        <v>#NUM!</v>
      </c>
      <c r="N27" s="80">
        <f>PERCENTILE(N7:N16,K27)</f>
        <v>6.8080000000000007</v>
      </c>
    </row>
    <row r="28" spans="3:19" x14ac:dyDescent="0.25">
      <c r="K28" s="96">
        <v>0.2</v>
      </c>
      <c r="L28" s="79" t="e">
        <f>PERCENTILE(L7:L16,K28)</f>
        <v>#NUM!</v>
      </c>
      <c r="M28" s="79" t="e">
        <f>PERCENTILE(M7:M16,K28)</f>
        <v>#NUM!</v>
      </c>
      <c r="N28" s="80">
        <f>PERCENTILE(N7:N16,K28)</f>
        <v>7.1040000000000001</v>
      </c>
    </row>
    <row r="29" spans="3:19" x14ac:dyDescent="0.25">
      <c r="K29" s="96">
        <v>0.25</v>
      </c>
      <c r="L29" s="79" t="e">
        <f>PERCENTILE(L7:L16,K29)</f>
        <v>#NUM!</v>
      </c>
      <c r="M29" s="79" t="e">
        <f>PERCENTILE(M7:M16,K29)</f>
        <v>#NUM!</v>
      </c>
      <c r="N29" s="80">
        <f>PERCENTILE(N7:N16,K29)</f>
        <v>7.4</v>
      </c>
    </row>
    <row r="30" spans="3:19" x14ac:dyDescent="0.25">
      <c r="K30" s="96">
        <v>0.3</v>
      </c>
      <c r="L30" s="79" t="e">
        <f>PERCENTILE(L7:L16,K30)</f>
        <v>#NUM!</v>
      </c>
      <c r="M30" s="79" t="e">
        <f>PERCENTILE(M7:M16,K30)</f>
        <v>#NUM!</v>
      </c>
      <c r="N30" s="80">
        <f>PERCENTILE(N7:N16,K30)</f>
        <v>7.9240000000000004</v>
      </c>
    </row>
    <row r="31" spans="3:19" x14ac:dyDescent="0.25">
      <c r="K31" s="96">
        <v>0.35</v>
      </c>
      <c r="L31" s="79" t="e">
        <f>PERCENTILE(L7:L16,K31)</f>
        <v>#NUM!</v>
      </c>
      <c r="M31" s="79" t="e">
        <f>PERCENTILE(M7:M16,K31)</f>
        <v>#NUM!</v>
      </c>
      <c r="N31" s="80">
        <f>PERCENTILE(N7:N16,K31)</f>
        <v>8.4480000000000004</v>
      </c>
    </row>
    <row r="32" spans="3:19" x14ac:dyDescent="0.25">
      <c r="K32" s="96">
        <v>0.4</v>
      </c>
      <c r="L32" s="79" t="e">
        <f>PERCENTILE(L7:L16,K32)</f>
        <v>#NUM!</v>
      </c>
      <c r="M32" s="79" t="e">
        <f>PERCENTILE(M7:M16,K32)</f>
        <v>#NUM!</v>
      </c>
      <c r="N32" s="80">
        <f>PERCENTILE(N7:N16,K32)</f>
        <v>8.7100000000000009</v>
      </c>
    </row>
    <row r="33" spans="11:14" x14ac:dyDescent="0.25">
      <c r="K33" s="96">
        <v>0.45</v>
      </c>
      <c r="L33" s="79" t="e">
        <f>PERCENTILE(L7:L16,K33)</f>
        <v>#NUM!</v>
      </c>
      <c r="M33" s="79" t="e">
        <f>PERCENTILE(M7:M16,K33)</f>
        <v>#NUM!</v>
      </c>
      <c r="N33" s="80">
        <f>PERCENTILE(N7:N16,K33)</f>
        <v>8.7100000000000009</v>
      </c>
    </row>
    <row r="34" spans="11:14" x14ac:dyDescent="0.25">
      <c r="K34" s="96">
        <v>0.5</v>
      </c>
      <c r="L34" s="79" t="e">
        <f>PERCENTILE(L7:L16,K34)</f>
        <v>#NUM!</v>
      </c>
      <c r="M34" s="79" t="e">
        <f>PERCENTILE(M7:M16,K34)</f>
        <v>#NUM!</v>
      </c>
      <c r="N34" s="80">
        <f>PERCENTILE(N7:N16,K34)</f>
        <v>8.7100000000000009</v>
      </c>
    </row>
    <row r="35" spans="11:14" x14ac:dyDescent="0.25">
      <c r="K35" s="96">
        <v>0.55000000000000004</v>
      </c>
      <c r="L35" s="79" t="e">
        <f>PERCENTILE(L7:L16,K35)</f>
        <v>#NUM!</v>
      </c>
      <c r="M35" s="79" t="e">
        <f>PERCENTILE(M7:M16,K35)</f>
        <v>#NUM!</v>
      </c>
      <c r="N35" s="80">
        <f>PERCENTILE(N7:N16,K35)</f>
        <v>8.838000000000001</v>
      </c>
    </row>
    <row r="36" spans="11:14" x14ac:dyDescent="0.25">
      <c r="K36" s="96">
        <v>0.6</v>
      </c>
      <c r="L36" s="79" t="e">
        <f>PERCENTILE(L7:L16,K36)</f>
        <v>#NUM!</v>
      </c>
      <c r="M36" s="79" t="e">
        <f>PERCENTILE(M7:M16,K36)</f>
        <v>#NUM!</v>
      </c>
      <c r="N36" s="80">
        <f>PERCENTILE(N7:N16,K36)</f>
        <v>8.9659999999999993</v>
      </c>
    </row>
    <row r="37" spans="11:14" x14ac:dyDescent="0.25">
      <c r="K37" s="96">
        <v>0.65</v>
      </c>
      <c r="L37" s="79" t="e">
        <f>PERCENTILE(L7:L16,K37)</f>
        <v>#NUM!</v>
      </c>
      <c r="M37" s="79" t="e">
        <f>PERCENTILE(M7:M16,K37)</f>
        <v>#NUM!</v>
      </c>
      <c r="N37" s="80">
        <f>PERCENTILE(N7:N16,K37)</f>
        <v>9.2199999999999989</v>
      </c>
    </row>
    <row r="38" spans="11:14" x14ac:dyDescent="0.25">
      <c r="K38" s="96">
        <v>0.7</v>
      </c>
      <c r="L38" s="79" t="e">
        <f>PERCENTILE(L7:L16,K38)</f>
        <v>#NUM!</v>
      </c>
      <c r="M38" s="79" t="e">
        <f>PERCENTILE(M7:M16,K38)</f>
        <v>#NUM!</v>
      </c>
      <c r="N38" s="80">
        <f>PERCENTILE(N7:N16,K38)</f>
        <v>9.6</v>
      </c>
    </row>
    <row r="39" spans="11:14" x14ac:dyDescent="0.25">
      <c r="K39" s="96">
        <v>0.75</v>
      </c>
      <c r="L39" s="79" t="e">
        <f>PERCENTILE(L7:L16,K39)</f>
        <v>#NUM!</v>
      </c>
      <c r="M39" s="79" t="e">
        <f>PERCENTILE(M7:M16,K39)</f>
        <v>#NUM!</v>
      </c>
      <c r="N39" s="80">
        <f>PERCENTILE(N7:N16,K39)</f>
        <v>9.98</v>
      </c>
    </row>
    <row r="40" spans="11:14" x14ac:dyDescent="0.25">
      <c r="K40" s="96">
        <v>0.8</v>
      </c>
      <c r="L40" s="79" t="e">
        <f>PERCENTILE(L7:L16,K40)</f>
        <v>#NUM!</v>
      </c>
      <c r="M40" s="79" t="e">
        <f>PERCENTILE(M7:M16,K40)</f>
        <v>#NUM!</v>
      </c>
      <c r="N40" s="80">
        <f>PERCENTILE(N7:N16,K40)</f>
        <v>10.004</v>
      </c>
    </row>
    <row r="41" spans="11:14" x14ac:dyDescent="0.25">
      <c r="K41" s="96">
        <v>0.85</v>
      </c>
      <c r="L41" s="79" t="e">
        <f>PERCENTILE(L7:L16,K41)</f>
        <v>#NUM!</v>
      </c>
      <c r="M41" s="79" t="e">
        <f>PERCENTILE(M7:M16,K41)</f>
        <v>#NUM!</v>
      </c>
      <c r="N41" s="80">
        <f>PERCENTILE(N7:N16,K41)</f>
        <v>10.027999999999999</v>
      </c>
    </row>
    <row r="42" spans="11:14" x14ac:dyDescent="0.25">
      <c r="K42" s="96">
        <v>0.9</v>
      </c>
      <c r="L42" s="79" t="e">
        <f>PERCENTILE(L7:L16,K42)</f>
        <v>#NUM!</v>
      </c>
      <c r="M42" s="79" t="e">
        <f>PERCENTILE(M7:M16,K42)</f>
        <v>#NUM!</v>
      </c>
      <c r="N42" s="80">
        <f>PERCENTILE(N7:N16,K42)</f>
        <v>10.679999999999996</v>
      </c>
    </row>
    <row r="43" spans="11:14" x14ac:dyDescent="0.25">
      <c r="K43" s="96">
        <v>0.95</v>
      </c>
      <c r="L43" s="79" t="e">
        <f>PERCENTILE(L7:L16,K43)</f>
        <v>#NUM!</v>
      </c>
      <c r="M43" s="79" t="e">
        <f>PERCENTILE(M7:M16,K43)</f>
        <v>#NUM!</v>
      </c>
      <c r="N43" s="80">
        <f>PERCENTILE(N7:N16,K43)</f>
        <v>11.959999999999999</v>
      </c>
    </row>
    <row r="44" spans="11:14" ht="13" thickBot="1" x14ac:dyDescent="0.3">
      <c r="K44" s="97">
        <v>1</v>
      </c>
      <c r="L44" s="81" t="e">
        <f>PERCENTILE(L7:L16,K44)</f>
        <v>#NUM!</v>
      </c>
      <c r="M44" s="81" t="e">
        <f>PERCENTILE(M7:M16,K44)</f>
        <v>#NUM!</v>
      </c>
      <c r="N44" s="82">
        <f>PERCENTILE(N7:N16,K44)</f>
        <v>13.24</v>
      </c>
    </row>
  </sheetData>
  <conditionalFormatting sqref="Q17">
    <cfRule type="cellIs" dxfId="3" priority="4" operator="greaterThan">
      <formula>0</formula>
    </cfRule>
    <cfRule type="cellIs" dxfId="2" priority="3" operator="lessThan">
      <formula>0</formula>
    </cfRule>
    <cfRule type="cellIs" dxfId="1" priority="2" operator="greaterThan">
      <formula>0</formula>
    </cfRule>
    <cfRule type="cellIs" dxfId="0" priority="1" operator="lessThan">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43265-3022-42A8-9CD6-42050E39A94E}">
  <sheetPr codeName="Sheet2"/>
  <dimension ref="C5:O51"/>
  <sheetViews>
    <sheetView showGridLines="0" workbookViewId="0"/>
  </sheetViews>
  <sheetFormatPr defaultRowHeight="10" x14ac:dyDescent="0.2"/>
  <cols>
    <col min="1" max="2" width="8.7265625" style="29"/>
    <col min="3" max="3" width="13" style="29" bestFit="1" customWidth="1"/>
    <col min="4" max="4" width="8.36328125" style="29" bestFit="1" customWidth="1"/>
    <col min="5" max="5" width="7.36328125" style="29" bestFit="1" customWidth="1"/>
    <col min="6" max="6" width="7.54296875" style="29" bestFit="1" customWidth="1"/>
    <col min="7" max="7" width="7.36328125" style="29" bestFit="1" customWidth="1"/>
    <col min="8" max="8" width="8.1796875" style="29" bestFit="1" customWidth="1"/>
    <col min="9" max="9" width="7.81640625" style="29" bestFit="1" customWidth="1"/>
    <col min="10" max="10" width="7.90625" style="29" bestFit="1" customWidth="1"/>
    <col min="11" max="11" width="7.7265625" style="29" bestFit="1" customWidth="1"/>
    <col min="12" max="12" width="8.08984375" style="29" bestFit="1" customWidth="1"/>
    <col min="13" max="13" width="7.81640625" style="29" bestFit="1" customWidth="1"/>
    <col min="14" max="14" width="8.36328125" style="29" bestFit="1" customWidth="1"/>
    <col min="15" max="15" width="8.6328125" style="29" bestFit="1" customWidth="1"/>
    <col min="16" max="16384" width="8.7265625" style="29"/>
  </cols>
  <sheetData>
    <row r="5" spans="3:15" ht="10.5" thickBot="1" x14ac:dyDescent="0.25"/>
    <row r="6" spans="3:15" ht="53" thickBot="1" x14ac:dyDescent="0.25">
      <c r="C6" s="41" t="s">
        <v>8</v>
      </c>
      <c r="D6" s="48" t="s">
        <v>62</v>
      </c>
      <c r="E6" s="48" t="s">
        <v>63</v>
      </c>
      <c r="F6" s="48" t="s">
        <v>64</v>
      </c>
      <c r="G6" s="48" t="s">
        <v>65</v>
      </c>
      <c r="H6" s="48" t="s">
        <v>66</v>
      </c>
      <c r="I6" s="48" t="s">
        <v>67</v>
      </c>
      <c r="J6" s="48" t="s">
        <v>68</v>
      </c>
      <c r="K6" s="48" t="s">
        <v>69</v>
      </c>
      <c r="L6" s="48" t="s">
        <v>70</v>
      </c>
      <c r="M6" s="48" t="s">
        <v>71</v>
      </c>
      <c r="N6" s="48" t="s">
        <v>72</v>
      </c>
      <c r="O6" s="49" t="s">
        <v>73</v>
      </c>
    </row>
    <row r="7" spans="3:15" ht="31.5" x14ac:dyDescent="0.2">
      <c r="C7" s="46" t="s">
        <v>25</v>
      </c>
      <c r="D7" s="53" t="s">
        <v>26</v>
      </c>
      <c r="E7" s="54" t="s">
        <v>26</v>
      </c>
      <c r="F7" s="54" t="s">
        <v>26</v>
      </c>
      <c r="G7" s="55">
        <v>0.19639999999999999</v>
      </c>
      <c r="H7" s="55">
        <v>-0.10390000000000001</v>
      </c>
      <c r="I7" s="54" t="s">
        <v>26</v>
      </c>
      <c r="J7" s="54" t="s">
        <v>26</v>
      </c>
      <c r="K7" s="55">
        <v>-0.30109999999999998</v>
      </c>
      <c r="L7" s="54" t="s">
        <v>26</v>
      </c>
      <c r="M7" s="54" t="s">
        <v>26</v>
      </c>
      <c r="N7" s="55">
        <v>0.13200000000000001</v>
      </c>
      <c r="O7" s="56">
        <v>1.1200000000000001</v>
      </c>
    </row>
    <row r="8" spans="3:15" ht="31.5" x14ac:dyDescent="0.2">
      <c r="C8" s="46" t="s">
        <v>27</v>
      </c>
      <c r="D8" s="50" t="s">
        <v>26</v>
      </c>
      <c r="E8" s="39" t="s">
        <v>26</v>
      </c>
      <c r="F8" s="39" t="s">
        <v>26</v>
      </c>
      <c r="G8" s="40">
        <v>0.30280000000000001</v>
      </c>
      <c r="H8" s="40">
        <v>2.5100000000000001E-2</v>
      </c>
      <c r="I8" s="39" t="s">
        <v>26</v>
      </c>
      <c r="J8" s="39" t="s">
        <v>26</v>
      </c>
      <c r="K8" s="40">
        <v>-7.6600000000000001E-2</v>
      </c>
      <c r="L8" s="39" t="s">
        <v>26</v>
      </c>
      <c r="M8" s="39" t="s">
        <v>26</v>
      </c>
      <c r="N8" s="39" t="s">
        <v>26</v>
      </c>
      <c r="O8" s="44">
        <v>1.38</v>
      </c>
    </row>
    <row r="9" spans="3:15" ht="31.5" x14ac:dyDescent="0.2">
      <c r="C9" s="46" t="s">
        <v>28</v>
      </c>
      <c r="D9" s="50" t="s">
        <v>26</v>
      </c>
      <c r="E9" s="39" t="s">
        <v>26</v>
      </c>
      <c r="F9" s="39" t="s">
        <v>26</v>
      </c>
      <c r="G9" s="40">
        <v>0.32540000000000002</v>
      </c>
      <c r="H9" s="40">
        <v>4.36E-2</v>
      </c>
      <c r="I9" s="39" t="s">
        <v>26</v>
      </c>
      <c r="J9" s="39" t="s">
        <v>26</v>
      </c>
      <c r="K9" s="40">
        <v>-7.1000000000000004E-3</v>
      </c>
      <c r="L9" s="39" t="s">
        <v>26</v>
      </c>
      <c r="M9" s="39" t="s">
        <v>26</v>
      </c>
      <c r="N9" s="40">
        <v>-5.0000000000000001E-3</v>
      </c>
      <c r="O9" s="44">
        <v>1.08</v>
      </c>
    </row>
    <row r="10" spans="3:15" ht="21" x14ac:dyDescent="0.2">
      <c r="C10" s="46" t="s">
        <v>29</v>
      </c>
      <c r="D10" s="51">
        <v>0.86699999999999999</v>
      </c>
      <c r="E10" s="39" t="s">
        <v>26</v>
      </c>
      <c r="F10" s="39" t="s">
        <v>26</v>
      </c>
      <c r="G10" s="40">
        <v>0.19539999999999999</v>
      </c>
      <c r="H10" s="40">
        <v>-9.8000000000000004E-2</v>
      </c>
      <c r="I10" s="39" t="s">
        <v>26</v>
      </c>
      <c r="J10" s="39" t="s">
        <v>26</v>
      </c>
      <c r="K10" s="40">
        <v>-0.29060000000000002</v>
      </c>
      <c r="L10" s="40">
        <v>0.78400000000000003</v>
      </c>
      <c r="M10" s="39" t="s">
        <v>26</v>
      </c>
      <c r="N10" s="40">
        <v>2.1700000000000001E-2</v>
      </c>
      <c r="O10" s="44">
        <v>1.32</v>
      </c>
    </row>
    <row r="11" spans="3:15" ht="21" x14ac:dyDescent="0.2">
      <c r="C11" s="46" t="s">
        <v>30</v>
      </c>
      <c r="D11" s="50" t="s">
        <v>26</v>
      </c>
      <c r="E11" s="39" t="s">
        <v>26</v>
      </c>
      <c r="F11" s="39" t="s">
        <v>26</v>
      </c>
      <c r="G11" s="40">
        <v>0.255</v>
      </c>
      <c r="H11" s="40">
        <v>1.8599999999999998E-2</v>
      </c>
      <c r="I11" s="39" t="s">
        <v>26</v>
      </c>
      <c r="J11" s="39" t="s">
        <v>26</v>
      </c>
      <c r="K11" s="40">
        <v>-0.17599999999999999</v>
      </c>
      <c r="L11" s="39" t="s">
        <v>26</v>
      </c>
      <c r="M11" s="39" t="s">
        <v>26</v>
      </c>
      <c r="N11" s="40">
        <v>9.0499999999999997E-2</v>
      </c>
      <c r="O11" s="44">
        <v>0.95</v>
      </c>
    </row>
    <row r="12" spans="3:15" ht="31.5" x14ac:dyDescent="0.2">
      <c r="C12" s="46" t="s">
        <v>31</v>
      </c>
      <c r="D12" s="50" t="s">
        <v>26</v>
      </c>
      <c r="E12" s="39" t="s">
        <v>26</v>
      </c>
      <c r="F12" s="39" t="s">
        <v>26</v>
      </c>
      <c r="G12" s="40">
        <v>0.4254</v>
      </c>
      <c r="H12" s="40">
        <v>7.8299999999999995E-2</v>
      </c>
      <c r="I12" s="39" t="s">
        <v>26</v>
      </c>
      <c r="J12" s="39" t="s">
        <v>26</v>
      </c>
      <c r="K12" s="40">
        <v>3.5400000000000001E-2</v>
      </c>
      <c r="L12" s="39" t="s">
        <v>26</v>
      </c>
      <c r="M12" s="39" t="s">
        <v>26</v>
      </c>
      <c r="N12" s="40">
        <v>5.1799999999999999E-2</v>
      </c>
      <c r="O12" s="44">
        <v>0.41</v>
      </c>
    </row>
    <row r="13" spans="3:15" ht="42" x14ac:dyDescent="0.2">
      <c r="C13" s="46" t="s">
        <v>32</v>
      </c>
      <c r="D13" s="50" t="s">
        <v>26</v>
      </c>
      <c r="E13" s="39" t="s">
        <v>26</v>
      </c>
      <c r="F13" s="39" t="s">
        <v>26</v>
      </c>
      <c r="G13" s="40">
        <v>0.2989</v>
      </c>
      <c r="H13" s="40">
        <v>4.9299999999999997E-2</v>
      </c>
      <c r="I13" s="39" t="s">
        <v>26</v>
      </c>
      <c r="J13" s="39" t="s">
        <v>26</v>
      </c>
      <c r="K13" s="40">
        <v>0.1983</v>
      </c>
      <c r="L13" s="39" t="s">
        <v>26</v>
      </c>
      <c r="M13" s="39" t="s">
        <v>26</v>
      </c>
      <c r="N13" s="40">
        <v>0.40500000000000003</v>
      </c>
      <c r="O13" s="44">
        <v>1.1000000000000001</v>
      </c>
    </row>
    <row r="14" spans="3:15" ht="21" x14ac:dyDescent="0.2">
      <c r="C14" s="46" t="s">
        <v>33</v>
      </c>
      <c r="D14" s="50" t="s">
        <v>26</v>
      </c>
      <c r="E14" s="39" t="s">
        <v>26</v>
      </c>
      <c r="F14" s="39" t="s">
        <v>26</v>
      </c>
      <c r="G14" s="40">
        <v>0.31740000000000002</v>
      </c>
      <c r="H14" s="40">
        <v>6.9999999999999999E-4</v>
      </c>
      <c r="I14" s="39" t="s">
        <v>26</v>
      </c>
      <c r="J14" s="39" t="s">
        <v>26</v>
      </c>
      <c r="K14" s="40">
        <v>0.1522</v>
      </c>
      <c r="L14" s="39" t="s">
        <v>26</v>
      </c>
      <c r="M14" s="39" t="s">
        <v>26</v>
      </c>
      <c r="N14" s="40">
        <v>0.15390000000000001</v>
      </c>
      <c r="O14" s="44">
        <v>0.57999999999999996</v>
      </c>
    </row>
    <row r="15" spans="3:15" ht="42" x14ac:dyDescent="0.2">
      <c r="C15" s="46" t="s">
        <v>34</v>
      </c>
      <c r="D15" s="50" t="s">
        <v>26</v>
      </c>
      <c r="E15" s="39" t="s">
        <v>26</v>
      </c>
      <c r="F15" s="39" t="s">
        <v>26</v>
      </c>
      <c r="G15" s="40">
        <v>0.16569999999999999</v>
      </c>
      <c r="H15" s="40">
        <v>4.1500000000000002E-2</v>
      </c>
      <c r="I15" s="39" t="s">
        <v>26</v>
      </c>
      <c r="J15" s="39" t="s">
        <v>26</v>
      </c>
      <c r="K15" s="40">
        <v>-0.23</v>
      </c>
      <c r="L15" s="39" t="s">
        <v>26</v>
      </c>
      <c r="M15" s="39" t="s">
        <v>26</v>
      </c>
      <c r="N15" s="40">
        <v>9.1899999999999996E-2</v>
      </c>
      <c r="O15" s="44">
        <v>1.06</v>
      </c>
    </row>
    <row r="16" spans="3:15" ht="31.5" x14ac:dyDescent="0.2">
      <c r="C16" s="46" t="s">
        <v>35</v>
      </c>
      <c r="D16" s="50" t="s">
        <v>26</v>
      </c>
      <c r="E16" s="39" t="s">
        <v>26</v>
      </c>
      <c r="F16" s="39" t="s">
        <v>26</v>
      </c>
      <c r="G16" s="40">
        <v>0.44829999999999998</v>
      </c>
      <c r="H16" s="40">
        <v>6.7699999999999996E-2</v>
      </c>
      <c r="I16" s="39" t="s">
        <v>26</v>
      </c>
      <c r="J16" s="39" t="s">
        <v>26</v>
      </c>
      <c r="K16" s="40">
        <v>0.06</v>
      </c>
      <c r="L16" s="39" t="s">
        <v>26</v>
      </c>
      <c r="M16" s="39" t="s">
        <v>26</v>
      </c>
      <c r="N16" s="40">
        <v>4.9700000000000001E-2</v>
      </c>
      <c r="O16" s="44">
        <v>0.44</v>
      </c>
    </row>
    <row r="17" spans="3:15" ht="21.5" thickBot="1" x14ac:dyDescent="0.25">
      <c r="C17" s="47" t="s">
        <v>36</v>
      </c>
      <c r="D17" s="52" t="s">
        <v>26</v>
      </c>
      <c r="E17" s="42" t="s">
        <v>26</v>
      </c>
      <c r="F17" s="42" t="s">
        <v>26</v>
      </c>
      <c r="G17" s="43">
        <v>0.2122</v>
      </c>
      <c r="H17" s="43">
        <v>-1.9300000000000001E-2</v>
      </c>
      <c r="I17" s="42" t="s">
        <v>26</v>
      </c>
      <c r="J17" s="42" t="s">
        <v>26</v>
      </c>
      <c r="K17" s="43">
        <v>-0.1731</v>
      </c>
      <c r="L17" s="42" t="s">
        <v>26</v>
      </c>
      <c r="M17" s="42" t="s">
        <v>26</v>
      </c>
      <c r="N17" s="43">
        <v>-3.39E-2</v>
      </c>
      <c r="O17" s="45">
        <v>1.56</v>
      </c>
    </row>
    <row r="27" spans="3:15" ht="10.5" thickBot="1" x14ac:dyDescent="0.25"/>
    <row r="28" spans="3:15" ht="10.5" thickBot="1" x14ac:dyDescent="0.25">
      <c r="C28" s="37" t="s">
        <v>129</v>
      </c>
      <c r="D28" s="35">
        <f>AVERAGE(D29:O29)</f>
        <v>0.17499999999999999</v>
      </c>
    </row>
    <row r="29" spans="3:15" ht="10.5" thickBot="1" x14ac:dyDescent="0.25">
      <c r="C29" s="38" t="s">
        <v>130</v>
      </c>
      <c r="D29" s="36" t="str">
        <f>IFERROR(INDEX(C31:C51,MATCH(D17,D31:D51)),"NA")</f>
        <v>NA</v>
      </c>
      <c r="E29" s="33" t="str">
        <f>IFERROR(INDEX(C31:C51,MATCH(E17,E31:E51)),"NA")</f>
        <v>NA</v>
      </c>
      <c r="F29" s="33" t="str">
        <f>IFERROR(INDEX(C31:C51,MATCH(F17,F31:F51)),"NA")</f>
        <v>NA</v>
      </c>
      <c r="G29" s="33">
        <f>IFERROR(INDEX(C31:C51,MATCH(G17,G31:G51)),"NA")</f>
        <v>0.25</v>
      </c>
      <c r="H29" s="33">
        <f>IFERROR(INDEX(C31:C51,MATCH(H17,H31:H51)),"NA")</f>
        <v>0.15</v>
      </c>
      <c r="I29" s="33" t="str">
        <f>IFERROR(INDEX(C31:C51,MATCH(I17,I31:I51)),"NA")</f>
        <v>NA</v>
      </c>
      <c r="J29" s="33" t="str">
        <f>IFERROR(INDEX(C31:C51,MATCH(J17,J31:J51)),"NA")</f>
        <v>NA</v>
      </c>
      <c r="K29" s="33">
        <f>IFERROR(INDEX(C31:C51,MATCH(K17,K31:K51)),"NA")</f>
        <v>0.3</v>
      </c>
      <c r="L29" s="33" t="str">
        <f>IFERROR(INDEX(C31:C51,MATCH(L17,L31:L51)),"NA")</f>
        <v>NA</v>
      </c>
      <c r="M29" s="33" t="str">
        <f>IFERROR((1-INDEX(C31:C51,MATCH(M17,M31:M51))),"NA")</f>
        <v>NA</v>
      </c>
      <c r="N29" s="33" t="str">
        <f>IFERROR(INDEX(C31:C51,MATCH(N17,N31:N51)),"NA")</f>
        <v>NA</v>
      </c>
      <c r="O29" s="34">
        <f>IFERROR((1-INDEX(C31:C51,MATCH(O17,O31:O51))),"NA")</f>
        <v>0</v>
      </c>
    </row>
    <row r="30" spans="3:15" ht="10.5" thickBot="1" x14ac:dyDescent="0.25">
      <c r="C30" s="29" t="s">
        <v>131</v>
      </c>
    </row>
    <row r="31" spans="3:15" x14ac:dyDescent="0.2">
      <c r="C31" s="31">
        <v>0</v>
      </c>
      <c r="D31" s="57">
        <f>PERCENTILE(D7:D16,C31)</f>
        <v>0.86699999999999999</v>
      </c>
      <c r="E31" s="57" t="e">
        <f>PERCENTILE(E7:E16,C31)</f>
        <v>#NUM!</v>
      </c>
      <c r="F31" s="57" t="e">
        <f>PERCENTILE(F7:F16,C31)</f>
        <v>#NUM!</v>
      </c>
      <c r="G31" s="57">
        <f>PERCENTILE(G7:G16,C31)</f>
        <v>0.16569999999999999</v>
      </c>
      <c r="H31" s="57">
        <f>PERCENTILE(H7:H16,C31)</f>
        <v>-0.10390000000000001</v>
      </c>
      <c r="I31" s="57" t="e">
        <f>PERCENTILE(I7:I16,C31)</f>
        <v>#NUM!</v>
      </c>
      <c r="J31" s="57" t="e">
        <f>PERCENTILE(J7:J16,C31)</f>
        <v>#NUM!</v>
      </c>
      <c r="K31" s="57">
        <f>PERCENTILE(K7:K16,C31)</f>
        <v>-0.30109999999999998</v>
      </c>
      <c r="L31" s="57">
        <f>PERCENTILE(L7:L16,C31)</f>
        <v>0.78400000000000003</v>
      </c>
      <c r="M31" s="60" t="e">
        <f>PERCENTILE(M7:M16,C31)</f>
        <v>#NUM!</v>
      </c>
      <c r="N31" s="57">
        <f>PERCENTILE(N7:N16,C31)</f>
        <v>-5.0000000000000001E-3</v>
      </c>
      <c r="O31" s="63">
        <f>PERCENTILE(O7:O16,C31)</f>
        <v>0.41</v>
      </c>
    </row>
    <row r="32" spans="3:15" x14ac:dyDescent="0.2">
      <c r="C32" s="30">
        <v>0.05</v>
      </c>
      <c r="D32" s="58">
        <f>PERCENTILE(D7:D16,C32)</f>
        <v>0.86699999999999999</v>
      </c>
      <c r="E32" s="58" t="e">
        <f>PERCENTILE(E7:E16,C32)</f>
        <v>#NUM!</v>
      </c>
      <c r="F32" s="58" t="e">
        <f>PERCENTILE(F7:F16,C32)</f>
        <v>#NUM!</v>
      </c>
      <c r="G32" s="58">
        <f>PERCENTILE(G7:G16,C32)</f>
        <v>0.17906499999999997</v>
      </c>
      <c r="H32" s="58">
        <f>PERCENTILE(H7:H16,C32)</f>
        <v>-0.101245</v>
      </c>
      <c r="I32" s="58" t="e">
        <f>PERCENTILE(I7:I16,C32)</f>
        <v>#NUM!</v>
      </c>
      <c r="J32" s="58" t="e">
        <f>PERCENTILE(J7:J16,C32)</f>
        <v>#NUM!</v>
      </c>
      <c r="K32" s="58">
        <f>PERCENTILE(K7:K16,C32)</f>
        <v>-0.296375</v>
      </c>
      <c r="L32" s="58">
        <f>PERCENTILE(L7:L16,C32)</f>
        <v>0.78400000000000003</v>
      </c>
      <c r="M32" s="61" t="e">
        <f>PERCENTILE(M7:M16,C32)</f>
        <v>#NUM!</v>
      </c>
      <c r="N32" s="58">
        <f>PERCENTILE(N7:N16,C32)</f>
        <v>5.6799999999999984E-3</v>
      </c>
      <c r="O32" s="64">
        <f>PERCENTILE(O7:O16,C32)</f>
        <v>0.42349999999999999</v>
      </c>
    </row>
    <row r="33" spans="3:15" x14ac:dyDescent="0.2">
      <c r="C33" s="30">
        <v>0.1</v>
      </c>
      <c r="D33" s="58">
        <f>PERCENTILE(D7:D16,C33)</f>
        <v>0.86699999999999999</v>
      </c>
      <c r="E33" s="58" t="e">
        <f>PERCENTILE(E7:E16,C33)</f>
        <v>#NUM!</v>
      </c>
      <c r="F33" s="58" t="e">
        <f>PERCENTILE(F7:F16,C33)</f>
        <v>#NUM!</v>
      </c>
      <c r="G33" s="58">
        <f>PERCENTILE(G7:G16,C33)</f>
        <v>0.19242999999999999</v>
      </c>
      <c r="H33" s="58">
        <f>PERCENTILE(H7:H16,C33)</f>
        <v>-9.8590000000000011E-2</v>
      </c>
      <c r="I33" s="58" t="e">
        <f>PERCENTILE(I7:I16,C33)</f>
        <v>#NUM!</v>
      </c>
      <c r="J33" s="58" t="e">
        <f>PERCENTILE(J7:J16,C33)</f>
        <v>#NUM!</v>
      </c>
      <c r="K33" s="58">
        <f>PERCENTILE(K7:K16,C33)</f>
        <v>-0.29165000000000002</v>
      </c>
      <c r="L33" s="58">
        <f>PERCENTILE(L7:L16,C33)</f>
        <v>0.78400000000000003</v>
      </c>
      <c r="M33" s="61" t="e">
        <f>PERCENTILE(M7:M16,C33)</f>
        <v>#NUM!</v>
      </c>
      <c r="N33" s="58">
        <f>PERCENTILE(N7:N16,C33)</f>
        <v>1.6360000000000003E-2</v>
      </c>
      <c r="O33" s="64">
        <f>PERCENTILE(O7:O16,C33)</f>
        <v>0.437</v>
      </c>
    </row>
    <row r="34" spans="3:15" x14ac:dyDescent="0.2">
      <c r="C34" s="30">
        <v>0.15</v>
      </c>
      <c r="D34" s="58">
        <f>PERCENTILE(D7:D16,C34)</f>
        <v>0.86699999999999999</v>
      </c>
      <c r="E34" s="58" t="e">
        <f>PERCENTILE(E7:E16,C34)</f>
        <v>#NUM!</v>
      </c>
      <c r="F34" s="58" t="e">
        <f>PERCENTILE(F7:F16,C34)</f>
        <v>#NUM!</v>
      </c>
      <c r="G34" s="58">
        <f>PERCENTILE(G7:G16,C34)</f>
        <v>0.19574999999999998</v>
      </c>
      <c r="H34" s="58">
        <f>PERCENTILE(H7:H16,C34)</f>
        <v>-6.3455000000000039E-2</v>
      </c>
      <c r="I34" s="58" t="e">
        <f>PERCENTILE(I7:I16,C34)</f>
        <v>#NUM!</v>
      </c>
      <c r="J34" s="58" t="e">
        <f>PERCENTILE(J7:J16,C34)</f>
        <v>#NUM!</v>
      </c>
      <c r="K34" s="58">
        <f>PERCENTILE(K7:K16,C34)</f>
        <v>-0.26939000000000002</v>
      </c>
      <c r="L34" s="58">
        <f>PERCENTILE(L7:L16,C34)</f>
        <v>0.78400000000000003</v>
      </c>
      <c r="M34" s="61" t="e">
        <f>PERCENTILE(M7:M16,C34)</f>
        <v>#NUM!</v>
      </c>
      <c r="N34" s="58">
        <f>PERCENTILE(N7:N16,C34)</f>
        <v>2.7300000000000005E-2</v>
      </c>
      <c r="O34" s="64">
        <f>PERCENTILE(O7:O16,C34)</f>
        <v>0.48899999999999993</v>
      </c>
    </row>
    <row r="35" spans="3:15" x14ac:dyDescent="0.2">
      <c r="C35" s="30">
        <v>0.2</v>
      </c>
      <c r="D35" s="58">
        <f>PERCENTILE(D7:D16,C35)</f>
        <v>0.86699999999999999</v>
      </c>
      <c r="E35" s="58" t="e">
        <f>PERCENTILE(E7:E16,C35)</f>
        <v>#NUM!</v>
      </c>
      <c r="F35" s="58" t="e">
        <f>PERCENTILE(F7:F16,C35)</f>
        <v>#NUM!</v>
      </c>
      <c r="G35" s="58">
        <f>PERCENTILE(G7:G16,C35)</f>
        <v>0.19619999999999999</v>
      </c>
      <c r="H35" s="58">
        <f>PERCENTILE(H7:H16,C35)</f>
        <v>-1.9040000000000015E-2</v>
      </c>
      <c r="I35" s="58" t="e">
        <f>PERCENTILE(I7:I16,C35)</f>
        <v>#NUM!</v>
      </c>
      <c r="J35" s="58" t="e">
        <f>PERCENTILE(J7:J16,C35)</f>
        <v>#NUM!</v>
      </c>
      <c r="K35" s="58">
        <f>PERCENTILE(K7:K16,C35)</f>
        <v>-0.24212000000000003</v>
      </c>
      <c r="L35" s="58">
        <f>PERCENTILE(L7:L16,C35)</f>
        <v>0.78400000000000003</v>
      </c>
      <c r="M35" s="61" t="e">
        <f>PERCENTILE(M7:M16,C35)</f>
        <v>#NUM!</v>
      </c>
      <c r="N35" s="58">
        <f>PERCENTILE(N7:N16,C35)</f>
        <v>3.8500000000000006E-2</v>
      </c>
      <c r="O35" s="64">
        <f>PERCENTILE(O7:O16,C35)</f>
        <v>0.55199999999999994</v>
      </c>
    </row>
    <row r="36" spans="3:15" x14ac:dyDescent="0.2">
      <c r="C36" s="30">
        <v>0.25</v>
      </c>
      <c r="D36" s="58">
        <f>PERCENTILE(D7:D16,C36)</f>
        <v>0.86699999999999999</v>
      </c>
      <c r="E36" s="58" t="e">
        <f>PERCENTILE(E7:E16,C36)</f>
        <v>#NUM!</v>
      </c>
      <c r="F36" s="58" t="e">
        <f>PERCENTILE(F7:F16,C36)</f>
        <v>#NUM!</v>
      </c>
      <c r="G36" s="58">
        <f>PERCENTILE(G7:G16,C36)</f>
        <v>0.21104999999999999</v>
      </c>
      <c r="H36" s="58">
        <f>PERCENTILE(H7:H16,C36)</f>
        <v>5.1749999999999999E-3</v>
      </c>
      <c r="I36" s="58" t="e">
        <f>PERCENTILE(I7:I16,C36)</f>
        <v>#NUM!</v>
      </c>
      <c r="J36" s="58" t="e">
        <f>PERCENTILE(J7:J16,C36)</f>
        <v>#NUM!</v>
      </c>
      <c r="K36" s="58">
        <f>PERCENTILE(K7:K16,C36)</f>
        <v>-0.2165</v>
      </c>
      <c r="L36" s="58">
        <f>PERCENTILE(L7:L16,C36)</f>
        <v>0.78400000000000003</v>
      </c>
      <c r="M36" s="61" t="e">
        <f>PERCENTILE(M7:M16,C36)</f>
        <v>#NUM!</v>
      </c>
      <c r="N36" s="58">
        <f>PERCENTILE(N7:N16,C36)</f>
        <v>4.9700000000000001E-2</v>
      </c>
      <c r="O36" s="64">
        <f>PERCENTILE(O7:O16,C36)</f>
        <v>0.67249999999999999</v>
      </c>
    </row>
    <row r="37" spans="3:15" x14ac:dyDescent="0.2">
      <c r="C37" s="30">
        <v>0.3</v>
      </c>
      <c r="D37" s="58">
        <f>PERCENTILE(D7:D16,C37)</f>
        <v>0.86699999999999999</v>
      </c>
      <c r="E37" s="58" t="e">
        <f>PERCENTILE(E7:E16,C37)</f>
        <v>#NUM!</v>
      </c>
      <c r="F37" s="58" t="e">
        <f>PERCENTILE(F7:F16,C37)</f>
        <v>#NUM!</v>
      </c>
      <c r="G37" s="58">
        <f>PERCENTILE(G7:G16,C37)</f>
        <v>0.23741999999999999</v>
      </c>
      <c r="H37" s="58">
        <f>PERCENTILE(H7:H16,C37)</f>
        <v>1.3229999999999994E-2</v>
      </c>
      <c r="I37" s="58" t="e">
        <f>PERCENTILE(I7:I16,C37)</f>
        <v>#NUM!</v>
      </c>
      <c r="J37" s="58" t="e">
        <f>PERCENTILE(J7:J16,C37)</f>
        <v>#NUM!</v>
      </c>
      <c r="K37" s="58">
        <f>PERCENTILE(K7:K16,C37)</f>
        <v>-0.19220000000000001</v>
      </c>
      <c r="L37" s="58">
        <f>PERCENTILE(L7:L16,C37)</f>
        <v>0.78400000000000003</v>
      </c>
      <c r="M37" s="61" t="e">
        <f>PERCENTILE(M7:M16,C37)</f>
        <v>#NUM!</v>
      </c>
      <c r="N37" s="58">
        <f>PERCENTILE(N7:N16,C37)</f>
        <v>5.0540000000000002E-2</v>
      </c>
      <c r="O37" s="64">
        <f>PERCENTILE(O7:O16,C37)</f>
        <v>0.83899999999999986</v>
      </c>
    </row>
    <row r="38" spans="3:15" x14ac:dyDescent="0.2">
      <c r="C38" s="30">
        <v>0.35</v>
      </c>
      <c r="D38" s="58">
        <f>PERCENTILE(D7:D16,C38)</f>
        <v>0.86699999999999999</v>
      </c>
      <c r="E38" s="58" t="e">
        <f>PERCENTILE(E7:E16,C38)</f>
        <v>#NUM!</v>
      </c>
      <c r="F38" s="58" t="e">
        <f>PERCENTILE(F7:F16,C38)</f>
        <v>#NUM!</v>
      </c>
      <c r="G38" s="58">
        <f>PERCENTILE(G7:G16,C38)</f>
        <v>0.26158500000000001</v>
      </c>
      <c r="H38" s="58">
        <f>PERCENTILE(H7:H16,C38)</f>
        <v>1.9575000000000002E-2</v>
      </c>
      <c r="I38" s="58" t="e">
        <f>PERCENTILE(I7:I16,C38)</f>
        <v>#NUM!</v>
      </c>
      <c r="J38" s="58" t="e">
        <f>PERCENTILE(J7:J16,C38)</f>
        <v>#NUM!</v>
      </c>
      <c r="K38" s="58">
        <f>PERCENTILE(K7:K16,C38)</f>
        <v>-0.16108999999999996</v>
      </c>
      <c r="L38" s="58">
        <f>PERCENTILE(L7:L16,C38)</f>
        <v>0.78400000000000003</v>
      </c>
      <c r="M38" s="61" t="e">
        <f>PERCENTILE(M7:M16,C38)</f>
        <v>#NUM!</v>
      </c>
      <c r="N38" s="58">
        <f>PERCENTILE(N7:N16,C38)</f>
        <v>5.1380000000000002E-2</v>
      </c>
      <c r="O38" s="64">
        <f>PERCENTILE(O7:O16,C38)</f>
        <v>0.96650000000000003</v>
      </c>
    </row>
    <row r="39" spans="3:15" x14ac:dyDescent="0.2">
      <c r="C39" s="30">
        <v>0.4</v>
      </c>
      <c r="D39" s="58">
        <f>PERCENTILE(D7:D16,C39)</f>
        <v>0.86699999999999999</v>
      </c>
      <c r="E39" s="58" t="e">
        <f>PERCENTILE(E7:E16,C39)</f>
        <v>#NUM!</v>
      </c>
      <c r="F39" s="58" t="e">
        <f>PERCENTILE(F7:F16,C39)</f>
        <v>#NUM!</v>
      </c>
      <c r="G39" s="58">
        <f>PERCENTILE(G7:G16,C39)</f>
        <v>0.28133999999999998</v>
      </c>
      <c r="H39" s="58">
        <f>PERCENTILE(H7:H16,C39)</f>
        <v>2.2499999999999999E-2</v>
      </c>
      <c r="I39" s="58" t="e">
        <f>PERCENTILE(I7:I16,C39)</f>
        <v>#NUM!</v>
      </c>
      <c r="J39" s="58" t="e">
        <f>PERCENTILE(J7:J16,C39)</f>
        <v>#NUM!</v>
      </c>
      <c r="K39" s="58">
        <f>PERCENTILE(K7:K16,C39)</f>
        <v>-0.11636000000000003</v>
      </c>
      <c r="L39" s="58">
        <f>PERCENTILE(L7:L16,C39)</f>
        <v>0.78400000000000003</v>
      </c>
      <c r="M39" s="61" t="e">
        <f>PERCENTILE(M7:M16,C39)</f>
        <v>#NUM!</v>
      </c>
      <c r="N39" s="58">
        <f>PERCENTILE(N7:N16,C39)</f>
        <v>5.9540000000000003E-2</v>
      </c>
      <c r="O39" s="64">
        <f>PERCENTILE(O7:O16,C39)</f>
        <v>1.016</v>
      </c>
    </row>
    <row r="40" spans="3:15" x14ac:dyDescent="0.2">
      <c r="C40" s="30">
        <v>0.45</v>
      </c>
      <c r="D40" s="58">
        <f>PERCENTILE(D7:D16,C40)</f>
        <v>0.86699999999999999</v>
      </c>
      <c r="E40" s="58" t="e">
        <f>PERCENTILE(E7:E16,C40)</f>
        <v>#NUM!</v>
      </c>
      <c r="F40" s="58" t="e">
        <f>PERCENTILE(F7:F16,C40)</f>
        <v>#NUM!</v>
      </c>
      <c r="G40" s="58">
        <f>PERCENTILE(G7:G16,C40)</f>
        <v>0.299095</v>
      </c>
      <c r="H40" s="58">
        <f>PERCENTILE(H7:H16,C40)</f>
        <v>2.5919999999999999E-2</v>
      </c>
      <c r="I40" s="58" t="e">
        <f>PERCENTILE(I7:I16,C40)</f>
        <v>#NUM!</v>
      </c>
      <c r="J40" s="58" t="e">
        <f>PERCENTILE(J7:J16,C40)</f>
        <v>#NUM!</v>
      </c>
      <c r="K40" s="58">
        <f>PERCENTILE(K7:K16,C40)</f>
        <v>-7.3125000000000009E-2</v>
      </c>
      <c r="L40" s="58">
        <f>PERCENTILE(L7:L16,C40)</f>
        <v>0.78400000000000003</v>
      </c>
      <c r="M40" s="61" t="e">
        <f>PERCENTILE(M7:M16,C40)</f>
        <v>#NUM!</v>
      </c>
      <c r="N40" s="58">
        <f>PERCENTILE(N7:N16,C40)</f>
        <v>7.5019999999999976E-2</v>
      </c>
      <c r="O40" s="64">
        <f>PERCENTILE(O7:O16,C40)</f>
        <v>1.0609999999999999</v>
      </c>
    </row>
    <row r="41" spans="3:15" x14ac:dyDescent="0.2">
      <c r="C41" s="30">
        <v>0.5</v>
      </c>
      <c r="D41" s="58">
        <f>PERCENTILE(D7:D16,C41)</f>
        <v>0.86699999999999999</v>
      </c>
      <c r="E41" s="58" t="e">
        <f>PERCENTILE(E7:E16,C41)</f>
        <v>#NUM!</v>
      </c>
      <c r="F41" s="58" t="e">
        <f>PERCENTILE(F7:F16,C41)</f>
        <v>#NUM!</v>
      </c>
      <c r="G41" s="58">
        <f>PERCENTILE(G7:G16,C41)</f>
        <v>0.30085000000000001</v>
      </c>
      <c r="H41" s="58">
        <f>PERCENTILE(H7:H16,C41)</f>
        <v>3.3300000000000003E-2</v>
      </c>
      <c r="I41" s="58" t="e">
        <f>PERCENTILE(I7:I16,C41)</f>
        <v>#NUM!</v>
      </c>
      <c r="J41" s="58" t="e">
        <f>PERCENTILE(J7:J16,C41)</f>
        <v>#NUM!</v>
      </c>
      <c r="K41" s="58">
        <f>PERCENTILE(K7:K16,C41)</f>
        <v>-4.1849999999999998E-2</v>
      </c>
      <c r="L41" s="58">
        <f>PERCENTILE(L7:L16,C41)</f>
        <v>0.78400000000000003</v>
      </c>
      <c r="M41" s="61" t="e">
        <f>PERCENTILE(M7:M16,C41)</f>
        <v>#NUM!</v>
      </c>
      <c r="N41" s="58">
        <f>PERCENTILE(N7:N16,C41)</f>
        <v>9.0499999999999997E-2</v>
      </c>
      <c r="O41" s="64">
        <f>PERCENTILE(O7:O16,C41)</f>
        <v>1.07</v>
      </c>
    </row>
    <row r="42" spans="3:15" x14ac:dyDescent="0.2">
      <c r="C42" s="30">
        <v>0.55000000000000004</v>
      </c>
      <c r="D42" s="58">
        <f>PERCENTILE(D7:D16,C42)</f>
        <v>0.86699999999999999</v>
      </c>
      <c r="E42" s="58" t="e">
        <f>PERCENTILE(E7:E16,C42)</f>
        <v>#NUM!</v>
      </c>
      <c r="F42" s="58" t="e">
        <f>PERCENTILE(F7:F16,C42)</f>
        <v>#NUM!</v>
      </c>
      <c r="G42" s="58">
        <f>PERCENTILE(G7:G16,C42)</f>
        <v>0.30260500000000001</v>
      </c>
      <c r="H42" s="58">
        <f>PERCENTILE(H7:H16,C42)</f>
        <v>4.0680000000000008E-2</v>
      </c>
      <c r="I42" s="58" t="e">
        <f>PERCENTILE(I7:I16,C42)</f>
        <v>#NUM!</v>
      </c>
      <c r="J42" s="58" t="e">
        <f>PERCENTILE(J7:J16,C42)</f>
        <v>#NUM!</v>
      </c>
      <c r="K42" s="58">
        <f>PERCENTILE(K7:K16,C42)</f>
        <v>-1.0574999999999987E-2</v>
      </c>
      <c r="L42" s="58">
        <f>PERCENTILE(L7:L16,C42)</f>
        <v>0.78400000000000003</v>
      </c>
      <c r="M42" s="61" t="e">
        <f>PERCENTILE(M7:M16,C42)</f>
        <v>#NUM!</v>
      </c>
      <c r="N42" s="58">
        <f>PERCENTILE(N7:N16,C42)</f>
        <v>9.1060000000000002E-2</v>
      </c>
      <c r="O42" s="64">
        <f>PERCENTILE(O7:O16,C42)</f>
        <v>1.0790000000000002</v>
      </c>
    </row>
    <row r="43" spans="3:15" x14ac:dyDescent="0.2">
      <c r="C43" s="30">
        <v>0.6</v>
      </c>
      <c r="D43" s="58">
        <f>PERCENTILE(D7:D16,C43)</f>
        <v>0.86699999999999999</v>
      </c>
      <c r="E43" s="58" t="e">
        <f>PERCENTILE(E7:E16,C43)</f>
        <v>#NUM!</v>
      </c>
      <c r="F43" s="58" t="e">
        <f>PERCENTILE(F7:F16,C43)</f>
        <v>#NUM!</v>
      </c>
      <c r="G43" s="58">
        <f>PERCENTILE(G7:G16,C43)</f>
        <v>0.30864000000000003</v>
      </c>
      <c r="H43" s="58">
        <f>PERCENTILE(H7:H16,C43)</f>
        <v>4.2340000000000003E-2</v>
      </c>
      <c r="I43" s="58" t="e">
        <f>PERCENTILE(I7:I16,C43)</f>
        <v>#NUM!</v>
      </c>
      <c r="J43" s="58" t="e">
        <f>PERCENTILE(J7:J16,C43)</f>
        <v>#NUM!</v>
      </c>
      <c r="K43" s="58">
        <f>PERCENTILE(K7:K16,C43)</f>
        <v>9.8999999999999765E-3</v>
      </c>
      <c r="L43" s="58">
        <f>PERCENTILE(L7:L16,C43)</f>
        <v>0.78400000000000003</v>
      </c>
      <c r="M43" s="61" t="e">
        <f>PERCENTILE(M7:M16,C43)</f>
        <v>#NUM!</v>
      </c>
      <c r="N43" s="58">
        <f>PERCENTILE(N7:N16,C43)</f>
        <v>9.1619999999999993E-2</v>
      </c>
      <c r="O43" s="64">
        <f>PERCENTILE(O7:O16,C43)</f>
        <v>1.0880000000000001</v>
      </c>
    </row>
    <row r="44" spans="3:15" x14ac:dyDescent="0.2">
      <c r="C44" s="30">
        <v>0.65</v>
      </c>
      <c r="D44" s="58">
        <f>PERCENTILE(D7:D16,C44)</f>
        <v>0.86699999999999999</v>
      </c>
      <c r="E44" s="58" t="e">
        <f>PERCENTILE(E7:E16,C44)</f>
        <v>#NUM!</v>
      </c>
      <c r="F44" s="58" t="e">
        <f>PERCENTILE(F7:F16,C44)</f>
        <v>#NUM!</v>
      </c>
      <c r="G44" s="58">
        <f>PERCENTILE(G7:G16,C44)</f>
        <v>0.31521000000000005</v>
      </c>
      <c r="H44" s="58">
        <f>PERCENTILE(H7:H16,C44)</f>
        <v>4.3285000000000004E-2</v>
      </c>
      <c r="I44" s="58" t="e">
        <f>PERCENTILE(I7:I16,C44)</f>
        <v>#NUM!</v>
      </c>
      <c r="J44" s="58" t="e">
        <f>PERCENTILE(J7:J16,C44)</f>
        <v>#NUM!</v>
      </c>
      <c r="K44" s="58">
        <f>PERCENTILE(K7:K16,C44)</f>
        <v>2.9025000000000023E-2</v>
      </c>
      <c r="L44" s="58">
        <f>PERCENTILE(L7:L16,C44)</f>
        <v>0.78400000000000003</v>
      </c>
      <c r="M44" s="61" t="e">
        <f>PERCENTILE(M7:M16,C44)</f>
        <v>#NUM!</v>
      </c>
      <c r="N44" s="58">
        <f>PERCENTILE(N7:N16,C44)</f>
        <v>9.9920000000000009E-2</v>
      </c>
      <c r="O44" s="64">
        <f>PERCENTILE(O7:O16,C44)</f>
        <v>1.0970000000000002</v>
      </c>
    </row>
    <row r="45" spans="3:15" x14ac:dyDescent="0.2">
      <c r="C45" s="30">
        <v>0.7</v>
      </c>
      <c r="D45" s="58">
        <f>PERCENTILE(D7:D16,C45)</f>
        <v>0.86699999999999999</v>
      </c>
      <c r="E45" s="58" t="e">
        <f>PERCENTILE(E7:E16,C45)</f>
        <v>#NUM!</v>
      </c>
      <c r="F45" s="58" t="e">
        <f>PERCENTILE(F7:F16,C45)</f>
        <v>#NUM!</v>
      </c>
      <c r="G45" s="58">
        <f>PERCENTILE(G7:G16,C45)</f>
        <v>0.31980000000000003</v>
      </c>
      <c r="H45" s="58">
        <f>PERCENTILE(H7:H16,C45)</f>
        <v>4.5309999999999996E-2</v>
      </c>
      <c r="I45" s="58" t="e">
        <f>PERCENTILE(I7:I16,C45)</f>
        <v>#NUM!</v>
      </c>
      <c r="J45" s="58" t="e">
        <f>PERCENTILE(J7:J16,C45)</f>
        <v>#NUM!</v>
      </c>
      <c r="K45" s="58">
        <f>PERCENTILE(K7:K16,C45)</f>
        <v>4.2779999999999999E-2</v>
      </c>
      <c r="L45" s="58">
        <f>PERCENTILE(L7:L16,C45)</f>
        <v>0.78400000000000003</v>
      </c>
      <c r="M45" s="61" t="e">
        <f>PERCENTILE(M7:M16,C45)</f>
        <v>#NUM!</v>
      </c>
      <c r="N45" s="58">
        <f>PERCENTILE(N7:N16,C45)</f>
        <v>0.11595999999999998</v>
      </c>
      <c r="O45" s="64">
        <f>PERCENTILE(O7:O16,C45)</f>
        <v>1.1060000000000001</v>
      </c>
    </row>
    <row r="46" spans="3:15" x14ac:dyDescent="0.2">
      <c r="C46" s="30">
        <v>0.75</v>
      </c>
      <c r="D46" s="58">
        <f>PERCENTILE(D7:D16,C46)</f>
        <v>0.86699999999999999</v>
      </c>
      <c r="E46" s="58" t="e">
        <f>PERCENTILE(E7:E16,C46)</f>
        <v>#NUM!</v>
      </c>
      <c r="F46" s="58" t="e">
        <f>PERCENTILE(F7:F16,C46)</f>
        <v>#NUM!</v>
      </c>
      <c r="G46" s="58">
        <f>PERCENTILE(G7:G16,C46)</f>
        <v>0.32340000000000002</v>
      </c>
      <c r="H46" s="58">
        <f>PERCENTILE(H7:H16,C46)</f>
        <v>4.7875000000000001E-2</v>
      </c>
      <c r="I46" s="58" t="e">
        <f>PERCENTILE(I7:I16,C46)</f>
        <v>#NUM!</v>
      </c>
      <c r="J46" s="58" t="e">
        <f>PERCENTILE(J7:J16,C46)</f>
        <v>#NUM!</v>
      </c>
      <c r="K46" s="58">
        <f>PERCENTILE(K7:K16,C46)</f>
        <v>5.3849999999999995E-2</v>
      </c>
      <c r="L46" s="58">
        <f>PERCENTILE(L7:L16,C46)</f>
        <v>0.78400000000000003</v>
      </c>
      <c r="M46" s="61" t="e">
        <f>PERCENTILE(M7:M16,C46)</f>
        <v>#NUM!</v>
      </c>
      <c r="N46" s="58">
        <f>PERCENTILE(N7:N16,C46)</f>
        <v>0.13200000000000001</v>
      </c>
      <c r="O46" s="64">
        <f>PERCENTILE(O7:O16,C46)</f>
        <v>1.1150000000000002</v>
      </c>
    </row>
    <row r="47" spans="3:15" x14ac:dyDescent="0.2">
      <c r="C47" s="30">
        <v>0.8</v>
      </c>
      <c r="D47" s="58">
        <f>PERCENTILE(D7:D16,C47)</f>
        <v>0.86699999999999999</v>
      </c>
      <c r="E47" s="58" t="e">
        <f>PERCENTILE(E7:E16,C47)</f>
        <v>#NUM!</v>
      </c>
      <c r="F47" s="58" t="e">
        <f>PERCENTILE(F7:F16,C47)</f>
        <v>#NUM!</v>
      </c>
      <c r="G47" s="58">
        <f>PERCENTILE(G7:G16,C47)</f>
        <v>0.34539999999999993</v>
      </c>
      <c r="H47" s="58">
        <f>PERCENTILE(H7:H16,C47)</f>
        <v>5.2979999999999985E-2</v>
      </c>
      <c r="I47" s="58" t="e">
        <f>PERCENTILE(I7:I16,C47)</f>
        <v>#NUM!</v>
      </c>
      <c r="J47" s="58" t="e">
        <f>PERCENTILE(J7:J16,C47)</f>
        <v>#NUM!</v>
      </c>
      <c r="K47" s="58">
        <f>PERCENTILE(K7:K16,C47)</f>
        <v>7.8439999999999926E-2</v>
      </c>
      <c r="L47" s="58">
        <f>PERCENTILE(L7:L16,C47)</f>
        <v>0.78400000000000003</v>
      </c>
      <c r="M47" s="61" t="e">
        <f>PERCENTILE(M7:M16,C47)</f>
        <v>#NUM!</v>
      </c>
      <c r="N47" s="58">
        <f>PERCENTILE(N7:N16,C47)</f>
        <v>0.14076000000000002</v>
      </c>
      <c r="O47" s="64">
        <f>PERCENTILE(O7:O16,C47)</f>
        <v>1.1599999999999999</v>
      </c>
    </row>
    <row r="48" spans="3:15" x14ac:dyDescent="0.2">
      <c r="C48" s="30">
        <v>0.85</v>
      </c>
      <c r="D48" s="58">
        <f>PERCENTILE(D7:D16,C48)</f>
        <v>0.86699999999999999</v>
      </c>
      <c r="E48" s="58" t="e">
        <f>PERCENTILE(E7:E16,C48)</f>
        <v>#NUM!</v>
      </c>
      <c r="F48" s="58" t="e">
        <f>PERCENTILE(F7:F16,C48)</f>
        <v>#NUM!</v>
      </c>
      <c r="G48" s="58">
        <f>PERCENTILE(G7:G16,C48)</f>
        <v>0.39039999999999986</v>
      </c>
      <c r="H48" s="58">
        <f>PERCENTILE(H7:H16,C48)</f>
        <v>6.1259999999999967E-2</v>
      </c>
      <c r="I48" s="58" t="e">
        <f>PERCENTILE(I7:I16,C48)</f>
        <v>#NUM!</v>
      </c>
      <c r="J48" s="58" t="e">
        <f>PERCENTILE(J7:J16,C48)</f>
        <v>#NUM!</v>
      </c>
      <c r="K48" s="58">
        <f>PERCENTILE(K7:K16,C48)</f>
        <v>0.11992999999999987</v>
      </c>
      <c r="L48" s="58">
        <f>PERCENTILE(L7:L16,C48)</f>
        <v>0.78400000000000003</v>
      </c>
      <c r="M48" s="61" t="e">
        <f>PERCENTILE(M7:M16,C48)</f>
        <v>#NUM!</v>
      </c>
      <c r="N48" s="58">
        <f>PERCENTILE(N7:N16,C48)</f>
        <v>0.14952000000000001</v>
      </c>
      <c r="O48" s="64">
        <f>PERCENTILE(O7:O16,C48)</f>
        <v>1.2499999999999998</v>
      </c>
    </row>
    <row r="49" spans="3:15" x14ac:dyDescent="0.2">
      <c r="C49" s="30">
        <v>0.9</v>
      </c>
      <c r="D49" s="58">
        <f>PERCENTILE(D7:D16,C49)</f>
        <v>0.86699999999999999</v>
      </c>
      <c r="E49" s="58" t="e">
        <f>PERCENTILE(E7:E16,C49)</f>
        <v>#NUM!</v>
      </c>
      <c r="F49" s="58" t="e">
        <f>PERCENTILE(F7:F16,C49)</f>
        <v>#NUM!</v>
      </c>
      <c r="G49" s="58">
        <f>PERCENTILE(G7:G16,C49)</f>
        <v>0.42769000000000001</v>
      </c>
      <c r="H49" s="58">
        <f>PERCENTILE(H7:H16,C49)</f>
        <v>6.8759999999999988E-2</v>
      </c>
      <c r="I49" s="58" t="e">
        <f>PERCENTILE(I7:I16,C49)</f>
        <v>#NUM!</v>
      </c>
      <c r="J49" s="58" t="e">
        <f>PERCENTILE(J7:J16,C49)</f>
        <v>#NUM!</v>
      </c>
      <c r="K49" s="58">
        <f>PERCENTILE(K7:K16,C49)</f>
        <v>0.15680999999999998</v>
      </c>
      <c r="L49" s="58">
        <f>PERCENTILE(L7:L16,C49)</f>
        <v>0.78400000000000003</v>
      </c>
      <c r="M49" s="61" t="e">
        <f>PERCENTILE(M7:M16,C49)</f>
        <v>#NUM!</v>
      </c>
      <c r="N49" s="58">
        <f>PERCENTILE(N7:N16,C49)</f>
        <v>0.20411999999999983</v>
      </c>
      <c r="O49" s="64">
        <f>PERCENTILE(O7:O16,C49)</f>
        <v>1.3260000000000001</v>
      </c>
    </row>
    <row r="50" spans="3:15" x14ac:dyDescent="0.2">
      <c r="C50" s="30">
        <v>0.95</v>
      </c>
      <c r="D50" s="58">
        <f>PERCENTILE(D7:D16,C50)</f>
        <v>0.86699999999999999</v>
      </c>
      <c r="E50" s="58" t="e">
        <f>PERCENTILE(E7:E16,C50)</f>
        <v>#NUM!</v>
      </c>
      <c r="F50" s="58" t="e">
        <f>PERCENTILE(F7:F16,C50)</f>
        <v>#NUM!</v>
      </c>
      <c r="G50" s="58">
        <f>PERCENTILE(G7:G16,C50)</f>
        <v>0.43799499999999997</v>
      </c>
      <c r="H50" s="58">
        <f>PERCENTILE(H7:H16,C50)</f>
        <v>7.3529999999999984E-2</v>
      </c>
      <c r="I50" s="58" t="e">
        <f>PERCENTILE(I7:I16,C50)</f>
        <v>#NUM!</v>
      </c>
      <c r="J50" s="58" t="e">
        <f>PERCENTILE(J7:J16,C50)</f>
        <v>#NUM!</v>
      </c>
      <c r="K50" s="58">
        <f>PERCENTILE(K7:K16,C50)</f>
        <v>0.17755499999999996</v>
      </c>
      <c r="L50" s="58">
        <f>PERCENTILE(L7:L16,C50)</f>
        <v>0.78400000000000003</v>
      </c>
      <c r="M50" s="61" t="e">
        <f>PERCENTILE(M7:M16,C50)</f>
        <v>#NUM!</v>
      </c>
      <c r="N50" s="58">
        <f>PERCENTILE(N7:N16,C50)</f>
        <v>0.30455999999999994</v>
      </c>
      <c r="O50" s="64">
        <f>PERCENTILE(O7:O16,C50)</f>
        <v>1.353</v>
      </c>
    </row>
    <row r="51" spans="3:15" ht="10.5" thickBot="1" x14ac:dyDescent="0.25">
      <c r="C51" s="32">
        <v>1</v>
      </c>
      <c r="D51" s="59">
        <f>PERCENTILE(D7:D16,C51)</f>
        <v>0.86699999999999999</v>
      </c>
      <c r="E51" s="59" t="e">
        <f>PERCENTILE(E7:E16,C51)</f>
        <v>#NUM!</v>
      </c>
      <c r="F51" s="59" t="e">
        <f>PERCENTILE(F7:F16,C51)</f>
        <v>#NUM!</v>
      </c>
      <c r="G51" s="59">
        <f>PERCENTILE(G7:G16,C51)</f>
        <v>0.44829999999999998</v>
      </c>
      <c r="H51" s="59">
        <f>PERCENTILE(H7:H16,C51)</f>
        <v>7.8299999999999995E-2</v>
      </c>
      <c r="I51" s="59" t="e">
        <f>PERCENTILE(I7:I16,C51)</f>
        <v>#NUM!</v>
      </c>
      <c r="J51" s="59" t="e">
        <f>PERCENTILE(J7:J16,C51)</f>
        <v>#NUM!</v>
      </c>
      <c r="K51" s="59">
        <f>PERCENTILE(K7:K16,C51)</f>
        <v>0.1983</v>
      </c>
      <c r="L51" s="59">
        <f>PERCENTILE(L7:L16,C51)</f>
        <v>0.78400000000000003</v>
      </c>
      <c r="M51" s="62" t="e">
        <f>PERCENTILE(M7:M16,C51)</f>
        <v>#NUM!</v>
      </c>
      <c r="N51" s="59">
        <f>PERCENTILE(N7:N16,C51)</f>
        <v>0.40500000000000003</v>
      </c>
      <c r="O51" s="65">
        <f>PERCENTILE(O7:O16,C51)</f>
        <v>1.38</v>
      </c>
    </row>
  </sheetData>
  <conditionalFormatting sqref="D29:O2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61C6A-2B66-4F25-8804-89761535B2D3}">
  <sheetPr codeName="Sheet3">
    <outlinePr summaryBelow="0" summaryRight="0"/>
  </sheetPr>
  <dimension ref="A4:IU50"/>
  <sheetViews>
    <sheetView defaultGridColor="0" colorId="0" workbookViewId="0"/>
  </sheetViews>
  <sheetFormatPr defaultRowHeight="10" x14ac:dyDescent="0.2"/>
  <cols>
    <col min="1" max="1" width="47.81640625" customWidth="1"/>
    <col min="2" max="17" width="20.81640625" customWidth="1"/>
  </cols>
  <sheetData>
    <row r="4" spans="1:255" ht="17" x14ac:dyDescent="0.35">
      <c r="A4" s="1" t="s">
        <v>0</v>
      </c>
    </row>
    <row r="7" spans="1:255" x14ac:dyDescent="0.2">
      <c r="A7" s="2" t="s">
        <v>1</v>
      </c>
      <c r="B7" s="2"/>
      <c r="C7" s="2"/>
      <c r="D7" s="2"/>
      <c r="E7" s="2"/>
      <c r="F7" s="2"/>
      <c r="G7" s="2"/>
      <c r="H7" s="2"/>
      <c r="I7" s="2"/>
      <c r="J7" s="2"/>
      <c r="K7" s="2"/>
      <c r="L7" s="2"/>
      <c r="M7" s="2"/>
      <c r="N7" s="2"/>
      <c r="O7" s="2"/>
      <c r="P7" s="2"/>
      <c r="Q7" s="2"/>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ht="10.5" x14ac:dyDescent="0.25">
      <c r="A8" s="3" t="s">
        <v>2</v>
      </c>
      <c r="B8" s="4" t="s">
        <v>3</v>
      </c>
    </row>
    <row r="9" spans="1:255" ht="10.5" x14ac:dyDescent="0.25">
      <c r="A9" s="3" t="s">
        <v>4</v>
      </c>
      <c r="B9" s="4" t="s">
        <v>5</v>
      </c>
    </row>
    <row r="10" spans="1:255" ht="10.5" x14ac:dyDescent="0.25">
      <c r="A10" s="3" t="s">
        <v>6</v>
      </c>
      <c r="B10" s="5">
        <v>45045</v>
      </c>
    </row>
    <row r="11" spans="1:255" x14ac:dyDescent="0.2">
      <c r="A11" s="6"/>
    </row>
    <row r="13" spans="1:255" x14ac:dyDescent="0.2">
      <c r="A13" s="2" t="s">
        <v>7</v>
      </c>
      <c r="B13" s="2"/>
      <c r="C13" s="2"/>
      <c r="D13" s="2"/>
      <c r="E13" s="2"/>
      <c r="F13" s="2"/>
      <c r="G13" s="2"/>
      <c r="H13" s="2"/>
      <c r="I13" s="2"/>
      <c r="J13" s="2"/>
      <c r="K13" s="2"/>
      <c r="L13" s="2"/>
      <c r="M13" s="2"/>
      <c r="N13" s="2"/>
      <c r="O13" s="2"/>
      <c r="P13" s="2"/>
      <c r="Q13" s="2"/>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21" x14ac:dyDescent="0.2">
      <c r="A14" s="7" t="s">
        <v>8</v>
      </c>
      <c r="B14" s="11" t="s">
        <v>9</v>
      </c>
      <c r="C14" s="11" t="s">
        <v>10</v>
      </c>
      <c r="D14" s="11" t="s">
        <v>11</v>
      </c>
      <c r="E14" s="11" t="s">
        <v>12</v>
      </c>
      <c r="F14" s="11" t="s">
        <v>13</v>
      </c>
      <c r="G14" s="11" t="s">
        <v>14</v>
      </c>
      <c r="H14" s="11" t="s">
        <v>15</v>
      </c>
      <c r="I14" s="11" t="s">
        <v>16</v>
      </c>
      <c r="J14" s="15" t="s">
        <v>17</v>
      </c>
      <c r="K14" s="11" t="s">
        <v>18</v>
      </c>
      <c r="L14" s="11" t="s">
        <v>19</v>
      </c>
      <c r="M14" s="11" t="s">
        <v>20</v>
      </c>
      <c r="N14" s="11" t="s">
        <v>21</v>
      </c>
      <c r="O14" s="11" t="s">
        <v>22</v>
      </c>
      <c r="P14" s="11" t="s">
        <v>23</v>
      </c>
      <c r="Q14" s="11" t="s">
        <v>24</v>
      </c>
    </row>
    <row r="15" spans="1:255" ht="12" customHeight="1" x14ac:dyDescent="0.2">
      <c r="A15" s="7" t="s">
        <v>25</v>
      </c>
      <c r="B15" s="12">
        <v>39.75</v>
      </c>
      <c r="C15" s="13">
        <v>3763.2</v>
      </c>
      <c r="D15" s="13">
        <v>149588.1</v>
      </c>
      <c r="E15" s="13">
        <v>-65523</v>
      </c>
      <c r="F15" s="12">
        <v>19019</v>
      </c>
      <c r="G15" s="12">
        <v>2052</v>
      </c>
      <c r="H15" s="14" t="s">
        <v>26</v>
      </c>
      <c r="I15" s="12">
        <v>35.74</v>
      </c>
      <c r="J15" s="16">
        <v>45030</v>
      </c>
      <c r="K15" s="13">
        <v>73254</v>
      </c>
      <c r="L15" s="14" t="s">
        <v>26</v>
      </c>
      <c r="M15" s="14" t="s">
        <v>26</v>
      </c>
      <c r="N15" s="12">
        <v>3.46</v>
      </c>
      <c r="O15" s="12">
        <v>78657.77</v>
      </c>
      <c r="P15" s="14" t="s">
        <v>26</v>
      </c>
      <c r="Q15" s="12">
        <v>4.57</v>
      </c>
    </row>
    <row r="16" spans="1:255" ht="12" customHeight="1" x14ac:dyDescent="0.2">
      <c r="A16" s="7" t="s">
        <v>27</v>
      </c>
      <c r="B16" s="12">
        <v>29.28</v>
      </c>
      <c r="C16" s="13">
        <v>7972.4</v>
      </c>
      <c r="D16" s="13">
        <v>233433</v>
      </c>
      <c r="E16" s="13">
        <v>-346872</v>
      </c>
      <c r="F16" s="12">
        <v>28397</v>
      </c>
      <c r="G16" s="14" t="s">
        <v>26</v>
      </c>
      <c r="H16" s="14" t="s">
        <v>26</v>
      </c>
      <c r="I16" s="12">
        <v>22.93</v>
      </c>
      <c r="J16" s="16">
        <v>45034</v>
      </c>
      <c r="K16" s="13">
        <v>94536</v>
      </c>
      <c r="L16" s="14" t="s">
        <v>26</v>
      </c>
      <c r="M16" s="14" t="s">
        <v>26</v>
      </c>
      <c r="N16" s="12">
        <v>3.33</v>
      </c>
      <c r="O16" s="12">
        <v>99216.11</v>
      </c>
      <c r="P16" s="14" t="s">
        <v>26</v>
      </c>
      <c r="Q16" s="12">
        <v>3.24</v>
      </c>
    </row>
    <row r="17" spans="1:17" ht="12" customHeight="1" x14ac:dyDescent="0.2">
      <c r="A17" s="7" t="s">
        <v>28</v>
      </c>
      <c r="B17" s="12">
        <v>138.24</v>
      </c>
      <c r="C17" s="13">
        <v>2931.5</v>
      </c>
      <c r="D17" s="13">
        <v>405245.2</v>
      </c>
      <c r="E17" s="13">
        <v>-798263</v>
      </c>
      <c r="F17" s="12">
        <v>27404</v>
      </c>
      <c r="G17" s="14" t="s">
        <v>26</v>
      </c>
      <c r="H17" s="14" t="s">
        <v>26</v>
      </c>
      <c r="I17" s="12">
        <v>75.739999999999995</v>
      </c>
      <c r="J17" s="16">
        <v>45030</v>
      </c>
      <c r="K17" s="13">
        <v>129126</v>
      </c>
      <c r="L17" s="14" t="s">
        <v>26</v>
      </c>
      <c r="M17" s="14" t="s">
        <v>26</v>
      </c>
      <c r="N17" s="12">
        <v>13.56</v>
      </c>
      <c r="O17" s="12">
        <v>145348.89000000001</v>
      </c>
      <c r="P17" s="14" t="s">
        <v>26</v>
      </c>
      <c r="Q17" s="12">
        <v>13.77</v>
      </c>
    </row>
    <row r="18" spans="1:17" ht="12" customHeight="1" x14ac:dyDescent="0.2">
      <c r="A18" s="7" t="s">
        <v>29</v>
      </c>
      <c r="B18" s="12">
        <v>89.97</v>
      </c>
      <c r="C18" s="13">
        <v>1672.4</v>
      </c>
      <c r="D18" s="13">
        <v>150462.9</v>
      </c>
      <c r="E18" s="13">
        <v>-187285</v>
      </c>
      <c r="F18" s="12">
        <v>8750</v>
      </c>
      <c r="G18" s="14" t="s">
        <v>26</v>
      </c>
      <c r="H18" s="14" t="s">
        <v>26</v>
      </c>
      <c r="I18" s="12">
        <v>40.06</v>
      </c>
      <c r="J18" s="16">
        <v>45035</v>
      </c>
      <c r="K18" s="13">
        <v>52927</v>
      </c>
      <c r="L18" s="14" t="s">
        <v>26</v>
      </c>
      <c r="M18" s="14" t="s">
        <v>26</v>
      </c>
      <c r="N18" s="12">
        <v>5.81</v>
      </c>
      <c r="O18" s="12">
        <v>56533.67</v>
      </c>
      <c r="P18" s="14" t="s">
        <v>26</v>
      </c>
      <c r="Q18" s="12">
        <v>6.8</v>
      </c>
    </row>
    <row r="19" spans="1:17" ht="12" customHeight="1" x14ac:dyDescent="0.2">
      <c r="A19" s="7" t="s">
        <v>30</v>
      </c>
      <c r="B19" s="12">
        <v>34.28</v>
      </c>
      <c r="C19" s="13">
        <v>1531.8</v>
      </c>
      <c r="D19" s="13">
        <v>52509.7</v>
      </c>
      <c r="E19" s="13">
        <v>31692</v>
      </c>
      <c r="F19" s="12">
        <v>6808</v>
      </c>
      <c r="G19" s="12">
        <v>465</v>
      </c>
      <c r="H19" s="14" t="s">
        <v>26</v>
      </c>
      <c r="I19" s="12">
        <v>20.23</v>
      </c>
      <c r="J19" s="16">
        <v>45035</v>
      </c>
      <c r="K19" s="13">
        <v>23399</v>
      </c>
      <c r="L19" s="14" t="s">
        <v>26</v>
      </c>
      <c r="M19" s="14" t="s">
        <v>26</v>
      </c>
      <c r="N19" s="12">
        <v>3.74</v>
      </c>
      <c r="O19" s="12">
        <v>28915.55</v>
      </c>
      <c r="P19" s="14" t="s">
        <v>26</v>
      </c>
      <c r="Q19" s="12">
        <v>4.6399999999999997</v>
      </c>
    </row>
    <row r="20" spans="1:17" ht="12" customHeight="1" x14ac:dyDescent="0.2">
      <c r="A20" s="7" t="s">
        <v>31</v>
      </c>
      <c r="B20" s="12">
        <v>0.4</v>
      </c>
      <c r="C20" s="13">
        <v>294387.8</v>
      </c>
      <c r="D20" s="13">
        <v>145230.1</v>
      </c>
      <c r="E20" s="13">
        <v>298305.2</v>
      </c>
      <c r="F20" s="12">
        <v>17292.75</v>
      </c>
      <c r="G20" s="12">
        <v>20355.84</v>
      </c>
      <c r="H20" s="14" t="s">
        <v>26</v>
      </c>
      <c r="I20" s="12">
        <v>1.1599999999999999</v>
      </c>
      <c r="J20" s="16">
        <v>45044</v>
      </c>
      <c r="K20" s="13">
        <v>77432.100000000006</v>
      </c>
      <c r="L20" s="14" t="s">
        <v>26</v>
      </c>
      <c r="M20" s="14" t="s">
        <v>26</v>
      </c>
      <c r="N20" s="12">
        <v>0.11</v>
      </c>
      <c r="O20" s="14" t="s">
        <v>26</v>
      </c>
      <c r="P20" s="14" t="s">
        <v>26</v>
      </c>
      <c r="Q20" s="14" t="s">
        <v>26</v>
      </c>
    </row>
    <row r="21" spans="1:17" ht="12" customHeight="1" x14ac:dyDescent="0.2">
      <c r="A21" s="7" t="s">
        <v>32</v>
      </c>
      <c r="B21" s="12">
        <v>130.25</v>
      </c>
      <c r="C21" s="13">
        <v>399.7</v>
      </c>
      <c r="D21" s="13">
        <v>52058.6</v>
      </c>
      <c r="E21" s="13">
        <v>53517</v>
      </c>
      <c r="F21" s="14" t="s">
        <v>26</v>
      </c>
      <c r="G21" s="12">
        <v>30</v>
      </c>
      <c r="H21" s="14" t="s">
        <v>26</v>
      </c>
      <c r="I21" s="12">
        <v>95.38</v>
      </c>
      <c r="J21" s="16">
        <v>45030</v>
      </c>
      <c r="K21" s="13">
        <v>21111</v>
      </c>
      <c r="L21" s="14" t="s">
        <v>26</v>
      </c>
      <c r="M21" s="14" t="s">
        <v>26</v>
      </c>
      <c r="N21" s="12">
        <v>14.6</v>
      </c>
      <c r="O21" s="12">
        <v>21978.03</v>
      </c>
      <c r="P21" s="14" t="s">
        <v>26</v>
      </c>
      <c r="Q21" s="12">
        <v>13.04</v>
      </c>
    </row>
    <row r="22" spans="1:17" ht="12" customHeight="1" x14ac:dyDescent="0.2">
      <c r="A22" s="7" t="s">
        <v>33</v>
      </c>
      <c r="B22" s="12">
        <v>7.21</v>
      </c>
      <c r="C22" s="13">
        <v>19978.8</v>
      </c>
      <c r="D22" s="13">
        <v>144117.4</v>
      </c>
      <c r="E22" s="13">
        <v>-485635</v>
      </c>
      <c r="F22" s="14" t="s">
        <v>26</v>
      </c>
      <c r="G22" s="12">
        <v>8544</v>
      </c>
      <c r="H22" s="14" t="s">
        <v>26</v>
      </c>
      <c r="I22" s="12">
        <v>8.42</v>
      </c>
      <c r="J22" s="16">
        <v>44978</v>
      </c>
      <c r="K22" s="13">
        <v>50513</v>
      </c>
      <c r="L22" s="14" t="s">
        <v>26</v>
      </c>
      <c r="M22" s="14" t="s">
        <v>26</v>
      </c>
      <c r="N22" s="12">
        <v>0.74</v>
      </c>
      <c r="O22" s="12">
        <v>62585.7</v>
      </c>
      <c r="P22" s="14" t="s">
        <v>26</v>
      </c>
      <c r="Q22" s="12">
        <v>1.08</v>
      </c>
    </row>
    <row r="23" spans="1:17" ht="12" customHeight="1" x14ac:dyDescent="0.2">
      <c r="A23" s="7" t="s">
        <v>34</v>
      </c>
      <c r="B23" s="12">
        <v>42.59</v>
      </c>
      <c r="C23" s="13">
        <v>789.1</v>
      </c>
      <c r="D23" s="13">
        <v>33609.199999999997</v>
      </c>
      <c r="E23" s="13">
        <v>-91473</v>
      </c>
      <c r="F23" s="12">
        <v>4838</v>
      </c>
      <c r="G23" s="12">
        <v>168</v>
      </c>
      <c r="H23" s="14" t="s">
        <v>26</v>
      </c>
      <c r="I23" s="12">
        <v>21.18</v>
      </c>
      <c r="J23" s="16">
        <v>45034</v>
      </c>
      <c r="K23" s="13">
        <v>16750</v>
      </c>
      <c r="L23" s="14" t="s">
        <v>26</v>
      </c>
      <c r="M23" s="14" t="s">
        <v>26</v>
      </c>
      <c r="N23" s="12">
        <v>3.16</v>
      </c>
      <c r="O23" s="12">
        <v>17654.53</v>
      </c>
      <c r="P23" s="14" t="s">
        <v>26</v>
      </c>
      <c r="Q23" s="12">
        <v>4.8899999999999997</v>
      </c>
    </row>
    <row r="24" spans="1:17" ht="12" customHeight="1" x14ac:dyDescent="0.2">
      <c r="A24" s="7" t="s">
        <v>35</v>
      </c>
      <c r="B24" s="12">
        <v>0.39</v>
      </c>
      <c r="C24" s="13">
        <v>349983</v>
      </c>
      <c r="D24" s="13">
        <v>169794.6</v>
      </c>
      <c r="E24" s="13">
        <v>-359198.2</v>
      </c>
      <c r="F24" s="12">
        <v>11571.9</v>
      </c>
      <c r="G24" s="12">
        <v>964.95</v>
      </c>
      <c r="H24" s="14" t="s">
        <v>26</v>
      </c>
      <c r="I24" s="12">
        <v>1.0900000000000001</v>
      </c>
      <c r="J24" s="16">
        <v>45044</v>
      </c>
      <c r="K24" s="13">
        <v>84005.3</v>
      </c>
      <c r="L24" s="14" t="s">
        <v>26</v>
      </c>
      <c r="M24" s="14" t="s">
        <v>26</v>
      </c>
      <c r="N24" s="12">
        <v>0.1</v>
      </c>
      <c r="O24" s="12">
        <v>113991.21</v>
      </c>
      <c r="P24" s="14" t="s">
        <v>26</v>
      </c>
      <c r="Q24" s="12">
        <v>0.11</v>
      </c>
    </row>
    <row r="25" spans="1:17" ht="10.5" x14ac:dyDescent="0.2">
      <c r="A25" s="7" t="s">
        <v>36</v>
      </c>
      <c r="B25" s="12">
        <v>47.07</v>
      </c>
      <c r="C25" s="13">
        <v>1946.8</v>
      </c>
      <c r="D25" s="13">
        <v>91635.9</v>
      </c>
      <c r="E25" s="13">
        <v>-519511</v>
      </c>
      <c r="F25" s="12">
        <v>20245</v>
      </c>
      <c r="G25" s="12">
        <v>724</v>
      </c>
      <c r="H25" s="14" t="s">
        <v>26</v>
      </c>
      <c r="I25" s="12">
        <v>84.33</v>
      </c>
      <c r="J25" s="16">
        <v>45030</v>
      </c>
      <c r="K25" s="13">
        <v>71359</v>
      </c>
      <c r="L25" s="14" t="s">
        <v>26</v>
      </c>
      <c r="M25" s="14" t="s">
        <v>26</v>
      </c>
      <c r="N25" s="12">
        <v>7.29</v>
      </c>
      <c r="O25" s="12">
        <v>78343.89</v>
      </c>
      <c r="P25" s="14" t="s">
        <v>26</v>
      </c>
      <c r="Q25" s="12">
        <v>5.8</v>
      </c>
    </row>
    <row r="26" spans="1:17" ht="10.5" x14ac:dyDescent="0.2">
      <c r="A26" s="8"/>
      <c r="B26" s="8"/>
      <c r="C26" s="8"/>
      <c r="D26" s="8"/>
      <c r="E26" s="8"/>
      <c r="F26" s="8"/>
      <c r="G26" s="8"/>
      <c r="H26" s="8"/>
      <c r="I26" s="8"/>
      <c r="J26" s="8"/>
      <c r="K26" s="8"/>
      <c r="L26" s="8"/>
      <c r="M26" s="8"/>
      <c r="N26" s="8"/>
      <c r="O26" s="8"/>
      <c r="P26" s="8"/>
      <c r="Q26" s="8"/>
    </row>
    <row r="27" spans="1:17" ht="12" customHeight="1" x14ac:dyDescent="0.2">
      <c r="A27" s="7" t="s">
        <v>37</v>
      </c>
      <c r="B27" s="11" t="s">
        <v>9</v>
      </c>
      <c r="C27" s="11" t="s">
        <v>10</v>
      </c>
      <c r="D27" s="11" t="s">
        <v>11</v>
      </c>
      <c r="E27" s="11" t="s">
        <v>12</v>
      </c>
      <c r="F27" s="11" t="s">
        <v>13</v>
      </c>
      <c r="G27" s="11" t="s">
        <v>14</v>
      </c>
      <c r="H27" s="11" t="s">
        <v>15</v>
      </c>
      <c r="I27" s="11" t="s">
        <v>16</v>
      </c>
      <c r="J27" s="15" t="s">
        <v>17</v>
      </c>
      <c r="K27" s="11" t="s">
        <v>18</v>
      </c>
      <c r="L27" s="11" t="s">
        <v>19</v>
      </c>
      <c r="M27" s="11" t="s">
        <v>20</v>
      </c>
      <c r="N27" s="11" t="s">
        <v>21</v>
      </c>
      <c r="O27" s="11" t="s">
        <v>22</v>
      </c>
      <c r="P27" s="11" t="s">
        <v>23</v>
      </c>
      <c r="Q27" s="11" t="s">
        <v>24</v>
      </c>
    </row>
    <row r="28" spans="1:17" ht="10.5" x14ac:dyDescent="0.2">
      <c r="A28" s="7" t="s">
        <v>38</v>
      </c>
      <c r="B28" s="12">
        <v>138.24</v>
      </c>
      <c r="C28" s="13">
        <v>349983</v>
      </c>
      <c r="D28" s="13">
        <v>405245.2</v>
      </c>
      <c r="E28" s="13">
        <v>298305.2</v>
      </c>
      <c r="F28" s="12">
        <v>28397</v>
      </c>
      <c r="G28" s="12">
        <v>20355.84</v>
      </c>
      <c r="H28" s="14" t="s">
        <v>26</v>
      </c>
      <c r="I28" s="12">
        <v>95.38</v>
      </c>
      <c r="J28" s="17" t="s">
        <v>26</v>
      </c>
      <c r="K28" s="13">
        <v>129126</v>
      </c>
      <c r="L28" s="14" t="s">
        <v>26</v>
      </c>
      <c r="M28" s="14" t="s">
        <v>26</v>
      </c>
      <c r="N28" s="12">
        <v>14.6</v>
      </c>
      <c r="O28" s="12">
        <v>145348.89000000001</v>
      </c>
      <c r="P28" s="14" t="s">
        <v>26</v>
      </c>
      <c r="Q28" s="12">
        <v>13.77</v>
      </c>
    </row>
    <row r="29" spans="1:17" ht="10.5" x14ac:dyDescent="0.2">
      <c r="A29" s="7" t="s">
        <v>39</v>
      </c>
      <c r="B29" s="12">
        <v>0.39</v>
      </c>
      <c r="C29" s="13">
        <v>399.7</v>
      </c>
      <c r="D29" s="13">
        <v>33609.199999999997</v>
      </c>
      <c r="E29" s="13">
        <v>-798263</v>
      </c>
      <c r="F29" s="12">
        <v>4838</v>
      </c>
      <c r="G29" s="12">
        <v>30</v>
      </c>
      <c r="H29" s="14" t="s">
        <v>26</v>
      </c>
      <c r="I29" s="12">
        <v>1.0900000000000001</v>
      </c>
      <c r="J29" s="17" t="s">
        <v>26</v>
      </c>
      <c r="K29" s="13">
        <v>16750</v>
      </c>
      <c r="L29" s="14" t="s">
        <v>26</v>
      </c>
      <c r="M29" s="14" t="s">
        <v>26</v>
      </c>
      <c r="N29" s="12">
        <v>0.1</v>
      </c>
      <c r="O29" s="12">
        <v>17654.53</v>
      </c>
      <c r="P29" s="14" t="s">
        <v>26</v>
      </c>
      <c r="Q29" s="12">
        <v>0.11</v>
      </c>
    </row>
    <row r="30" spans="1:17" ht="10.5" x14ac:dyDescent="0.2">
      <c r="A30" s="7" t="s">
        <v>40</v>
      </c>
      <c r="B30" s="12">
        <v>51.24</v>
      </c>
      <c r="C30" s="13">
        <v>68341</v>
      </c>
      <c r="D30" s="13">
        <v>153604.9</v>
      </c>
      <c r="E30" s="13">
        <v>-195073.5</v>
      </c>
      <c r="F30" s="12">
        <v>15510.08</v>
      </c>
      <c r="G30" s="12">
        <v>4654.26</v>
      </c>
      <c r="H30" s="14" t="s">
        <v>26</v>
      </c>
      <c r="I30" s="12">
        <v>32.19</v>
      </c>
      <c r="J30" s="17" t="s">
        <v>26</v>
      </c>
      <c r="K30" s="13">
        <v>62305.3</v>
      </c>
      <c r="L30" s="14" t="s">
        <v>26</v>
      </c>
      <c r="M30" s="14" t="s">
        <v>26</v>
      </c>
      <c r="N30" s="12">
        <v>4.8600000000000003</v>
      </c>
      <c r="O30" s="12">
        <v>69431.27</v>
      </c>
      <c r="P30" s="14" t="s">
        <v>26</v>
      </c>
      <c r="Q30" s="12">
        <v>5.79</v>
      </c>
    </row>
    <row r="31" spans="1:17" ht="10.5" x14ac:dyDescent="0.2">
      <c r="A31" s="7" t="s">
        <v>41</v>
      </c>
      <c r="B31" s="12">
        <v>37.020000000000003</v>
      </c>
      <c r="C31" s="13">
        <v>3347.3</v>
      </c>
      <c r="D31" s="13">
        <v>147409.1</v>
      </c>
      <c r="E31" s="13">
        <v>-139379</v>
      </c>
      <c r="F31" s="12">
        <v>14432.33</v>
      </c>
      <c r="G31" s="12">
        <v>964.95</v>
      </c>
      <c r="H31" s="14" t="s">
        <v>26</v>
      </c>
      <c r="I31" s="12">
        <v>22.05</v>
      </c>
      <c r="J31" s="17" t="s">
        <v>26</v>
      </c>
      <c r="K31" s="13">
        <v>63090.5</v>
      </c>
      <c r="L31" s="14" t="s">
        <v>26</v>
      </c>
      <c r="M31" s="14" t="s">
        <v>26</v>
      </c>
      <c r="N31" s="12">
        <v>3.39</v>
      </c>
      <c r="O31" s="12">
        <v>62585.7</v>
      </c>
      <c r="P31" s="14" t="s">
        <v>26</v>
      </c>
      <c r="Q31" s="12">
        <v>4.6399999999999997</v>
      </c>
    </row>
    <row r="32" spans="1:17" x14ac:dyDescent="0.2">
      <c r="A32" s="10"/>
      <c r="B32" s="10"/>
      <c r="C32" s="10"/>
      <c r="D32" s="10"/>
      <c r="E32" s="10"/>
      <c r="F32" s="10"/>
      <c r="G32" s="10"/>
      <c r="H32" s="10"/>
      <c r="I32" s="10"/>
      <c r="J32" s="10"/>
      <c r="K32" s="10"/>
      <c r="L32" s="10"/>
      <c r="M32" s="10"/>
      <c r="N32" s="10"/>
      <c r="O32" s="10"/>
      <c r="P32" s="10"/>
      <c r="Q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71D9F-39BD-4E2F-8B85-1D356DF21054}">
  <sheetPr codeName="Sheet4">
    <outlinePr summaryBelow="0" summaryRight="0"/>
  </sheetPr>
  <dimension ref="A4:IU50"/>
  <sheetViews>
    <sheetView defaultGridColor="0" colorId="0" workbookViewId="0"/>
  </sheetViews>
  <sheetFormatPr defaultRowHeight="10" x14ac:dyDescent="0.2"/>
  <cols>
    <col min="1" max="1" width="47.81640625" customWidth="1"/>
    <col min="2" max="9" width="20.81640625" customWidth="1"/>
  </cols>
  <sheetData>
    <row r="4" spans="1:255" ht="17" x14ac:dyDescent="0.35">
      <c r="A4" s="1" t="s">
        <v>46</v>
      </c>
    </row>
    <row r="7" spans="1:255" x14ac:dyDescent="0.2">
      <c r="A7" s="2" t="s">
        <v>1</v>
      </c>
      <c r="B7" s="2"/>
      <c r="C7" s="2"/>
      <c r="D7" s="2"/>
      <c r="E7" s="2"/>
      <c r="F7" s="2"/>
      <c r="G7" s="2"/>
      <c r="H7" s="2"/>
      <c r="I7" s="2"/>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ht="10.5" x14ac:dyDescent="0.25">
      <c r="A8" s="3" t="s">
        <v>47</v>
      </c>
      <c r="B8" s="4" t="s">
        <v>3</v>
      </c>
    </row>
    <row r="9" spans="1:255" ht="10.5" x14ac:dyDescent="0.25">
      <c r="A9" s="3" t="s">
        <v>48</v>
      </c>
      <c r="B9" s="4" t="s">
        <v>5</v>
      </c>
    </row>
    <row r="10" spans="1:255" ht="10.5" x14ac:dyDescent="0.25">
      <c r="A10" s="3" t="s">
        <v>49</v>
      </c>
      <c r="B10" s="5">
        <v>45045</v>
      </c>
    </row>
    <row r="11" spans="1:255" x14ac:dyDescent="0.2">
      <c r="A11" s="6"/>
    </row>
    <row r="13" spans="1:255" x14ac:dyDescent="0.2">
      <c r="A13" s="2" t="s">
        <v>7</v>
      </c>
      <c r="B13" s="2"/>
      <c r="C13" s="2"/>
      <c r="D13" s="2"/>
      <c r="E13" s="2"/>
      <c r="F13" s="2"/>
      <c r="G13" s="2"/>
      <c r="H13" s="2"/>
      <c r="I13" s="2"/>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21" x14ac:dyDescent="0.2">
      <c r="A14" s="7" t="s">
        <v>8</v>
      </c>
      <c r="B14" s="11" t="s">
        <v>50</v>
      </c>
      <c r="C14" s="11" t="s">
        <v>51</v>
      </c>
      <c r="D14" s="11" t="s">
        <v>52</v>
      </c>
      <c r="E14" s="11" t="s">
        <v>53</v>
      </c>
      <c r="F14" s="11" t="s">
        <v>54</v>
      </c>
      <c r="G14" s="11" t="s">
        <v>55</v>
      </c>
      <c r="H14" s="11" t="s">
        <v>56</v>
      </c>
      <c r="I14" s="11" t="s">
        <v>57</v>
      </c>
    </row>
    <row r="15" spans="1:255" ht="12" customHeight="1" x14ac:dyDescent="0.2">
      <c r="A15" s="7" t="s">
        <v>25</v>
      </c>
      <c r="B15" s="14" t="s">
        <v>26</v>
      </c>
      <c r="C15" s="14" t="s">
        <v>26</v>
      </c>
      <c r="D15" s="14" t="s">
        <v>26</v>
      </c>
      <c r="E15" s="14" t="s">
        <v>26</v>
      </c>
      <c r="F15" s="14" t="s">
        <v>26</v>
      </c>
      <c r="G15" s="14" t="s">
        <v>26</v>
      </c>
      <c r="H15" s="14" t="s">
        <v>26</v>
      </c>
      <c r="I15" s="19">
        <v>8.7100000000000009</v>
      </c>
    </row>
    <row r="16" spans="1:255" ht="12" customHeight="1" x14ac:dyDescent="0.2">
      <c r="A16" s="7" t="s">
        <v>27</v>
      </c>
      <c r="B16" s="14" t="s">
        <v>26</v>
      </c>
      <c r="C16" s="14" t="s">
        <v>26</v>
      </c>
      <c r="D16" s="14" t="s">
        <v>26</v>
      </c>
      <c r="E16" s="14" t="s">
        <v>26</v>
      </c>
      <c r="F16" s="14" t="s">
        <v>26</v>
      </c>
      <c r="G16" s="14" t="s">
        <v>26</v>
      </c>
      <c r="H16" s="14" t="s">
        <v>26</v>
      </c>
      <c r="I16" s="19">
        <v>9.0299999999999994</v>
      </c>
    </row>
    <row r="17" spans="1:9" ht="12" customHeight="1" x14ac:dyDescent="0.2">
      <c r="A17" s="7" t="s">
        <v>28</v>
      </c>
      <c r="B17" s="14" t="s">
        <v>26</v>
      </c>
      <c r="C17" s="14" t="s">
        <v>26</v>
      </c>
      <c r="D17" s="14" t="s">
        <v>26</v>
      </c>
      <c r="E17" s="14" t="s">
        <v>26</v>
      </c>
      <c r="F17" s="14" t="s">
        <v>26</v>
      </c>
      <c r="G17" s="14" t="s">
        <v>26</v>
      </c>
      <c r="H17" s="14" t="s">
        <v>26</v>
      </c>
      <c r="I17" s="19">
        <v>10.039999999999999</v>
      </c>
    </row>
    <row r="18" spans="1:9" ht="12" customHeight="1" x14ac:dyDescent="0.2">
      <c r="A18" s="7" t="s">
        <v>29</v>
      </c>
      <c r="B18" s="14" t="s">
        <v>26</v>
      </c>
      <c r="C18" s="14" t="s">
        <v>26</v>
      </c>
      <c r="D18" s="14" t="s">
        <v>26</v>
      </c>
      <c r="E18" s="14" t="s">
        <v>26</v>
      </c>
      <c r="F18" s="14" t="s">
        <v>26</v>
      </c>
      <c r="G18" s="14" t="s">
        <v>26</v>
      </c>
      <c r="H18" s="14" t="s">
        <v>26</v>
      </c>
      <c r="I18" s="19">
        <v>13.24</v>
      </c>
    </row>
    <row r="19" spans="1:9" ht="12" customHeight="1" x14ac:dyDescent="0.2">
      <c r="A19" s="7" t="s">
        <v>30</v>
      </c>
      <c r="B19" s="14" t="s">
        <v>26</v>
      </c>
      <c r="C19" s="14" t="s">
        <v>26</v>
      </c>
      <c r="D19" s="14" t="s">
        <v>26</v>
      </c>
      <c r="E19" s="14" t="s">
        <v>26</v>
      </c>
      <c r="F19" s="14" t="s">
        <v>26</v>
      </c>
      <c r="G19" s="14" t="s">
        <v>26</v>
      </c>
      <c r="H19" s="14" t="s">
        <v>26</v>
      </c>
      <c r="I19" s="19">
        <v>7.4</v>
      </c>
    </row>
    <row r="20" spans="1:9" ht="12" customHeight="1" x14ac:dyDescent="0.2">
      <c r="A20" s="7" t="s">
        <v>31</v>
      </c>
      <c r="B20" s="14" t="s">
        <v>26</v>
      </c>
      <c r="C20" s="14" t="s">
        <v>26</v>
      </c>
      <c r="D20" s="14" t="s">
        <v>26</v>
      </c>
      <c r="E20" s="14" t="s">
        <v>26</v>
      </c>
      <c r="F20" s="14" t="s">
        <v>26</v>
      </c>
      <c r="G20" s="14" t="s">
        <v>26</v>
      </c>
      <c r="H20" s="14" t="s">
        <v>26</v>
      </c>
      <c r="I20" s="14" t="s">
        <v>26</v>
      </c>
    </row>
    <row r="21" spans="1:9" ht="12" customHeight="1" x14ac:dyDescent="0.2">
      <c r="A21" s="7" t="s">
        <v>32</v>
      </c>
      <c r="B21" s="14" t="s">
        <v>26</v>
      </c>
      <c r="C21" s="14" t="s">
        <v>26</v>
      </c>
      <c r="D21" s="14" t="s">
        <v>26</v>
      </c>
      <c r="E21" s="14" t="s">
        <v>26</v>
      </c>
      <c r="F21" s="14" t="s">
        <v>26</v>
      </c>
      <c r="G21" s="14" t="s">
        <v>26</v>
      </c>
      <c r="H21" s="14" t="s">
        <v>26</v>
      </c>
      <c r="I21" s="19">
        <v>9.98</v>
      </c>
    </row>
    <row r="22" spans="1:9" ht="12" customHeight="1" x14ac:dyDescent="0.2">
      <c r="A22" s="7" t="s">
        <v>33</v>
      </c>
      <c r="B22" s="14" t="s">
        <v>26</v>
      </c>
      <c r="C22" s="14" t="s">
        <v>26</v>
      </c>
      <c r="D22" s="14" t="s">
        <v>26</v>
      </c>
      <c r="E22" s="14" t="s">
        <v>26</v>
      </c>
      <c r="F22" s="14" t="s">
        <v>26</v>
      </c>
      <c r="G22" s="14" t="s">
        <v>26</v>
      </c>
      <c r="H22" s="14" t="s">
        <v>26</v>
      </c>
      <c r="I22" s="19">
        <v>6.66</v>
      </c>
    </row>
    <row r="23" spans="1:9" ht="12" customHeight="1" x14ac:dyDescent="0.2">
      <c r="A23" s="7" t="s">
        <v>34</v>
      </c>
      <c r="B23" s="14" t="s">
        <v>26</v>
      </c>
      <c r="C23" s="14" t="s">
        <v>26</v>
      </c>
      <c r="D23" s="14" t="s">
        <v>26</v>
      </c>
      <c r="E23" s="14" t="s">
        <v>26</v>
      </c>
      <c r="F23" s="14" t="s">
        <v>26</v>
      </c>
      <c r="G23" s="14" t="s">
        <v>26</v>
      </c>
      <c r="H23" s="14" t="s">
        <v>26</v>
      </c>
      <c r="I23" s="19">
        <v>8.7100000000000009</v>
      </c>
    </row>
    <row r="24" spans="1:9" ht="12" customHeight="1" x14ac:dyDescent="0.2">
      <c r="A24" s="7" t="s">
        <v>35</v>
      </c>
      <c r="B24" s="14" t="s">
        <v>26</v>
      </c>
      <c r="C24" s="14" t="s">
        <v>26</v>
      </c>
      <c r="D24" s="14" t="s">
        <v>26</v>
      </c>
      <c r="E24" s="14" t="s">
        <v>26</v>
      </c>
      <c r="F24" s="14" t="s">
        <v>26</v>
      </c>
      <c r="G24" s="14" t="s">
        <v>26</v>
      </c>
      <c r="H24" s="14" t="s">
        <v>26</v>
      </c>
      <c r="I24" s="19">
        <v>3.57</v>
      </c>
    </row>
    <row r="25" spans="1:9" ht="10.5" x14ac:dyDescent="0.2">
      <c r="A25" s="7" t="s">
        <v>36</v>
      </c>
      <c r="B25" s="14" t="s">
        <v>26</v>
      </c>
      <c r="C25" s="14" t="s">
        <v>26</v>
      </c>
      <c r="D25" s="14" t="s">
        <v>26</v>
      </c>
      <c r="E25" s="14" t="s">
        <v>26</v>
      </c>
      <c r="F25" s="14" t="s">
        <v>26</v>
      </c>
      <c r="G25" s="14" t="s">
        <v>26</v>
      </c>
      <c r="H25" s="14" t="s">
        <v>26</v>
      </c>
      <c r="I25" s="19">
        <v>8.1199999999999992</v>
      </c>
    </row>
    <row r="26" spans="1:9" ht="10.5" x14ac:dyDescent="0.2">
      <c r="A26" s="8"/>
      <c r="B26" s="8"/>
      <c r="C26" s="8"/>
      <c r="D26" s="8"/>
      <c r="E26" s="8"/>
      <c r="F26" s="8"/>
      <c r="G26" s="8"/>
      <c r="H26" s="8"/>
      <c r="I26" s="8"/>
    </row>
    <row r="27" spans="1:9" ht="12" customHeight="1" x14ac:dyDescent="0.2">
      <c r="A27" s="7" t="s">
        <v>37</v>
      </c>
      <c r="B27" s="11" t="s">
        <v>50</v>
      </c>
      <c r="C27" s="11" t="s">
        <v>51</v>
      </c>
      <c r="D27" s="11" t="s">
        <v>52</v>
      </c>
      <c r="E27" s="11" t="s">
        <v>53</v>
      </c>
      <c r="F27" s="11" t="s">
        <v>54</v>
      </c>
      <c r="G27" s="11" t="s">
        <v>55</v>
      </c>
      <c r="H27" s="11" t="s">
        <v>56</v>
      </c>
      <c r="I27" s="11" t="s">
        <v>57</v>
      </c>
    </row>
    <row r="28" spans="1:9" ht="10.5" x14ac:dyDescent="0.2">
      <c r="A28" s="7" t="s">
        <v>38</v>
      </c>
      <c r="B28" s="14" t="s">
        <v>26</v>
      </c>
      <c r="C28" s="14" t="s">
        <v>26</v>
      </c>
      <c r="D28" s="14" t="s">
        <v>26</v>
      </c>
      <c r="E28" s="14" t="s">
        <v>26</v>
      </c>
      <c r="F28" s="14" t="s">
        <v>26</v>
      </c>
      <c r="G28" s="14" t="s">
        <v>26</v>
      </c>
      <c r="H28" s="14" t="s">
        <v>26</v>
      </c>
      <c r="I28" s="19">
        <v>13.24</v>
      </c>
    </row>
    <row r="29" spans="1:9" ht="10.5" x14ac:dyDescent="0.2">
      <c r="A29" s="7" t="s">
        <v>39</v>
      </c>
      <c r="B29" s="14" t="s">
        <v>26</v>
      </c>
      <c r="C29" s="14" t="s">
        <v>26</v>
      </c>
      <c r="D29" s="14" t="s">
        <v>26</v>
      </c>
      <c r="E29" s="14" t="s">
        <v>26</v>
      </c>
      <c r="F29" s="14" t="s">
        <v>26</v>
      </c>
      <c r="G29" s="14" t="s">
        <v>26</v>
      </c>
      <c r="H29" s="14" t="s">
        <v>26</v>
      </c>
      <c r="I29" s="19">
        <v>3.57</v>
      </c>
    </row>
    <row r="30" spans="1:9" ht="10.5" x14ac:dyDescent="0.2">
      <c r="A30" s="7" t="s">
        <v>40</v>
      </c>
      <c r="B30" s="14" t="s">
        <v>26</v>
      </c>
      <c r="C30" s="14" t="s">
        <v>26</v>
      </c>
      <c r="D30" s="14" t="s">
        <v>26</v>
      </c>
      <c r="E30" s="14" t="s">
        <v>26</v>
      </c>
      <c r="F30" s="14" t="s">
        <v>26</v>
      </c>
      <c r="G30" s="14" t="s">
        <v>26</v>
      </c>
      <c r="H30" s="14" t="s">
        <v>26</v>
      </c>
      <c r="I30" s="19">
        <v>8.59</v>
      </c>
    </row>
    <row r="31" spans="1:9" ht="10.5" x14ac:dyDescent="0.2">
      <c r="A31" s="7" t="s">
        <v>41</v>
      </c>
      <c r="B31" s="14" t="s">
        <v>26</v>
      </c>
      <c r="C31" s="14" t="s">
        <v>26</v>
      </c>
      <c r="D31" s="14" t="s">
        <v>26</v>
      </c>
      <c r="E31" s="14" t="s">
        <v>26</v>
      </c>
      <c r="F31" s="14" t="s">
        <v>26</v>
      </c>
      <c r="G31" s="14" t="s">
        <v>26</v>
      </c>
      <c r="H31" s="14" t="s">
        <v>26</v>
      </c>
      <c r="I31" s="19">
        <v>8.7100000000000009</v>
      </c>
    </row>
    <row r="32" spans="1:9" x14ac:dyDescent="0.2">
      <c r="A32" s="10"/>
      <c r="B32" s="10"/>
      <c r="C32" s="10"/>
      <c r="D32" s="10"/>
      <c r="E32" s="10"/>
      <c r="F32" s="10"/>
      <c r="G32" s="10"/>
      <c r="H32" s="10"/>
      <c r="I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064F5-3672-4B05-99C2-CE7A0D744E6F}">
  <sheetPr codeName="Sheet5">
    <outlinePr summaryBelow="0" summaryRight="0"/>
  </sheetPr>
  <dimension ref="A4:IU50"/>
  <sheetViews>
    <sheetView defaultGridColor="0" colorId="0" workbookViewId="0"/>
  </sheetViews>
  <sheetFormatPr defaultRowHeight="10" x14ac:dyDescent="0.2"/>
  <cols>
    <col min="1" max="1" width="47.81640625" customWidth="1"/>
    <col min="2" max="13" width="20.81640625" customWidth="1"/>
  </cols>
  <sheetData>
    <row r="4" spans="1:255" ht="17" x14ac:dyDescent="0.35">
      <c r="A4" s="1" t="s">
        <v>58</v>
      </c>
    </row>
    <row r="7" spans="1:255" x14ac:dyDescent="0.2">
      <c r="A7" s="2" t="s">
        <v>1</v>
      </c>
      <c r="B7" s="2"/>
      <c r="C7" s="2"/>
      <c r="D7" s="2"/>
      <c r="E7" s="2"/>
      <c r="F7" s="2"/>
      <c r="G7" s="2"/>
      <c r="H7" s="2"/>
      <c r="I7" s="2"/>
      <c r="J7" s="2"/>
      <c r="K7" s="2"/>
      <c r="L7" s="2"/>
      <c r="M7" s="2"/>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ht="10.5" x14ac:dyDescent="0.25">
      <c r="A8" s="3" t="s">
        <v>59</v>
      </c>
      <c r="B8" s="4" t="s">
        <v>3</v>
      </c>
    </row>
    <row r="9" spans="1:255" ht="10.5" x14ac:dyDescent="0.25">
      <c r="A9" s="3" t="s">
        <v>60</v>
      </c>
      <c r="B9" s="4" t="s">
        <v>5</v>
      </c>
    </row>
    <row r="10" spans="1:255" ht="10.5" x14ac:dyDescent="0.25">
      <c r="A10" s="3" t="s">
        <v>61</v>
      </c>
      <c r="B10" s="5">
        <v>45045</v>
      </c>
    </row>
    <row r="11" spans="1:255" x14ac:dyDescent="0.2">
      <c r="A11" s="6"/>
    </row>
    <row r="13" spans="1:255" x14ac:dyDescent="0.2">
      <c r="A13" s="2" t="s">
        <v>7</v>
      </c>
      <c r="B13" s="2"/>
      <c r="C13" s="2"/>
      <c r="D13" s="2"/>
      <c r="E13" s="2"/>
      <c r="F13" s="2"/>
      <c r="G13" s="2"/>
      <c r="H13" s="2"/>
      <c r="I13" s="2"/>
      <c r="J13" s="2"/>
      <c r="K13" s="2"/>
      <c r="L13" s="2"/>
      <c r="M13" s="2"/>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21" x14ac:dyDescent="0.2">
      <c r="A14" s="7" t="s">
        <v>8</v>
      </c>
      <c r="B14" s="11" t="s">
        <v>62</v>
      </c>
      <c r="C14" s="11" t="s">
        <v>63</v>
      </c>
      <c r="D14" s="11" t="s">
        <v>64</v>
      </c>
      <c r="E14" s="11" t="s">
        <v>65</v>
      </c>
      <c r="F14" s="11" t="s">
        <v>66</v>
      </c>
      <c r="G14" s="11" t="s">
        <v>67</v>
      </c>
      <c r="H14" s="11" t="s">
        <v>68</v>
      </c>
      <c r="I14" s="11" t="s">
        <v>69</v>
      </c>
      <c r="J14" s="11" t="s">
        <v>70</v>
      </c>
      <c r="K14" s="11" t="s">
        <v>71</v>
      </c>
      <c r="L14" s="11" t="s">
        <v>72</v>
      </c>
      <c r="M14" s="11" t="s">
        <v>73</v>
      </c>
    </row>
    <row r="15" spans="1:255" ht="12" customHeight="1" x14ac:dyDescent="0.2">
      <c r="A15" s="7" t="s">
        <v>25</v>
      </c>
      <c r="B15" s="14" t="s">
        <v>26</v>
      </c>
      <c r="C15" s="14" t="s">
        <v>26</v>
      </c>
      <c r="D15" s="14" t="s">
        <v>26</v>
      </c>
      <c r="E15" s="21">
        <v>0.19639999999999999</v>
      </c>
      <c r="F15" s="21">
        <v>-0.10390000000000001</v>
      </c>
      <c r="G15" s="14" t="s">
        <v>26</v>
      </c>
      <c r="H15" s="14" t="s">
        <v>26</v>
      </c>
      <c r="I15" s="21">
        <v>-0.30109999999999998</v>
      </c>
      <c r="J15" s="14" t="s">
        <v>26</v>
      </c>
      <c r="K15" s="14" t="s">
        <v>26</v>
      </c>
      <c r="L15" s="21">
        <v>0.13200000000000001</v>
      </c>
      <c r="M15" s="12">
        <v>1.1200000000000001</v>
      </c>
    </row>
    <row r="16" spans="1:255" ht="12" customHeight="1" x14ac:dyDescent="0.2">
      <c r="A16" s="7" t="s">
        <v>27</v>
      </c>
      <c r="B16" s="14" t="s">
        <v>26</v>
      </c>
      <c r="C16" s="14" t="s">
        <v>26</v>
      </c>
      <c r="D16" s="14" t="s">
        <v>26</v>
      </c>
      <c r="E16" s="21">
        <v>0.30280000000000001</v>
      </c>
      <c r="F16" s="21">
        <v>2.5100000000000001E-2</v>
      </c>
      <c r="G16" s="14" t="s">
        <v>26</v>
      </c>
      <c r="H16" s="14" t="s">
        <v>26</v>
      </c>
      <c r="I16" s="21">
        <v>-7.6600000000000001E-2</v>
      </c>
      <c r="J16" s="14" t="s">
        <v>26</v>
      </c>
      <c r="K16" s="14" t="s">
        <v>26</v>
      </c>
      <c r="L16" s="14" t="s">
        <v>26</v>
      </c>
      <c r="M16" s="12">
        <v>1.38</v>
      </c>
    </row>
    <row r="17" spans="1:13" ht="12" customHeight="1" x14ac:dyDescent="0.2">
      <c r="A17" s="7" t="s">
        <v>28</v>
      </c>
      <c r="B17" s="14" t="s">
        <v>26</v>
      </c>
      <c r="C17" s="14" t="s">
        <v>26</v>
      </c>
      <c r="D17" s="14" t="s">
        <v>26</v>
      </c>
      <c r="E17" s="21">
        <v>0.32540000000000002</v>
      </c>
      <c r="F17" s="21">
        <v>4.36E-2</v>
      </c>
      <c r="G17" s="14" t="s">
        <v>26</v>
      </c>
      <c r="H17" s="14" t="s">
        <v>26</v>
      </c>
      <c r="I17" s="21">
        <v>-7.1000000000000004E-3</v>
      </c>
      <c r="J17" s="14" t="s">
        <v>26</v>
      </c>
      <c r="K17" s="14" t="s">
        <v>26</v>
      </c>
      <c r="L17" s="21">
        <v>-5.0000000000000001E-3</v>
      </c>
      <c r="M17" s="12">
        <v>1.08</v>
      </c>
    </row>
    <row r="18" spans="1:13" ht="12" customHeight="1" x14ac:dyDescent="0.2">
      <c r="A18" s="7" t="s">
        <v>29</v>
      </c>
      <c r="B18" s="20">
        <v>0.86699999999999999</v>
      </c>
      <c r="C18" s="14" t="s">
        <v>26</v>
      </c>
      <c r="D18" s="14" t="s">
        <v>26</v>
      </c>
      <c r="E18" s="21">
        <v>0.19539999999999999</v>
      </c>
      <c r="F18" s="21">
        <v>-9.8000000000000004E-2</v>
      </c>
      <c r="G18" s="14" t="s">
        <v>26</v>
      </c>
      <c r="H18" s="14" t="s">
        <v>26</v>
      </c>
      <c r="I18" s="21">
        <v>-0.29060000000000002</v>
      </c>
      <c r="J18" s="21">
        <v>0.78400000000000003</v>
      </c>
      <c r="K18" s="14" t="s">
        <v>26</v>
      </c>
      <c r="L18" s="21">
        <v>2.1700000000000001E-2</v>
      </c>
      <c r="M18" s="12">
        <v>1.32</v>
      </c>
    </row>
    <row r="19" spans="1:13" ht="12" customHeight="1" x14ac:dyDescent="0.2">
      <c r="A19" s="7" t="s">
        <v>30</v>
      </c>
      <c r="B19" s="14" t="s">
        <v>26</v>
      </c>
      <c r="C19" s="14" t="s">
        <v>26</v>
      </c>
      <c r="D19" s="14" t="s">
        <v>26</v>
      </c>
      <c r="E19" s="21">
        <v>0.255</v>
      </c>
      <c r="F19" s="21">
        <v>1.8599999999999998E-2</v>
      </c>
      <c r="G19" s="14" t="s">
        <v>26</v>
      </c>
      <c r="H19" s="14" t="s">
        <v>26</v>
      </c>
      <c r="I19" s="21">
        <v>-0.17599999999999999</v>
      </c>
      <c r="J19" s="14" t="s">
        <v>26</v>
      </c>
      <c r="K19" s="14" t="s">
        <v>26</v>
      </c>
      <c r="L19" s="21">
        <v>9.0499999999999997E-2</v>
      </c>
      <c r="M19" s="12">
        <v>0.95</v>
      </c>
    </row>
    <row r="20" spans="1:13" ht="12" customHeight="1" x14ac:dyDescent="0.2">
      <c r="A20" s="7" t="s">
        <v>31</v>
      </c>
      <c r="B20" s="14" t="s">
        <v>26</v>
      </c>
      <c r="C20" s="14" t="s">
        <v>26</v>
      </c>
      <c r="D20" s="14" t="s">
        <v>26</v>
      </c>
      <c r="E20" s="21">
        <v>0.4254</v>
      </c>
      <c r="F20" s="21">
        <v>7.8299999999999995E-2</v>
      </c>
      <c r="G20" s="14" t="s">
        <v>26</v>
      </c>
      <c r="H20" s="14" t="s">
        <v>26</v>
      </c>
      <c r="I20" s="21">
        <v>3.5400000000000001E-2</v>
      </c>
      <c r="J20" s="14" t="s">
        <v>26</v>
      </c>
      <c r="K20" s="14" t="s">
        <v>26</v>
      </c>
      <c r="L20" s="21">
        <v>5.1799999999999999E-2</v>
      </c>
      <c r="M20" s="12">
        <v>0.41</v>
      </c>
    </row>
    <row r="21" spans="1:13" ht="12" customHeight="1" x14ac:dyDescent="0.2">
      <c r="A21" s="7" t="s">
        <v>32</v>
      </c>
      <c r="B21" s="14" t="s">
        <v>26</v>
      </c>
      <c r="C21" s="14" t="s">
        <v>26</v>
      </c>
      <c r="D21" s="14" t="s">
        <v>26</v>
      </c>
      <c r="E21" s="21">
        <v>0.2989</v>
      </c>
      <c r="F21" s="21">
        <v>4.9299999999999997E-2</v>
      </c>
      <c r="G21" s="14" t="s">
        <v>26</v>
      </c>
      <c r="H21" s="14" t="s">
        <v>26</v>
      </c>
      <c r="I21" s="21">
        <v>0.1983</v>
      </c>
      <c r="J21" s="14" t="s">
        <v>26</v>
      </c>
      <c r="K21" s="14" t="s">
        <v>26</v>
      </c>
      <c r="L21" s="21">
        <v>0.40500000000000003</v>
      </c>
      <c r="M21" s="12">
        <v>1.1000000000000001</v>
      </c>
    </row>
    <row r="22" spans="1:13" ht="12" customHeight="1" x14ac:dyDescent="0.2">
      <c r="A22" s="7" t="s">
        <v>33</v>
      </c>
      <c r="B22" s="14" t="s">
        <v>26</v>
      </c>
      <c r="C22" s="14" t="s">
        <v>26</v>
      </c>
      <c r="D22" s="14" t="s">
        <v>26</v>
      </c>
      <c r="E22" s="21">
        <v>0.31740000000000002</v>
      </c>
      <c r="F22" s="21">
        <v>6.9999999999999999E-4</v>
      </c>
      <c r="G22" s="14" t="s">
        <v>26</v>
      </c>
      <c r="H22" s="14" t="s">
        <v>26</v>
      </c>
      <c r="I22" s="21">
        <v>0.1522</v>
      </c>
      <c r="J22" s="14" t="s">
        <v>26</v>
      </c>
      <c r="K22" s="14" t="s">
        <v>26</v>
      </c>
      <c r="L22" s="21">
        <v>0.15390000000000001</v>
      </c>
      <c r="M22" s="12">
        <v>0.57999999999999996</v>
      </c>
    </row>
    <row r="23" spans="1:13" ht="12" customHeight="1" x14ac:dyDescent="0.2">
      <c r="A23" s="7" t="s">
        <v>34</v>
      </c>
      <c r="B23" s="14" t="s">
        <v>26</v>
      </c>
      <c r="C23" s="14" t="s">
        <v>26</v>
      </c>
      <c r="D23" s="14" t="s">
        <v>26</v>
      </c>
      <c r="E23" s="21">
        <v>0.16569999999999999</v>
      </c>
      <c r="F23" s="21">
        <v>4.1500000000000002E-2</v>
      </c>
      <c r="G23" s="14" t="s">
        <v>26</v>
      </c>
      <c r="H23" s="14" t="s">
        <v>26</v>
      </c>
      <c r="I23" s="21">
        <v>-0.23</v>
      </c>
      <c r="J23" s="14" t="s">
        <v>26</v>
      </c>
      <c r="K23" s="14" t="s">
        <v>26</v>
      </c>
      <c r="L23" s="21">
        <v>9.1899999999999996E-2</v>
      </c>
      <c r="M23" s="12">
        <v>1.06</v>
      </c>
    </row>
    <row r="24" spans="1:13" ht="12" customHeight="1" x14ac:dyDescent="0.2">
      <c r="A24" s="7" t="s">
        <v>35</v>
      </c>
      <c r="B24" s="14" t="s">
        <v>26</v>
      </c>
      <c r="C24" s="14" t="s">
        <v>26</v>
      </c>
      <c r="D24" s="14" t="s">
        <v>26</v>
      </c>
      <c r="E24" s="21">
        <v>0.44829999999999998</v>
      </c>
      <c r="F24" s="21">
        <v>6.7699999999999996E-2</v>
      </c>
      <c r="G24" s="14" t="s">
        <v>26</v>
      </c>
      <c r="H24" s="14" t="s">
        <v>26</v>
      </c>
      <c r="I24" s="21">
        <v>0.06</v>
      </c>
      <c r="J24" s="14" t="s">
        <v>26</v>
      </c>
      <c r="K24" s="14" t="s">
        <v>26</v>
      </c>
      <c r="L24" s="21">
        <v>4.9700000000000001E-2</v>
      </c>
      <c r="M24" s="12">
        <v>0.44</v>
      </c>
    </row>
    <row r="25" spans="1:13" ht="10.5" x14ac:dyDescent="0.2">
      <c r="A25" s="7" t="s">
        <v>36</v>
      </c>
      <c r="B25" s="14" t="s">
        <v>26</v>
      </c>
      <c r="C25" s="14" t="s">
        <v>26</v>
      </c>
      <c r="D25" s="14" t="s">
        <v>26</v>
      </c>
      <c r="E25" s="21">
        <v>0.2122</v>
      </c>
      <c r="F25" s="21">
        <v>-1.9300000000000001E-2</v>
      </c>
      <c r="G25" s="14" t="s">
        <v>26</v>
      </c>
      <c r="H25" s="14" t="s">
        <v>26</v>
      </c>
      <c r="I25" s="21">
        <v>-0.1731</v>
      </c>
      <c r="J25" s="14" t="s">
        <v>26</v>
      </c>
      <c r="K25" s="14" t="s">
        <v>26</v>
      </c>
      <c r="L25" s="21">
        <v>-3.39E-2</v>
      </c>
      <c r="M25" s="12">
        <v>1.56</v>
      </c>
    </row>
    <row r="26" spans="1:13" ht="10.5" x14ac:dyDescent="0.2">
      <c r="A26" s="8"/>
      <c r="B26" s="8"/>
      <c r="C26" s="8"/>
      <c r="D26" s="8"/>
      <c r="E26" s="8"/>
      <c r="F26" s="8"/>
      <c r="G26" s="8"/>
      <c r="H26" s="8"/>
      <c r="I26" s="8"/>
      <c r="J26" s="8"/>
      <c r="K26" s="8"/>
      <c r="L26" s="8"/>
      <c r="M26" s="8"/>
    </row>
    <row r="27" spans="1:13" ht="12" customHeight="1" x14ac:dyDescent="0.2">
      <c r="A27" s="7" t="s">
        <v>37</v>
      </c>
      <c r="B27" s="11" t="s">
        <v>62</v>
      </c>
      <c r="C27" s="11" t="s">
        <v>63</v>
      </c>
      <c r="D27" s="11" t="s">
        <v>64</v>
      </c>
      <c r="E27" s="11" t="s">
        <v>65</v>
      </c>
      <c r="F27" s="11" t="s">
        <v>66</v>
      </c>
      <c r="G27" s="11" t="s">
        <v>67</v>
      </c>
      <c r="H27" s="11" t="s">
        <v>68</v>
      </c>
      <c r="I27" s="11" t="s">
        <v>69</v>
      </c>
      <c r="J27" s="11" t="s">
        <v>70</v>
      </c>
      <c r="K27" s="11" t="s">
        <v>71</v>
      </c>
      <c r="L27" s="11" t="s">
        <v>72</v>
      </c>
      <c r="M27" s="11" t="s">
        <v>73</v>
      </c>
    </row>
    <row r="28" spans="1:13" ht="10.5" x14ac:dyDescent="0.2">
      <c r="A28" s="7" t="s">
        <v>38</v>
      </c>
      <c r="B28" s="20">
        <v>0.86699999999999999</v>
      </c>
      <c r="C28" s="14" t="s">
        <v>26</v>
      </c>
      <c r="D28" s="14" t="s">
        <v>26</v>
      </c>
      <c r="E28" s="21">
        <v>0.44829999999999998</v>
      </c>
      <c r="F28" s="21">
        <v>7.8299999999999995E-2</v>
      </c>
      <c r="G28" s="14" t="s">
        <v>26</v>
      </c>
      <c r="H28" s="14" t="s">
        <v>26</v>
      </c>
      <c r="I28" s="21">
        <v>0.1983</v>
      </c>
      <c r="J28" s="21">
        <v>0.78400000000000003</v>
      </c>
      <c r="K28" s="14" t="s">
        <v>26</v>
      </c>
      <c r="L28" s="21">
        <v>0.40500000000000003</v>
      </c>
      <c r="M28" s="12">
        <v>1.38</v>
      </c>
    </row>
    <row r="29" spans="1:13" ht="10.5" x14ac:dyDescent="0.2">
      <c r="A29" s="7" t="s">
        <v>39</v>
      </c>
      <c r="B29" s="20">
        <v>0.86699999999999999</v>
      </c>
      <c r="C29" s="14" t="s">
        <v>26</v>
      </c>
      <c r="D29" s="14" t="s">
        <v>26</v>
      </c>
      <c r="E29" s="21">
        <v>0.16569999999999999</v>
      </c>
      <c r="F29" s="21">
        <v>-0.10390000000000001</v>
      </c>
      <c r="G29" s="14" t="s">
        <v>26</v>
      </c>
      <c r="H29" s="14" t="s">
        <v>26</v>
      </c>
      <c r="I29" s="21">
        <v>-0.30109999999999998</v>
      </c>
      <c r="J29" s="21">
        <v>0.78400000000000003</v>
      </c>
      <c r="K29" s="14" t="s">
        <v>26</v>
      </c>
      <c r="L29" s="21">
        <v>-5.0000000000000001E-3</v>
      </c>
      <c r="M29" s="12">
        <v>0.41</v>
      </c>
    </row>
    <row r="30" spans="1:13" ht="10.5" x14ac:dyDescent="0.2">
      <c r="A30" s="7" t="s">
        <v>40</v>
      </c>
      <c r="B30" s="20">
        <v>0.86699999999999999</v>
      </c>
      <c r="C30" s="14" t="s">
        <v>26</v>
      </c>
      <c r="D30" s="14" t="s">
        <v>26</v>
      </c>
      <c r="E30" s="21">
        <v>0.29310000000000003</v>
      </c>
      <c r="F30" s="21">
        <v>1.23E-2</v>
      </c>
      <c r="G30" s="14" t="s">
        <v>26</v>
      </c>
      <c r="H30" s="14" t="s">
        <v>26</v>
      </c>
      <c r="I30" s="21">
        <v>-6.3600000000000004E-2</v>
      </c>
      <c r="J30" s="21">
        <v>0.78400000000000003</v>
      </c>
      <c r="K30" s="14" t="s">
        <v>26</v>
      </c>
      <c r="L30" s="21">
        <v>0.11020000000000001</v>
      </c>
      <c r="M30" s="12">
        <v>0.95</v>
      </c>
    </row>
    <row r="31" spans="1:13" ht="10.5" x14ac:dyDescent="0.2">
      <c r="A31" s="7" t="s">
        <v>41</v>
      </c>
      <c r="B31" s="20">
        <v>0.86699999999999999</v>
      </c>
      <c r="C31" s="14" t="s">
        <v>26</v>
      </c>
      <c r="D31" s="14" t="s">
        <v>26</v>
      </c>
      <c r="E31" s="21">
        <v>0.30080000000000001</v>
      </c>
      <c r="F31" s="21">
        <v>3.3300000000000003E-2</v>
      </c>
      <c r="G31" s="14" t="s">
        <v>26</v>
      </c>
      <c r="H31" s="14" t="s">
        <v>26</v>
      </c>
      <c r="I31" s="21">
        <v>-4.1799999999999997E-2</v>
      </c>
      <c r="J31" s="21">
        <v>0.78400000000000003</v>
      </c>
      <c r="K31" s="14" t="s">
        <v>26</v>
      </c>
      <c r="L31" s="21">
        <v>9.0499999999999997E-2</v>
      </c>
      <c r="M31" s="12">
        <v>1.07</v>
      </c>
    </row>
    <row r="32" spans="1:13" x14ac:dyDescent="0.2">
      <c r="A32" s="10"/>
      <c r="B32" s="10"/>
      <c r="C32" s="10"/>
      <c r="D32" s="10"/>
      <c r="E32" s="10"/>
      <c r="F32" s="10"/>
      <c r="G32" s="10"/>
      <c r="H32" s="10"/>
      <c r="I32" s="10"/>
      <c r="J32" s="10"/>
      <c r="K32" s="10"/>
      <c r="L32" s="10"/>
      <c r="M32" s="10"/>
    </row>
    <row r="34" spans="1:1" x14ac:dyDescent="0.2">
      <c r="A34" s="6" t="s">
        <v>42</v>
      </c>
    </row>
    <row r="39" spans="1:1" x14ac:dyDescent="0.2">
      <c r="A39" t="s">
        <v>43</v>
      </c>
    </row>
    <row r="40" spans="1:1" x14ac:dyDescent="0.2">
      <c r="A40" t="s">
        <v>44</v>
      </c>
    </row>
    <row r="48" spans="1:1" ht="20" x14ac:dyDescent="0.2">
      <c r="A48" s="18" t="s">
        <v>45</v>
      </c>
    </row>
    <row r="50" ht="25" customHeight="1" x14ac:dyDescent="0.2"/>
  </sheetData>
  <pageMargins left="0.2" right="0.2" top="0.5" bottom="0.5" header="0.5" footer="0.5"/>
  <pageSetup fitToWidth="0" fitToHeight="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85C1B-4C99-4D03-BB4E-F4E9897B46BB}">
  <sheetPr codeName="Sheet6">
    <outlinePr summaryBelow="0" summaryRight="0"/>
  </sheetPr>
  <dimension ref="A4:IU44"/>
  <sheetViews>
    <sheetView defaultGridColor="0" colorId="0" workbookViewId="0"/>
  </sheetViews>
  <sheetFormatPr defaultRowHeight="10" x14ac:dyDescent="0.2"/>
  <cols>
    <col min="1" max="1" width="47.81640625" customWidth="1"/>
    <col min="2" max="3" width="25.81640625" customWidth="1"/>
    <col min="4" max="9" width="9.26953125"/>
  </cols>
  <sheetData>
    <row r="4" spans="1:255" ht="17" x14ac:dyDescent="0.35">
      <c r="A4" s="1" t="s">
        <v>74</v>
      </c>
    </row>
    <row r="7" spans="1:255" x14ac:dyDescent="0.2">
      <c r="A7" s="2" t="s">
        <v>1</v>
      </c>
      <c r="B7" s="2"/>
      <c r="C7" s="2"/>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ht="10.5" x14ac:dyDescent="0.25">
      <c r="A8" s="3" t="s">
        <v>75</v>
      </c>
      <c r="B8" s="4" t="s">
        <v>3</v>
      </c>
    </row>
    <row r="9" spans="1:255" ht="10.5" x14ac:dyDescent="0.25">
      <c r="A9" s="3" t="s">
        <v>76</v>
      </c>
      <c r="B9" s="4" t="s">
        <v>5</v>
      </c>
    </row>
    <row r="10" spans="1:255" ht="10.5" x14ac:dyDescent="0.25">
      <c r="A10" s="3" t="s">
        <v>77</v>
      </c>
      <c r="B10" s="5">
        <v>45045</v>
      </c>
    </row>
    <row r="11" spans="1:255" x14ac:dyDescent="0.2">
      <c r="A11" s="6"/>
    </row>
    <row r="13" spans="1:255" x14ac:dyDescent="0.2">
      <c r="A13" s="2" t="s">
        <v>7</v>
      </c>
      <c r="B13" s="2"/>
      <c r="C13" s="2"/>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10.5" x14ac:dyDescent="0.2">
      <c r="A14" s="7" t="s">
        <v>8</v>
      </c>
      <c r="B14" s="7" t="s">
        <v>78</v>
      </c>
      <c r="C14" s="7" t="s">
        <v>79</v>
      </c>
    </row>
    <row r="15" spans="1:255" ht="12" customHeight="1" x14ac:dyDescent="0.2">
      <c r="A15" s="7" t="s">
        <v>25</v>
      </c>
      <c r="B15" s="22" t="s">
        <v>80</v>
      </c>
      <c r="C15" s="22" t="s">
        <v>81</v>
      </c>
    </row>
    <row r="16" spans="1:255" ht="12" customHeight="1" x14ac:dyDescent="0.2">
      <c r="A16" s="7" t="s">
        <v>27</v>
      </c>
      <c r="B16" s="22" t="s">
        <v>82</v>
      </c>
      <c r="C16" s="22" t="s">
        <v>83</v>
      </c>
    </row>
    <row r="17" spans="1:3" ht="12" customHeight="1" x14ac:dyDescent="0.2">
      <c r="A17" s="7" t="s">
        <v>28</v>
      </c>
      <c r="B17" s="22" t="s">
        <v>84</v>
      </c>
      <c r="C17" s="22" t="s">
        <v>85</v>
      </c>
    </row>
    <row r="18" spans="1:3" ht="12" customHeight="1" x14ac:dyDescent="0.2">
      <c r="A18" s="7" t="s">
        <v>29</v>
      </c>
      <c r="B18" s="22" t="s">
        <v>86</v>
      </c>
      <c r="C18" s="22" t="s">
        <v>87</v>
      </c>
    </row>
    <row r="19" spans="1:3" ht="12" customHeight="1" x14ac:dyDescent="0.2">
      <c r="A19" s="7" t="s">
        <v>30</v>
      </c>
      <c r="B19" s="22" t="s">
        <v>88</v>
      </c>
      <c r="C19" s="22" t="s">
        <v>89</v>
      </c>
    </row>
    <row r="20" spans="1:3" ht="12" customHeight="1" x14ac:dyDescent="0.2">
      <c r="A20" s="7" t="s">
        <v>31</v>
      </c>
      <c r="B20" s="22" t="s">
        <v>90</v>
      </c>
      <c r="C20" s="22" t="s">
        <v>91</v>
      </c>
    </row>
    <row r="21" spans="1:3" ht="12" customHeight="1" x14ac:dyDescent="0.2">
      <c r="A21" s="7" t="s">
        <v>32</v>
      </c>
      <c r="B21" s="22" t="s">
        <v>92</v>
      </c>
      <c r="C21" s="22" t="s">
        <v>93</v>
      </c>
    </row>
    <row r="22" spans="1:3" ht="12" customHeight="1" x14ac:dyDescent="0.2">
      <c r="A22" s="7" t="s">
        <v>33</v>
      </c>
      <c r="B22" s="22" t="s">
        <v>94</v>
      </c>
      <c r="C22" s="22" t="s">
        <v>95</v>
      </c>
    </row>
    <row r="23" spans="1:3" ht="12" customHeight="1" x14ac:dyDescent="0.2">
      <c r="A23" s="7" t="s">
        <v>34</v>
      </c>
      <c r="B23" s="22" t="s">
        <v>96</v>
      </c>
      <c r="C23" s="22" t="s">
        <v>97</v>
      </c>
    </row>
    <row r="24" spans="1:3" ht="12" customHeight="1" x14ac:dyDescent="0.2">
      <c r="A24" s="7" t="s">
        <v>35</v>
      </c>
      <c r="B24" s="22" t="s">
        <v>98</v>
      </c>
      <c r="C24" s="22" t="s">
        <v>99</v>
      </c>
    </row>
    <row r="25" spans="1:3" ht="10.5" x14ac:dyDescent="0.2">
      <c r="A25" s="8"/>
      <c r="B25" s="8"/>
      <c r="C25" s="8"/>
    </row>
    <row r="26" spans="1:3" ht="10.5" x14ac:dyDescent="0.2">
      <c r="A26" s="9"/>
      <c r="B26" s="9"/>
      <c r="C26" s="9"/>
    </row>
    <row r="27" spans="1:3" ht="12" customHeight="1" x14ac:dyDescent="0.2">
      <c r="A27" s="7" t="s">
        <v>36</v>
      </c>
      <c r="B27" s="22" t="s">
        <v>100</v>
      </c>
      <c r="C27" s="22" t="s">
        <v>101</v>
      </c>
    </row>
    <row r="28" spans="1:3" x14ac:dyDescent="0.2">
      <c r="A28" s="10"/>
      <c r="B28" s="10"/>
      <c r="C28" s="10"/>
    </row>
    <row r="30" spans="1:3" x14ac:dyDescent="0.2">
      <c r="A30" s="6" t="s">
        <v>42</v>
      </c>
    </row>
    <row r="35" spans="1:1" x14ac:dyDescent="0.2">
      <c r="A35" t="s">
        <v>43</v>
      </c>
    </row>
    <row r="36" spans="1:1" x14ac:dyDescent="0.2">
      <c r="A36" t="s">
        <v>44</v>
      </c>
    </row>
    <row r="44" spans="1:1" ht="25" customHeight="1" x14ac:dyDescent="0.2">
      <c r="A44" s="18" t="s">
        <v>45</v>
      </c>
    </row>
  </sheetData>
  <pageMargins left="0.2" right="0.2" top="0.5" bottom="0.5" header="0.5" footer="0.5"/>
  <pageSetup fitToWidth="0" fitToHeight="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73AC4-6D70-495D-8678-44BD88F29BD3}">
  <sheetPr codeName="Sheet7">
    <outlinePr summaryBelow="0" summaryRight="0"/>
  </sheetPr>
  <dimension ref="A4:IU69"/>
  <sheetViews>
    <sheetView defaultGridColor="0" colorId="0" workbookViewId="0"/>
  </sheetViews>
  <sheetFormatPr defaultRowHeight="10" x14ac:dyDescent="0.2"/>
  <cols>
    <col min="1" max="1" width="25.81640625" customWidth="1"/>
    <col min="2" max="3" width="20.81640625" customWidth="1"/>
    <col min="4" max="9" width="25.81640625" customWidth="1"/>
  </cols>
  <sheetData>
    <row r="4" spans="1:255" ht="17" x14ac:dyDescent="0.35">
      <c r="A4" s="1" t="s">
        <v>102</v>
      </c>
    </row>
    <row r="7" spans="1:255" x14ac:dyDescent="0.2">
      <c r="A7" s="2" t="s">
        <v>1</v>
      </c>
      <c r="B7" s="2"/>
      <c r="C7" s="2"/>
      <c r="D7" s="2"/>
      <c r="E7" s="2"/>
      <c r="F7" s="2"/>
      <c r="G7" s="2"/>
      <c r="H7" s="2"/>
      <c r="I7" s="2"/>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ht="10.5" x14ac:dyDescent="0.25">
      <c r="A8" s="3" t="s">
        <v>103</v>
      </c>
      <c r="B8" s="4" t="s">
        <v>3</v>
      </c>
    </row>
    <row r="9" spans="1:255" ht="10.5" x14ac:dyDescent="0.25">
      <c r="A9" s="3" t="s">
        <v>104</v>
      </c>
      <c r="B9" s="4" t="s">
        <v>5</v>
      </c>
    </row>
    <row r="10" spans="1:255" ht="10.5" x14ac:dyDescent="0.25">
      <c r="A10" s="3" t="s">
        <v>105</v>
      </c>
      <c r="B10" s="5">
        <v>45045</v>
      </c>
    </row>
    <row r="11" spans="1:255" x14ac:dyDescent="0.2">
      <c r="A11" s="6"/>
    </row>
    <row r="13" spans="1:255" x14ac:dyDescent="0.2">
      <c r="A13" s="2" t="s">
        <v>7</v>
      </c>
      <c r="B13" s="2"/>
      <c r="C13" s="2"/>
      <c r="D13" s="2"/>
      <c r="E13" s="2"/>
      <c r="F13" s="2"/>
      <c r="G13" s="2"/>
      <c r="H13" s="2"/>
      <c r="I13" s="2"/>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10.5" x14ac:dyDescent="0.2">
      <c r="A14" s="9" t="s">
        <v>8</v>
      </c>
      <c r="B14" s="11" t="s">
        <v>18</v>
      </c>
      <c r="C14" s="11" t="s">
        <v>19</v>
      </c>
      <c r="D14" s="11" t="s">
        <v>20</v>
      </c>
      <c r="E14" s="11" t="s">
        <v>22</v>
      </c>
      <c r="F14" s="11" t="s">
        <v>23</v>
      </c>
      <c r="G14" s="11" t="s">
        <v>106</v>
      </c>
      <c r="H14" s="11" t="s">
        <v>24</v>
      </c>
      <c r="I14" s="11" t="s">
        <v>16</v>
      </c>
    </row>
    <row r="15" spans="1:255" ht="12" customHeight="1" x14ac:dyDescent="0.2">
      <c r="A15" s="7" t="s">
        <v>36</v>
      </c>
      <c r="B15" s="13">
        <v>71359</v>
      </c>
      <c r="C15" s="14" t="s">
        <v>26</v>
      </c>
      <c r="D15" s="14" t="s">
        <v>26</v>
      </c>
      <c r="E15" s="12">
        <v>78343.89</v>
      </c>
      <c r="F15" s="14" t="s">
        <v>26</v>
      </c>
      <c r="G15" s="12">
        <v>7.21</v>
      </c>
      <c r="H15" s="12">
        <v>5.8</v>
      </c>
      <c r="I15" s="12">
        <v>84.33</v>
      </c>
    </row>
    <row r="16" spans="1:255" ht="10.5" x14ac:dyDescent="0.2">
      <c r="A16" s="8"/>
      <c r="B16" s="8"/>
      <c r="C16" s="8"/>
      <c r="D16" s="8"/>
      <c r="E16" s="8"/>
      <c r="F16" s="8"/>
      <c r="G16" s="8"/>
      <c r="H16" s="8"/>
      <c r="I16" s="8"/>
    </row>
    <row r="17" spans="1:9" ht="10.5" x14ac:dyDescent="0.2">
      <c r="A17" s="9"/>
      <c r="B17" s="9" t="s">
        <v>107</v>
      </c>
      <c r="C17" s="9" t="s">
        <v>107</v>
      </c>
      <c r="D17" s="9" t="s">
        <v>107</v>
      </c>
      <c r="E17" s="9" t="s">
        <v>108</v>
      </c>
      <c r="F17" s="9" t="s">
        <v>107</v>
      </c>
      <c r="G17" s="9" t="s">
        <v>107</v>
      </c>
      <c r="H17" s="9" t="s">
        <v>109</v>
      </c>
      <c r="I17" s="9" t="s">
        <v>107</v>
      </c>
    </row>
    <row r="18" spans="1:9" ht="21" x14ac:dyDescent="0.2">
      <c r="A18" s="9"/>
      <c r="B18" s="11" t="s">
        <v>50</v>
      </c>
      <c r="C18" s="11" t="s">
        <v>51</v>
      </c>
      <c r="D18" s="11" t="s">
        <v>52</v>
      </c>
      <c r="E18" s="11" t="s">
        <v>55</v>
      </c>
      <c r="F18" s="11" t="s">
        <v>56</v>
      </c>
      <c r="G18" s="11" t="s">
        <v>53</v>
      </c>
      <c r="H18" s="11" t="s">
        <v>110</v>
      </c>
      <c r="I18" s="11" t="s">
        <v>54</v>
      </c>
    </row>
    <row r="19" spans="1:9" ht="10.5" x14ac:dyDescent="0.2">
      <c r="A19" s="9" t="s">
        <v>38</v>
      </c>
      <c r="B19" s="14" t="s">
        <v>111</v>
      </c>
      <c r="C19" s="14" t="s">
        <v>111</v>
      </c>
      <c r="D19" s="14" t="s">
        <v>111</v>
      </c>
      <c r="E19" s="14" t="s">
        <v>111</v>
      </c>
      <c r="F19" s="14" t="s">
        <v>111</v>
      </c>
      <c r="G19" s="14" t="s">
        <v>111</v>
      </c>
      <c r="H19" s="19">
        <v>13.24</v>
      </c>
      <c r="I19" s="14" t="s">
        <v>111</v>
      </c>
    </row>
    <row r="20" spans="1:9" ht="10.5" x14ac:dyDescent="0.2">
      <c r="A20" s="9" t="s">
        <v>39</v>
      </c>
      <c r="B20" s="14" t="s">
        <v>111</v>
      </c>
      <c r="C20" s="14" t="s">
        <v>111</v>
      </c>
      <c r="D20" s="14" t="s">
        <v>111</v>
      </c>
      <c r="E20" s="14" t="s">
        <v>111</v>
      </c>
      <c r="F20" s="14" t="s">
        <v>111</v>
      </c>
      <c r="G20" s="14" t="s">
        <v>111</v>
      </c>
      <c r="H20" s="19">
        <v>3.57</v>
      </c>
      <c r="I20" s="14" t="s">
        <v>111</v>
      </c>
    </row>
    <row r="21" spans="1:9" ht="10.5" x14ac:dyDescent="0.2">
      <c r="A21" s="9" t="s">
        <v>40</v>
      </c>
      <c r="B21" s="14" t="s">
        <v>111</v>
      </c>
      <c r="C21" s="14" t="s">
        <v>111</v>
      </c>
      <c r="D21" s="14" t="s">
        <v>111</v>
      </c>
      <c r="E21" s="14" t="s">
        <v>111</v>
      </c>
      <c r="F21" s="14" t="s">
        <v>111</v>
      </c>
      <c r="G21" s="14" t="s">
        <v>111</v>
      </c>
      <c r="H21" s="19">
        <v>8.59</v>
      </c>
      <c r="I21" s="14" t="s">
        <v>111</v>
      </c>
    </row>
    <row r="22" spans="1:9" ht="10.5" x14ac:dyDescent="0.2">
      <c r="A22" s="9" t="s">
        <v>41</v>
      </c>
      <c r="B22" s="14" t="s">
        <v>111</v>
      </c>
      <c r="C22" s="14" t="s">
        <v>111</v>
      </c>
      <c r="D22" s="14" t="s">
        <v>111</v>
      </c>
      <c r="E22" s="14" t="s">
        <v>111</v>
      </c>
      <c r="F22" s="14" t="s">
        <v>111</v>
      </c>
      <c r="G22" s="14" t="s">
        <v>111</v>
      </c>
      <c r="H22" s="19">
        <v>8.7100000000000009</v>
      </c>
      <c r="I22" s="14" t="s">
        <v>111</v>
      </c>
    </row>
    <row r="23" spans="1:9" ht="10.5" x14ac:dyDescent="0.2">
      <c r="A23" s="8"/>
      <c r="B23" s="8"/>
      <c r="C23" s="8"/>
      <c r="D23" s="8"/>
      <c r="E23" s="8"/>
      <c r="F23" s="8"/>
      <c r="G23" s="8"/>
      <c r="H23" s="8"/>
      <c r="I23" s="8"/>
    </row>
    <row r="24" spans="1:9" ht="10.5" x14ac:dyDescent="0.2">
      <c r="A24" s="9" t="s">
        <v>112</v>
      </c>
      <c r="B24" s="9"/>
      <c r="C24" s="9"/>
      <c r="D24" s="9"/>
      <c r="E24" s="9"/>
      <c r="F24" s="9"/>
      <c r="G24" s="9"/>
      <c r="H24" s="9"/>
      <c r="I24" s="9"/>
    </row>
    <row r="25" spans="1:9" ht="10.5" x14ac:dyDescent="0.2">
      <c r="A25" s="7" t="s">
        <v>38</v>
      </c>
      <c r="B25" s="14" t="s">
        <v>113</v>
      </c>
      <c r="C25" s="14" t="s">
        <v>26</v>
      </c>
      <c r="D25" s="14" t="s">
        <v>26</v>
      </c>
      <c r="E25" s="14" t="s">
        <v>113</v>
      </c>
      <c r="F25" s="14" t="s">
        <v>26</v>
      </c>
      <c r="G25" s="8"/>
      <c r="H25" s="8"/>
      <c r="I25" s="8"/>
    </row>
    <row r="26" spans="1:9" ht="10.5" x14ac:dyDescent="0.2">
      <c r="A26" s="7" t="s">
        <v>39</v>
      </c>
      <c r="B26" s="14" t="s">
        <v>113</v>
      </c>
      <c r="C26" s="14" t="s">
        <v>26</v>
      </c>
      <c r="D26" s="14" t="s">
        <v>26</v>
      </c>
      <c r="E26" s="14" t="s">
        <v>113</v>
      </c>
      <c r="F26" s="14" t="s">
        <v>26</v>
      </c>
      <c r="G26" s="8"/>
      <c r="H26" s="8"/>
      <c r="I26" s="8"/>
    </row>
    <row r="27" spans="1:9" ht="10.5" x14ac:dyDescent="0.2">
      <c r="A27" s="7" t="s">
        <v>40</v>
      </c>
      <c r="B27" s="14" t="s">
        <v>113</v>
      </c>
      <c r="C27" s="14" t="s">
        <v>26</v>
      </c>
      <c r="D27" s="14" t="s">
        <v>26</v>
      </c>
      <c r="E27" s="14" t="s">
        <v>113</v>
      </c>
      <c r="F27" s="14" t="s">
        <v>26</v>
      </c>
      <c r="G27" s="8"/>
      <c r="H27" s="8"/>
      <c r="I27" s="8"/>
    </row>
    <row r="28" spans="1:9" ht="10.5" x14ac:dyDescent="0.2">
      <c r="A28" s="7" t="s">
        <v>41</v>
      </c>
      <c r="B28" s="14" t="s">
        <v>113</v>
      </c>
      <c r="C28" s="14" t="s">
        <v>26</v>
      </c>
      <c r="D28" s="14" t="s">
        <v>26</v>
      </c>
      <c r="E28" s="14" t="s">
        <v>113</v>
      </c>
      <c r="F28" s="14" t="s">
        <v>26</v>
      </c>
      <c r="G28" s="8"/>
      <c r="H28" s="8"/>
      <c r="I28" s="8"/>
    </row>
    <row r="29" spans="1:9" ht="10.5" x14ac:dyDescent="0.2">
      <c r="A29" s="8"/>
      <c r="B29" s="8"/>
      <c r="C29" s="8"/>
      <c r="D29" s="8"/>
      <c r="E29" s="8"/>
      <c r="F29" s="8"/>
      <c r="G29" s="8"/>
      <c r="H29" s="8"/>
      <c r="I29" s="8"/>
    </row>
    <row r="30" spans="1:9" ht="12" customHeight="1" x14ac:dyDescent="0.2">
      <c r="A30" s="9" t="s">
        <v>114</v>
      </c>
      <c r="B30" s="13">
        <v>1097063</v>
      </c>
      <c r="C30" s="13">
        <v>1097063</v>
      </c>
      <c r="D30" s="13">
        <v>1097063</v>
      </c>
      <c r="E30" s="13">
        <v>1097063</v>
      </c>
      <c r="F30" s="13">
        <v>1097063</v>
      </c>
      <c r="G30" s="8"/>
      <c r="H30" s="8"/>
      <c r="I30" s="8"/>
    </row>
    <row r="31" spans="1:9" ht="12" customHeight="1" x14ac:dyDescent="0.2">
      <c r="A31" s="9" t="s">
        <v>115</v>
      </c>
      <c r="B31" s="13">
        <v>577552</v>
      </c>
      <c r="C31" s="13">
        <v>577552</v>
      </c>
      <c r="D31" s="13">
        <v>577552</v>
      </c>
      <c r="E31" s="13">
        <v>577552</v>
      </c>
      <c r="F31" s="13">
        <v>577552</v>
      </c>
      <c r="G31" s="8"/>
      <c r="H31" s="8"/>
      <c r="I31" s="8"/>
    </row>
    <row r="32" spans="1:9" ht="12" customHeight="1" x14ac:dyDescent="0.2">
      <c r="A32" s="9" t="s">
        <v>116</v>
      </c>
      <c r="B32" s="13">
        <v>20245</v>
      </c>
      <c r="C32" s="13">
        <v>20245</v>
      </c>
      <c r="D32" s="13">
        <v>20245</v>
      </c>
      <c r="E32" s="13">
        <v>20245</v>
      </c>
      <c r="F32" s="13">
        <v>20245</v>
      </c>
      <c r="G32" s="8"/>
      <c r="H32" s="8"/>
      <c r="I32" s="8"/>
    </row>
    <row r="33" spans="1:9" ht="12" customHeight="1" x14ac:dyDescent="0.2">
      <c r="A33" s="9" t="s">
        <v>117</v>
      </c>
      <c r="B33" s="12">
        <v>724</v>
      </c>
      <c r="C33" s="12">
        <v>724</v>
      </c>
      <c r="D33" s="12">
        <v>724</v>
      </c>
      <c r="E33" s="12">
        <v>724</v>
      </c>
      <c r="F33" s="12">
        <v>724</v>
      </c>
      <c r="G33" s="8"/>
      <c r="H33" s="8"/>
      <c r="I33" s="8"/>
    </row>
    <row r="34" spans="1:9" ht="10.5" x14ac:dyDescent="0.2">
      <c r="A34" s="8"/>
      <c r="B34" s="8"/>
      <c r="C34" s="8"/>
      <c r="D34" s="8"/>
      <c r="E34" s="8"/>
      <c r="F34" s="8"/>
      <c r="G34" s="8"/>
      <c r="H34" s="8"/>
      <c r="I34" s="8"/>
    </row>
    <row r="35" spans="1:9" ht="10.5" x14ac:dyDescent="0.2">
      <c r="A35" s="9" t="s">
        <v>118</v>
      </c>
      <c r="B35" s="9"/>
      <c r="C35" s="9"/>
      <c r="D35" s="9"/>
      <c r="E35" s="9"/>
      <c r="F35" s="9"/>
      <c r="G35" s="9"/>
      <c r="H35" s="9"/>
      <c r="I35" s="9"/>
    </row>
    <row r="36" spans="1:9" ht="10.5" x14ac:dyDescent="0.2">
      <c r="A36" s="7" t="s">
        <v>38</v>
      </c>
      <c r="B36" s="14" t="s">
        <v>113</v>
      </c>
      <c r="C36" s="14" t="s">
        <v>26</v>
      </c>
      <c r="D36" s="14" t="s">
        <v>26</v>
      </c>
      <c r="E36" s="14" t="s">
        <v>113</v>
      </c>
      <c r="F36" s="14" t="s">
        <v>26</v>
      </c>
      <c r="G36" s="14" t="s">
        <v>113</v>
      </c>
      <c r="H36" s="12">
        <v>149449.15</v>
      </c>
      <c r="I36" s="14" t="s">
        <v>113</v>
      </c>
    </row>
    <row r="37" spans="1:9" ht="10.5" x14ac:dyDescent="0.2">
      <c r="A37" s="7" t="s">
        <v>39</v>
      </c>
      <c r="B37" s="14" t="s">
        <v>113</v>
      </c>
      <c r="C37" s="14" t="s">
        <v>26</v>
      </c>
      <c r="D37" s="14" t="s">
        <v>26</v>
      </c>
      <c r="E37" s="14" t="s">
        <v>113</v>
      </c>
      <c r="F37" s="14" t="s">
        <v>26</v>
      </c>
      <c r="G37" s="14" t="s">
        <v>113</v>
      </c>
      <c r="H37" s="12">
        <v>40349.61</v>
      </c>
      <c r="I37" s="14" t="s">
        <v>113</v>
      </c>
    </row>
    <row r="38" spans="1:9" ht="10.5" x14ac:dyDescent="0.2">
      <c r="A38" s="7" t="s">
        <v>40</v>
      </c>
      <c r="B38" s="14" t="s">
        <v>113</v>
      </c>
      <c r="C38" s="14" t="s">
        <v>26</v>
      </c>
      <c r="D38" s="14" t="s">
        <v>26</v>
      </c>
      <c r="E38" s="14" t="s">
        <v>113</v>
      </c>
      <c r="F38" s="14" t="s">
        <v>26</v>
      </c>
      <c r="G38" s="14" t="s">
        <v>113</v>
      </c>
      <c r="H38" s="12">
        <v>97012.76</v>
      </c>
      <c r="I38" s="14" t="s">
        <v>113</v>
      </c>
    </row>
    <row r="39" spans="1:9" ht="10.5" x14ac:dyDescent="0.2">
      <c r="A39" s="7" t="s">
        <v>41</v>
      </c>
      <c r="B39" s="14" t="s">
        <v>113</v>
      </c>
      <c r="C39" s="14" t="s">
        <v>26</v>
      </c>
      <c r="D39" s="14" t="s">
        <v>26</v>
      </c>
      <c r="E39" s="14" t="s">
        <v>113</v>
      </c>
      <c r="F39" s="14" t="s">
        <v>26</v>
      </c>
      <c r="G39" s="14" t="s">
        <v>113</v>
      </c>
      <c r="H39" s="12">
        <v>98329.23</v>
      </c>
      <c r="I39" s="14" t="s">
        <v>113</v>
      </c>
    </row>
    <row r="40" spans="1:9" ht="10.5" x14ac:dyDescent="0.2">
      <c r="A40" s="8"/>
      <c r="B40" s="8"/>
      <c r="C40" s="8"/>
      <c r="D40" s="8"/>
      <c r="E40" s="8"/>
      <c r="F40" s="8"/>
      <c r="G40" s="8"/>
      <c r="H40" s="8"/>
      <c r="I40" s="8"/>
    </row>
    <row r="41" spans="1:9" ht="12" customHeight="1" x14ac:dyDescent="0.2">
      <c r="A41" s="9" t="s">
        <v>119</v>
      </c>
      <c r="B41" s="12">
        <v>1946.8</v>
      </c>
      <c r="C41" s="12">
        <v>1946.8</v>
      </c>
      <c r="D41" s="12">
        <v>1946.8</v>
      </c>
      <c r="E41" s="12">
        <v>1946.8</v>
      </c>
      <c r="F41" s="12">
        <v>1946.8</v>
      </c>
      <c r="G41" s="12">
        <v>1946.8</v>
      </c>
      <c r="H41" s="12">
        <v>1946.8</v>
      </c>
      <c r="I41" s="12">
        <v>1946.8</v>
      </c>
    </row>
    <row r="42" spans="1:9" ht="10.5" x14ac:dyDescent="0.2">
      <c r="A42" s="8"/>
      <c r="B42" s="8"/>
      <c r="C42" s="8"/>
      <c r="D42" s="8"/>
      <c r="E42" s="8"/>
      <c r="F42" s="8"/>
      <c r="G42" s="8"/>
      <c r="H42" s="8"/>
      <c r="I42" s="8"/>
    </row>
    <row r="43" spans="1:9" ht="10.5" x14ac:dyDescent="0.2">
      <c r="A43" s="9" t="s">
        <v>120</v>
      </c>
      <c r="B43" s="9"/>
      <c r="C43" s="9"/>
      <c r="D43" s="9"/>
      <c r="E43" s="9"/>
      <c r="F43" s="9"/>
      <c r="G43" s="9"/>
      <c r="H43" s="9"/>
      <c r="I43" s="9"/>
    </row>
    <row r="44" spans="1:9" ht="10.5" x14ac:dyDescent="0.2">
      <c r="A44" s="7" t="s">
        <v>38</v>
      </c>
      <c r="B44" s="14" t="s">
        <v>113</v>
      </c>
      <c r="C44" s="14" t="s">
        <v>26</v>
      </c>
      <c r="D44" s="14" t="s">
        <v>26</v>
      </c>
      <c r="E44" s="14" t="s">
        <v>113</v>
      </c>
      <c r="F44" s="14" t="s">
        <v>26</v>
      </c>
      <c r="G44" s="14" t="s">
        <v>113</v>
      </c>
      <c r="H44" s="12">
        <v>76.77</v>
      </c>
      <c r="I44" s="14" t="s">
        <v>113</v>
      </c>
    </row>
    <row r="45" spans="1:9" ht="10.5" x14ac:dyDescent="0.2">
      <c r="A45" s="7" t="s">
        <v>39</v>
      </c>
      <c r="B45" s="14" t="s">
        <v>113</v>
      </c>
      <c r="C45" s="14" t="s">
        <v>26</v>
      </c>
      <c r="D45" s="14" t="s">
        <v>26</v>
      </c>
      <c r="E45" s="14" t="s">
        <v>113</v>
      </c>
      <c r="F45" s="14" t="s">
        <v>26</v>
      </c>
      <c r="G45" s="14" t="s">
        <v>113</v>
      </c>
      <c r="H45" s="12">
        <v>20.73</v>
      </c>
      <c r="I45" s="14" t="s">
        <v>113</v>
      </c>
    </row>
    <row r="46" spans="1:9" ht="10.5" x14ac:dyDescent="0.2">
      <c r="A46" s="7" t="s">
        <v>40</v>
      </c>
      <c r="B46" s="14" t="s">
        <v>113</v>
      </c>
      <c r="C46" s="14" t="s">
        <v>26</v>
      </c>
      <c r="D46" s="14" t="s">
        <v>26</v>
      </c>
      <c r="E46" s="14" t="s">
        <v>113</v>
      </c>
      <c r="F46" s="14" t="s">
        <v>26</v>
      </c>
      <c r="G46" s="14" t="s">
        <v>113</v>
      </c>
      <c r="H46" s="12">
        <v>49.83</v>
      </c>
      <c r="I46" s="14" t="s">
        <v>113</v>
      </c>
    </row>
    <row r="47" spans="1:9" ht="10.5" x14ac:dyDescent="0.2">
      <c r="A47" s="7" t="s">
        <v>41</v>
      </c>
      <c r="B47" s="14" t="s">
        <v>113</v>
      </c>
      <c r="C47" s="14" t="s">
        <v>26</v>
      </c>
      <c r="D47" s="14" t="s">
        <v>26</v>
      </c>
      <c r="E47" s="14" t="s">
        <v>113</v>
      </c>
      <c r="F47" s="14" t="s">
        <v>26</v>
      </c>
      <c r="G47" s="14" t="s">
        <v>113</v>
      </c>
      <c r="H47" s="12">
        <v>50.51</v>
      </c>
      <c r="I47" s="14" t="s">
        <v>113</v>
      </c>
    </row>
    <row r="48" spans="1:9" ht="10.5" x14ac:dyDescent="0.2">
      <c r="A48" s="8"/>
      <c r="B48" s="8"/>
      <c r="C48" s="8"/>
      <c r="D48" s="8"/>
      <c r="E48" s="8"/>
      <c r="F48" s="8"/>
      <c r="G48" s="8"/>
      <c r="H48" s="8"/>
      <c r="I48" s="8"/>
    </row>
    <row r="49" spans="1:9" ht="10.5" x14ac:dyDescent="0.2">
      <c r="A49" s="9" t="s">
        <v>121</v>
      </c>
      <c r="B49" s="11" t="s">
        <v>122</v>
      </c>
      <c r="C49" s="11" t="s">
        <v>123</v>
      </c>
      <c r="D49" s="9"/>
      <c r="E49" s="9"/>
      <c r="F49" s="9"/>
      <c r="G49" s="9"/>
      <c r="H49" s="9"/>
      <c r="I49" s="9"/>
    </row>
    <row r="50" spans="1:9" ht="10.5" x14ac:dyDescent="0.2">
      <c r="A50" s="9" t="s">
        <v>38</v>
      </c>
      <c r="B50" s="23">
        <v>149449.15</v>
      </c>
      <c r="C50" s="23">
        <v>76.77</v>
      </c>
      <c r="D50" s="8"/>
      <c r="E50" s="8"/>
      <c r="F50" s="8"/>
      <c r="G50" s="8"/>
      <c r="H50" s="8"/>
      <c r="I50" s="8"/>
    </row>
    <row r="51" spans="1:9" ht="10.5" x14ac:dyDescent="0.2">
      <c r="A51" s="9" t="s">
        <v>39</v>
      </c>
      <c r="B51" s="23">
        <v>40349.61</v>
      </c>
      <c r="C51" s="23">
        <v>20.73</v>
      </c>
      <c r="D51" s="8"/>
      <c r="E51" s="8"/>
      <c r="F51" s="8"/>
      <c r="G51" s="8"/>
      <c r="H51" s="8"/>
      <c r="I51" s="8"/>
    </row>
    <row r="52" spans="1:9" ht="10.5" x14ac:dyDescent="0.2">
      <c r="A52" s="9" t="s">
        <v>40</v>
      </c>
      <c r="B52" s="23">
        <v>97012.76</v>
      </c>
      <c r="C52" s="23">
        <v>49.83</v>
      </c>
      <c r="D52" s="8"/>
      <c r="E52" s="8"/>
      <c r="F52" s="8"/>
      <c r="G52" s="8"/>
      <c r="H52" s="8"/>
      <c r="I52" s="8"/>
    </row>
    <row r="53" spans="1:9" ht="10.5" x14ac:dyDescent="0.2">
      <c r="A53" s="9" t="s">
        <v>41</v>
      </c>
      <c r="B53" s="23">
        <v>98329.23</v>
      </c>
      <c r="C53" s="23">
        <v>50.51</v>
      </c>
      <c r="D53" s="8"/>
      <c r="E53" s="8"/>
      <c r="F53" s="8"/>
      <c r="G53" s="8"/>
      <c r="H53" s="8"/>
      <c r="I53" s="8"/>
    </row>
    <row r="54" spans="1:9" x14ac:dyDescent="0.2">
      <c r="A54" s="10"/>
      <c r="B54" s="10"/>
      <c r="C54" s="10"/>
      <c r="D54" s="10"/>
      <c r="E54" s="10"/>
      <c r="F54" s="10"/>
      <c r="G54" s="10"/>
      <c r="H54" s="10"/>
      <c r="I54" s="10"/>
    </row>
    <row r="55" spans="1:9" x14ac:dyDescent="0.2">
      <c r="A55" s="6"/>
    </row>
    <row r="60" spans="1:9" x14ac:dyDescent="0.2">
      <c r="A60" t="s">
        <v>43</v>
      </c>
    </row>
    <row r="69" spans="1:1" ht="25" customHeight="1" x14ac:dyDescent="0.2">
      <c r="A69" s="18" t="s">
        <v>45</v>
      </c>
    </row>
  </sheetData>
  <pageMargins left="0.2" right="0.2" top="0.5" bottom="0.5" header="0.5" footer="0.5"/>
  <pageSetup fitToWidth="0" fitToHeight="0" orientation="landscape" horizontalDpi="300" verticalDpi="300"/>
  <headerFooter alignWithMargins="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2D6F4-EC0F-4B38-BED8-1D0E06535D62}">
  <sheetPr codeName="Sheet8">
    <outlinePr summaryBelow="0" summaryRight="0"/>
  </sheetPr>
  <dimension ref="A4:IU32"/>
  <sheetViews>
    <sheetView defaultGridColor="0" colorId="0" workbookViewId="0"/>
  </sheetViews>
  <sheetFormatPr defaultRowHeight="10" x14ac:dyDescent="0.2"/>
  <cols>
    <col min="1" max="1" width="25.81640625" customWidth="1"/>
    <col min="2" max="2" width="75.81640625" customWidth="1"/>
    <col min="3" max="8" width="9.26953125"/>
  </cols>
  <sheetData>
    <row r="4" spans="1:255" ht="17" x14ac:dyDescent="0.35">
      <c r="A4" s="1" t="s">
        <v>124</v>
      </c>
    </row>
    <row r="7" spans="1:255" x14ac:dyDescent="0.2">
      <c r="A7" s="2" t="s">
        <v>1</v>
      </c>
      <c r="B7" s="2"/>
      <c r="C7" s="27"/>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row>
    <row r="8" spans="1:255" ht="10.5" x14ac:dyDescent="0.25">
      <c r="A8" s="3" t="s">
        <v>125</v>
      </c>
      <c r="B8" s="4" t="s">
        <v>3</v>
      </c>
    </row>
    <row r="9" spans="1:255" ht="10.5" x14ac:dyDescent="0.25">
      <c r="A9" s="3" t="s">
        <v>126</v>
      </c>
      <c r="B9" s="4" t="s">
        <v>5</v>
      </c>
    </row>
    <row r="10" spans="1:255" ht="10.5" x14ac:dyDescent="0.25">
      <c r="A10" s="3" t="s">
        <v>127</v>
      </c>
      <c r="B10" s="5">
        <v>45045</v>
      </c>
    </row>
    <row r="11" spans="1:255" x14ac:dyDescent="0.2">
      <c r="A11" s="6"/>
    </row>
    <row r="13" spans="1:255" x14ac:dyDescent="0.2">
      <c r="A13" s="2" t="s">
        <v>7</v>
      </c>
      <c r="B13" s="2"/>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row>
    <row r="14" spans="1:255" ht="10.5" x14ac:dyDescent="0.2">
      <c r="A14" s="24"/>
      <c r="B14" s="26"/>
    </row>
    <row r="15" spans="1:255" ht="400" customHeight="1" x14ac:dyDescent="0.2">
      <c r="A15" s="25"/>
      <c r="B15" s="10"/>
    </row>
    <row r="18" spans="1:1" x14ac:dyDescent="0.2">
      <c r="A18" s="6"/>
    </row>
    <row r="23" spans="1:1" x14ac:dyDescent="0.2">
      <c r="A23" t="s">
        <v>43</v>
      </c>
    </row>
    <row r="32" spans="1:1" ht="25" customHeight="1" x14ac:dyDescent="0.2">
      <c r="A32" s="18" t="s">
        <v>45</v>
      </c>
    </row>
  </sheetData>
  <pageMargins left="0.2" right="0.2" top="0.5" bottom="0.5" header="0.5" footer="0.5"/>
  <pageSetup fitToWidth="0" fitToHeight="0" orientation="landscape"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2E85B-E18A-4F1A-B891-E234735E79C2}">
  <sheetPr codeName="Sheet9"/>
  <dimension ref="A5"/>
  <sheetViews>
    <sheetView workbookViewId="0"/>
  </sheetViews>
  <sheetFormatPr defaultRowHeight="10" x14ac:dyDescent="0.2"/>
  <sheetData>
    <row r="5" spans="1:1" ht="23.25" customHeight="1" x14ac:dyDescent="0.45">
      <c r="A5" s="28" t="s">
        <v>128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COMPCO</vt:lpstr>
      <vt:lpstr>BENCHMARKING</vt:lpstr>
      <vt:lpstr>Financial Data</vt:lpstr>
      <vt:lpstr>Trading Multiples</vt:lpstr>
      <vt:lpstr>Operating Statistics</vt:lpstr>
      <vt:lpstr>Business Description</vt:lpstr>
      <vt:lpstr>Implied Valuation</vt:lpstr>
      <vt:lpstr>Valuation Chart</vt:lpstr>
      <vt:lpstr>Evaluation Warning</vt:lpstr>
      <vt:lpstr>'Business Description'!Print_Titles</vt:lpstr>
      <vt:lpstr>'Financial Data'!Print_Titles</vt:lpstr>
      <vt:lpstr>'Implied Valuation'!Print_Titles</vt:lpstr>
      <vt:lpstr>'Operating Statistics'!Print_Titles</vt:lpstr>
      <vt:lpstr>'Trading Multiples'!Print_Titles</vt:lpstr>
      <vt:lpstr>'Valuation Chart'!Print_Titles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2004-07-20T21:40:42Z</dcterms:created>
  <dcterms:modified xsi:type="dcterms:W3CDTF">2023-04-30T00:43:04Z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ed By">
    <vt:lpwstr>SoftArtisans OfficeWriter for Excel 8.6.2.281 (http://officewriter.softartisans.com)</vt:lpwstr>
  </property>
</Properties>
</file>