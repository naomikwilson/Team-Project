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E2DEE868-577B-47DF-A024-226A1EF583D7}" xr6:coauthVersionLast="47" xr6:coauthVersionMax="47" xr10:uidLastSave="{00000000-0000-0000-0000-000000000000}"/>
  <bookViews>
    <workbookView xWindow="8300" yWindow="120" windowWidth="10900" windowHeight="11420"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R8" i="11" l="1"/>
  <c r="R10" i="11" s="1"/>
  <c r="R12" i="11" s="1"/>
  <c r="R14" i="11" s="1"/>
  <c r="Q8" i="11"/>
  <c r="Q10" i="11" s="1"/>
  <c r="Q12" i="11" s="1"/>
  <c r="Q14" i="11" s="1"/>
  <c r="Q15" i="11" s="1"/>
  <c r="Q17" i="11" s="1"/>
</calcChain>
</file>

<file path=xl/sharedStrings.xml><?xml version="1.0" encoding="utf-8"?>
<sst xmlns="http://schemas.openxmlformats.org/spreadsheetml/2006/main" count="554" uniqueCount="187">
  <si>
    <t>Target Corporation (NYSE:TGT)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</si>
  <si>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</si>
  <si>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</si>
  <si>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</si>
  <si>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</si>
  <si>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</si>
  <si>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</si>
  <si>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</si>
  <si>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</si>
  <si>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</si>
  <si>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</si>
  <si>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</si>
  <si>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</si>
  <si>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</si>
  <si>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</si>
  <si>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</si>
  <si>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</si>
  <si>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</si>
  <si>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</si>
  <si>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</si>
  <si>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</si>
  <si>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</si>
  <si>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</si>
  <si>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</si>
  <si>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</si>
  <si>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Costco Wholesale Corporation (NasdaqGS:COST)</t>
  </si>
  <si>
    <t>-</t>
  </si>
  <si>
    <t>Dollar General Corporation (NYSE:DG)</t>
  </si>
  <si>
    <t>Walmart Inc. (NYSE:WMT)</t>
  </si>
  <si>
    <t>Dollar Tree, Inc. (NasdaqGS:DLTR)</t>
  </si>
  <si>
    <t>BJ's Wholesale Club Holdings, Inc. (NYSE:BJ)</t>
  </si>
  <si>
    <t>E-MART Inc. (KOSE:A139480)</t>
  </si>
  <si>
    <t>Target Corporation (NYSE:TGT)</t>
  </si>
  <si>
    <t>Summary Statistics</t>
  </si>
  <si>
    <t>High</t>
  </si>
  <si>
    <t>Low</t>
  </si>
  <si>
    <t>Mean</t>
  </si>
  <si>
    <t>Median</t>
  </si>
  <si>
    <t>Displaying 7 Companies.</t>
  </si>
  <si>
    <t>Values converted at today's spot rate.</t>
  </si>
  <si>
    <t>Companies by default are sorted by S&amp;P Capital IQ’s proprietary relevancy score.</t>
  </si>
  <si>
    <t>Historical Equity Pricing Data supplied by Interactive Data Pricing and Reference Data LLC</t>
  </si>
  <si>
    <t>Target Corporation (NYSE:TGT)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</si>
  <si>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</si>
  <si>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</si>
  <si>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</si>
  <si>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</si>
  <si>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</si>
  <si>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</si>
  <si>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</si>
  <si>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</si>
  <si>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</si>
  <si>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</si>
  <si>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</si>
  <si>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Target Corporation (NYSE:TGT)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</si>
  <si>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</si>
  <si>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</si>
  <si>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</si>
  <si>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</si>
  <si>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</si>
  <si>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</si>
  <si>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</si>
  <si>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</si>
  <si>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</si>
  <si>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</si>
  <si>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</si>
  <si>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</si>
  <si>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</si>
  <si>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</si>
  <si>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</si>
  <si>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Target Corporation (NYSE:TGT) &gt;  Quick Comparable Analysis &gt; Business Description</t>
  </si>
  <si>
    <t>Template:</t>
  </si>
  <si>
    <t>Currency:</t>
  </si>
  <si>
    <t>As-Of Date:</t>
  </si>
  <si>
    <t>Business Description</t>
  </si>
  <si>
    <t>Headquarters</t>
  </si>
  <si>
    <t>Costco Wholesale Corporation, together with its subsidiaries, engages in the operation of membership warehouses in the United States, Puerto Rico, Canada, the United Kingdom, Mexico, Japan, Korea, Australia, Spain, France, Iceland, China, and Taiwan. It offers branded and private-label products in a range of merchandise categories. The company offers sundries, dry groceries, candies, coolers, freezers, liquor, and tobacco and deli products; appliances, electronics, health and beauty aids, hardware, garden and patio products, sporting goods, tires, toys and seasonal products, office supplies, automotive care products, postages, tickets, apparel, small appliances, furniture, domestics, housewares, special order kiosks, and jewelry; and meat, produce, service deli, and bakery products. It also operates pharmacies, opticals, food courts, hearing-aid centers, and tire installation centers, gas stations; and offers business delivery, travel, same-day grocery, and various other services online in various countries. The company has warehouses in the United States, Puerto Rico, Canada, Mexico, Japan, the United Kingdom, South Korea, Taiwan, Australia, Spain, Iceland, France, and China. It also operates e-commerce websites in the United States, Canada, the United Kingdom, Mexico, South Korea, Taiwan, Japan, and Australia. The company was formerly known as Costco Companies, Inc. and changed its name to Costco Wholesale Corporation in August 1999. Costco Wholesale Corporation was founded in 1976 and is based in Issaquah, Washington.</t>
  </si>
  <si>
    <t>999 Lake Drive, Issaquah, Washington, 98027, United States</t>
  </si>
  <si>
    <t>Dollar General Corporation, a discount retailer, provides various merchandise products in the southern, southwestern, midwestern, and eastern United States. It offers consumable products, including paper and cleaning products, such as paper towels, bath tissues, paper dinnerware, trash and storage bags, disinfectants, and laundry products; packaged food comprising cereals, pasta, canned soups, fruits and vegetables, condiments, spices, sugar, and flour; and perishables that include milk, eggs, bread, refrigerated and frozen food, beer, and wine. The company’s consumable products also comprise snacks, such as candies, cookies, crackers, salty snacks, and carbonated beverages; health and beauty products, including over-the-counter medicines and personal care products, such as soaps, body washes, shampoos, cosmetics, and dental hygiene and foot care products; pet supplies and pet food; and tobacco products. In addition, it offers seasonal products comprising holiday items, toys, batteries, small electronics, greeting cards, stationery, prepaid phones and accessories, gardening supplies, hardware, and automotive and home office supplies; and home products that include kitchen supplies, cookware, small appliances, light bulbs, storage containers, frames, candles, craft supplies and kitchen, and bed and bath soft goods. Further, the company provides apparel, which comprise casual everyday apparel for infants, toddlers, girls, boys, women, and men, as well as socks, underwear, disposable diapers, shoes, and accessories. The company was formerly known as J.L. Turner &amp; Son, Inc. and changed its name to Dollar General Corporation in 1968. Dollar General Corporation was founded in 1939 and is based in Goodlettsville, Tennessee.</t>
  </si>
  <si>
    <t>100 Mission Ridge, Goodlettsville, Tennessee, 37072, United States</t>
  </si>
  <si>
    <t>Walmart Inc. engages in the operation of retail, wholesale, and other units worldwide. The company operates through three segments: Walmart U.S., Walmart International, and Sam's Club. It operates supercenters, supermarkets, hypermarkets, warehouse clubs, cash and carry stores, and discount stores under Walmart and Walmart Neighborhood Market brands; membership-only warehouse clubs; ecommerce websites, such as walmart.com, walmart.com.mx, walmart.ca, flipkart.com, and samsclub.com; and mobile commerce applications. The company offers grocery and consumables, including dry grocery, snacks, dairy, meat, produce, bakery and deli, alcoholic and nonalcoholic beverages, floral, candy, and other grocery items, as well as dry, chilled, or frozen packaged foods; and health and beauty aids, paper goods, laundry and home care, baby care, pet supplies, and other consumable items. It is also involved in the operation of gasoline stations; provision of tobacco; and health and wellness products covering pharmacy, optical and hearing services, and over-the-counter drugs and other medical products. In addition, the company offers home improvement, outdoor living, gardening, furniture, apparel, jewelry, tools and power equipment, housewares, toys, seasonal items, mattresses, and tire and battery centers; and consumer electronics and accessories, software, video games, office supplies, appliances, and third-party gift cards. Further, it operates digital payment platforms; and offers financial services and related products, including money transfers, bill payments, money orders, check cashing, prepaid access, co-branded credit cards, installment lending, and earned wage access. The company was formerly known as Wal-Mart Stores, Inc. and changed its name to Walmart Inc. in February 2018. Walmart Inc. was founded in 1945 and is based in Bentonville, Arkansas.</t>
  </si>
  <si>
    <t>702 South West 8th Street, Bentonville, Arkansas, 72716, United States</t>
  </si>
  <si>
    <t>Dollar Tree, Inc. operates discount variety retail stores. The company operates in two segments, Dollar Tree and Family Dollar. The Dollar Tree segment offers merchandise at the fixed price of $ 1.25. It provides consumable merchandise, which includes everyday consumables, such as household paper and chemicals, food, candy, health, personal care products, and frozen and refrigerated food; variety merchandise comprising toys, durable housewares, gifts, stationery, party goods, greeting cards, softlines, arts and crafts supplies, and other items; and seasonal goods that include Christmas, Easter, Halloween, and Valentine’s Day merchandise. It operates stores under the Dollar Tree and Dollar Tree Canada brands, as well as distribution centers in the United States and Canada. The Family Dollar segment operates general merchandise retail discount stores that offer consumable merchandise, which comprise food and beverages, tobacco, health and personal care, household chemicals, paper products, hardware and automotive supplies, diapers, batteries, and pet food and supplies; and home products, including housewares, home décor, and giftware, as well as domestics, such as comforters, sheets, and towels. It also provides apparel and accessories merchandise comprising clothing, fashion accessories, and shoes; and seasonal and electronics merchandise that include Christmas, Easter, Halloween, and Valentine’s Day merchandise, as well as personal electronics, which comprise pre-paid cellular phones and services, stationery and school supplies, and toys. The company was founded in 1986 and is based in Chesapeake, Virginia.</t>
  </si>
  <si>
    <t>500 Volvo Parkway, Chesapeake, Virginia, 23320, United States</t>
  </si>
  <si>
    <t>BJ's Wholesale Club Holdings, Inc., together with its subsidiaries, operates warehouse clubs on the eastern half of the United States. It provides perishable, general merchandise, gasoline, coupon books, promotions, and other ancillary services. The company sells its products through the websites BJs.com, BerkleyJensen.com, and Wellsleyfarms.com, as well as the mobile app. The company was formerly known as Beacon Holding Inc. and changed its name to BJ's Wholesale Club Holdings, Inc. in February 2018. BJ's Wholesale Club Holdings, Inc. was founded in 1984 and is headquartered in Westborough, Massachusetts.</t>
  </si>
  <si>
    <t>350 Campus Drive, Marlborough, Massachusetts, 01752, United States</t>
  </si>
  <si>
    <t>E-MART Inc., together with its subsidiaries, operates as a hypermarket retail company in South Korea. The company operates Emart, a discount store; Emart Traders, an everyday low-price store for small business owners; and Emart Mall and Traders Mall, the online shopping stores. It also operates SSG Food Market, an urban-style supermarket. In addition, the company operates specialty stores, including Electro Mart, an electronics and appliance store; Molly’s Pet Shop, a pet store; No Brand, a private label hard discount store; PK Market, a food store; Toy Kingdom, a toy store; and Marie’s Baby Circle, an infant and toddler product store. The company was founded in 1993 and is headquartered in Seoul, South Korea. E-MART Inc. is a subsidiary of Shinsegae Inc.</t>
  </si>
  <si>
    <t>377, Ttukseom-ro, Seongdong-gu, Seoul    South Korea</t>
  </si>
  <si>
    <t>Target Corporation operates as a general merchandise retailer in the United States. The company offers apparel for women, men, boys, girls, toddlers, and infants and newborns, as well as jewelry, accessories, and shoes; and beauty and personal care, baby gear, cleaning, paper products, and pet supplies. It also provides dry grocery, dairy, frozen food, beverages, candy, snacks, deli, bakery, meat, and food service; electronics, which includes video game hardware and software, toys, entertainment, sporting goods, and luggage; and furniture, lighting, storage, kitchenware, small appliances, home décor, bed and bath, home improvement, school/office supplies, greeting cards and party supplies, and other seasonal merchandise. In addition, the company sells merchandise through periodic design and creative partnerships, and shop-in-shop experience; and in-store amenities. Further, it sells its products through its stores; and digital channels, including Target.com. Target Corporation was incorporated in 1902 and is headquartered in Minneapolis, Minnesota.</t>
  </si>
  <si>
    <t>1000 Nicollet Mall, Minneapolis, Minnesota, 55403, United States</t>
  </si>
  <si>
    <t>Target Corporation (NYSE:TGT)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</si>
  <si>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</si>
  <si>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</si>
  <si>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</si>
  <si>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</si>
  <si>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</si>
  <si>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</si>
  <si>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</si>
  <si>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</si>
  <si>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</si>
  <si>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</si>
  <si>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NM</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</si>
  <si>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</si>
  <si>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</si>
  <si>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</si>
  <si>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</si>
  <si>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</si>
  <si>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</si>
  <si>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</si>
  <si>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</si>
  <si>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</si>
  <si>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</si>
  <si>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</si>
  <si>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</si>
  <si>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Target Corporation (NYSE:TGT) &gt;  Quick Comparable Analysis &gt; Valuation Chart</t>
  </si>
  <si>
    <t>Template:</t>
  </si>
  <si>
    <t>Currency:</t>
  </si>
  <si>
    <t>As-Of Date:</t>
  </si>
  <si>
    <t>Target Corporation (NYSE:TGT)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</si>
  <si>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</si>
  <si>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</si>
  <si>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</si>
  <si>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</si>
  <si>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</si>
  <si>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</si>
  <si>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</si>
  <si>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</si>
  <si>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</si>
  <si>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</si>
  <si>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</si>
  <si>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</si>
  <si>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</si>
  <si>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</si>
  <si>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t>
  </si>
  <si>
    <t>a+</t>
  </si>
  <si>
    <t>0.1074%</t>
  </si>
  <si>
    <t>United States</t>
  </si>
  <si>
    <t>Consumer Staples Merchandise Retail</t>
  </si>
  <si>
    <t>AA</t>
  </si>
  <si>
    <t>0.1369%</t>
  </si>
  <si>
    <t>BBB</t>
  </si>
  <si>
    <t>bbb</t>
  </si>
  <si>
    <t>0.6322%</t>
  </si>
  <si>
    <t>BB+</t>
  </si>
  <si>
    <t>bb+</t>
  </si>
  <si>
    <t>0.3744%</t>
  </si>
  <si>
    <t>0.3412%</t>
  </si>
  <si>
    <t>NR</t>
  </si>
  <si>
    <t>b+</t>
  </si>
  <si>
    <t>2.9299%</t>
  </si>
  <si>
    <t>South Korea</t>
  </si>
  <si>
    <t>A</t>
  </si>
  <si>
    <t>bbb+</t>
  </si>
  <si>
    <t>0.4767%</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</si>
  <si>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</si>
  <si>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</si>
  <si>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</si>
  <si>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Target Corporation (NYSE:TGT)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</si>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</sst>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4">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7">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5" xfId="0" applyNumberFormat="1" applyFont="1" applyFill="1" applyBorder="1" applyAlignment="1"/>
    <xf numFmtId="9" fontId="1" fillId="0" borderId="6" xfId="0" applyNumberFormat="1" applyFont="1" applyFill="1" applyBorder="1" applyAlignment="1"/>
    <xf numFmtId="9" fontId="1" fillId="0" borderId="9" xfId="0" applyNumberFormat="1" applyFont="1" applyFill="1" applyBorder="1" applyAlignment="1"/>
    <xf numFmtId="9" fontId="1" fillId="0" borderId="15" xfId="0" applyNumberFormat="1" applyFont="1" applyFill="1" applyBorder="1" applyAlignment="1"/>
    <xf numFmtId="9" fontId="1" fillId="0" borderId="16" xfId="0" applyNumberFormat="1" applyFont="1" applyFill="1" applyBorder="1" applyAlignment="1"/>
    <xf numFmtId="0" fontId="1" fillId="0" borderId="2" xfId="0" applyFont="1" applyFill="1" applyBorder="1" applyAlignment="1"/>
    <xf numFmtId="0" fontId="1" fillId="0" borderId="5" xfId="0" applyFont="1" applyFill="1" applyBorder="1" applyAlignment="1"/>
    <xf numFmtId="9" fontId="20" fillId="0" borderId="16" xfId="0" applyNumberFormat="1" applyFont="1" applyFill="1" applyBorder="1" applyAlignment="1"/>
    <xf numFmtId="9" fontId="1" fillId="0" borderId="18" xfId="0" applyNumberFormat="1" applyFont="1" applyFill="1" applyBorder="1" applyAlignment="1"/>
    <xf numFmtId="0" fontId="1" fillId="0" borderId="19" xfId="0" applyFont="1" applyFill="1" applyBorder="1" applyAlignment="1"/>
    <xf numFmtId="0" fontId="1" fillId="0" borderId="11" xfId="0" applyFont="1" applyFill="1" applyBorder="1" applyAlignment="1"/>
    <xf numFmtId="0" fontId="1" fillId="0" borderId="4"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6" fillId="0" borderId="6" xfId="0" applyFont="1" applyFill="1" applyBorder="1" applyAlignment="1">
      <alignment horizontal="left" vertical="top" wrapText="1"/>
    </xf>
    <xf numFmtId="0" fontId="1" fillId="0" borderId="9" xfId="0" applyFont="1" applyFill="1" applyBorder="1" applyAlignment="1"/>
    <xf numFmtId="0" fontId="1" fillId="0" borderId="10" xfId="0" applyFont="1" applyFill="1" applyBorder="1" applyAlignment="1"/>
    <xf numFmtId="165" fontId="1" fillId="0" borderId="13" xfId="0" applyNumberFormat="1" applyFont="1" applyFill="1" applyBorder="1" applyAlignment="1">
      <alignment horizontal="right" vertical="top" wrapText="1"/>
    </xf>
    <xf numFmtId="0" fontId="1" fillId="0" borderId="13" xfId="0" applyFont="1" applyFill="1" applyBorder="1" applyAlignment="1"/>
    <xf numFmtId="0" fontId="1" fillId="0" borderId="14" xfId="0" applyFont="1" applyFill="1" applyBorder="1" applyAlignment="1"/>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7" xfId="0" applyFont="1" applyFill="1" applyBorder="1" applyAlignment="1">
      <alignment horizontal="right" vertical="top" wrapText="1"/>
    </xf>
    <xf numFmtId="0" fontId="1" fillId="0" borderId="22" xfId="0" applyFont="1" applyFill="1" applyBorder="1" applyAlignment="1"/>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69" fontId="1" fillId="0" borderId="7" xfId="0" applyNumberFormat="1" applyFont="1" applyFill="1" applyBorder="1" applyAlignment="1">
      <alignment horizontal="right" vertical="top" wrapText="1"/>
    </xf>
    <xf numFmtId="170" fontId="1" fillId="0" borderId="7" xfId="0" applyNumberFormat="1" applyFont="1" applyFill="1" applyBorder="1" applyAlignment="1">
      <alignment horizontal="right" vertical="top" wrapText="1"/>
    </xf>
    <xf numFmtId="167" fontId="1" fillId="0" borderId="7"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9" fontId="1" fillId="0" borderId="9" xfId="0" applyNumberFormat="1" applyFont="1" applyFill="1" applyBorder="1" applyAlignment="1">
      <alignment horizontal="right" vertical="top" wrapText="1"/>
    </xf>
    <xf numFmtId="169" fontId="1" fillId="0" borderId="10" xfId="0" applyNumberFormat="1" applyFont="1" applyFill="1" applyBorder="1" applyAlignment="1">
      <alignment horizontal="right" vertical="top" wrapText="1"/>
    </xf>
    <xf numFmtId="170" fontId="1" fillId="0" borderId="10" xfId="0" applyNumberFormat="1" applyFont="1" applyFill="1" applyBorder="1" applyAlignment="1">
      <alignment horizontal="right" vertical="top" wrapText="1"/>
    </xf>
    <xf numFmtId="167" fontId="1" fillId="0" borderId="10" xfId="0" applyNumberFormat="1" applyFont="1" applyFill="1" applyBorder="1" applyAlignment="1">
      <alignment horizontal="right" vertical="top" wrapText="1"/>
    </xf>
    <xf numFmtId="165" fontId="1" fillId="0" borderId="14" xfId="0" applyNumberFormat="1" applyFont="1" applyFill="1" applyBorder="1" applyAlignment="1">
      <alignment horizontal="right" vertical="top" wrapText="1"/>
    </xf>
    <xf numFmtId="9" fontId="1" fillId="0" borderId="7" xfId="3" applyFont="1" applyFill="1" applyBorder="1" applyAlignment="1"/>
    <xf numFmtId="9" fontId="1" fillId="0" borderId="2" xfId="3" applyFont="1" applyFill="1" applyBorder="1" applyAlignment="1"/>
    <xf numFmtId="9" fontId="1" fillId="0" borderId="10" xfId="3" applyFont="1" applyFill="1" applyBorder="1" applyAlignment="1"/>
    <xf numFmtId="168" fontId="1" fillId="0" borderId="7" xfId="3" applyNumberFormat="1" applyFont="1" applyFill="1" applyBorder="1" applyAlignment="1"/>
    <xf numFmtId="168" fontId="1" fillId="0" borderId="2" xfId="3" applyNumberFormat="1" applyFont="1" applyFill="1" applyBorder="1" applyAlignment="1"/>
    <xf numFmtId="168" fontId="1" fillId="0" borderId="10" xfId="3" applyNumberFormat="1" applyFont="1" applyFill="1" applyBorder="1" applyAlignment="1"/>
    <xf numFmtId="43" fontId="1" fillId="0" borderId="12" xfId="1" applyFont="1" applyFill="1" applyBorder="1" applyAlignment="1"/>
    <xf numFmtId="43" fontId="1" fillId="0" borderId="13" xfId="1" applyFont="1" applyFill="1" applyBorder="1" applyAlignment="1"/>
    <xf numFmtId="43" fontId="1" fillId="0" borderId="14" xfId="1" applyFont="1" applyFill="1" applyBorder="1" applyAlignment="1"/>
    <xf numFmtId="0" fontId="0" fillId="0" borderId="0" xfId="0"/>
    <xf numFmtId="0" fontId="0" fillId="0" borderId="5" xfId="0" applyBorder="1"/>
    <xf numFmtId="0" fontId="0" fillId="0" borderId="6" xfId="0" applyBorder="1"/>
    <xf numFmtId="0" fontId="0" fillId="0" borderId="7" xfId="0" applyBorder="1"/>
    <xf numFmtId="0" fontId="0" fillId="0" borderId="9" xfId="0" applyBorder="1"/>
    <xf numFmtId="0" fontId="0" fillId="0" borderId="12" xfId="0" applyBorder="1"/>
    <xf numFmtId="0" fontId="0" fillId="0" borderId="6" xfId="0" applyBorder="1" applyAlignment="1">
      <alignment wrapText="1"/>
    </xf>
    <xf numFmtId="0" fontId="0" fillId="0" borderId="7" xfId="0" applyBorder="1" applyAlignment="1">
      <alignment wrapText="1"/>
    </xf>
    <xf numFmtId="0" fontId="0" fillId="0" borderId="12" xfId="0" applyBorder="1" applyAlignment="1">
      <alignment wrapText="1"/>
    </xf>
    <xf numFmtId="0" fontId="0" fillId="0" borderId="5" xfId="0" applyBorder="1" applyAlignment="1">
      <alignment wrapText="1"/>
    </xf>
    <xf numFmtId="0" fontId="0" fillId="0" borderId="9" xfId="0" applyBorder="1" applyAlignment="1">
      <alignment wrapText="1"/>
    </xf>
    <xf numFmtId="168" fontId="0" fillId="0" borderId="7" xfId="0" applyNumberFormat="1" applyBorder="1"/>
    <xf numFmtId="168" fontId="0" fillId="0" borderId="12" xfId="0" applyNumberFormat="1" applyBorder="1"/>
    <xf numFmtId="168" fontId="0" fillId="0" borderId="2" xfId="0" applyNumberFormat="1" applyBorder="1"/>
    <xf numFmtId="168" fontId="0" fillId="0" borderId="13" xfId="0" applyNumberFormat="1" applyBorder="1"/>
    <xf numFmtId="168" fontId="0" fillId="0" borderId="10" xfId="0" applyNumberFormat="1" applyBorder="1"/>
    <xf numFmtId="168" fontId="0" fillId="0" borderId="14" xfId="0" applyNumberFormat="1" applyBorder="1"/>
    <xf numFmtId="0" fontId="0" fillId="0" borderId="8" xfId="0" applyBorder="1"/>
    <xf numFmtId="0" fontId="0" fillId="0" borderId="23"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10" xfId="2" applyFont="1" applyBorder="1" applyAlignment="1">
      <alignment wrapText="1"/>
    </xf>
    <xf numFmtId="44" fontId="0" fillId="0" borderId="0" xfId="2" applyFont="1"/>
    <xf numFmtId="43" fontId="0" fillId="0" borderId="2" xfId="1" applyFont="1" applyBorder="1" applyAlignment="1">
      <alignment wrapText="1"/>
    </xf>
    <xf numFmtId="43" fontId="0" fillId="0" borderId="10" xfId="1" applyFont="1" applyBorder="1" applyAlignment="1">
      <alignment wrapText="1"/>
    </xf>
    <xf numFmtId="43" fontId="0" fillId="0" borderId="0" xfId="1" applyFont="1"/>
    <xf numFmtId="168" fontId="0" fillId="0" borderId="2" xfId="2" applyNumberFormat="1" applyFont="1" applyBorder="1" applyAlignment="1">
      <alignment wrapText="1"/>
    </xf>
    <xf numFmtId="168" fontId="0" fillId="0" borderId="13" xfId="2" applyNumberFormat="1" applyFont="1" applyBorder="1" applyAlignment="1">
      <alignment wrapText="1"/>
    </xf>
    <xf numFmtId="168" fontId="0" fillId="0" borderId="10" xfId="2" applyNumberFormat="1" applyFont="1" applyBorder="1" applyAlignment="1">
      <alignment wrapText="1"/>
    </xf>
    <xf numFmtId="168" fontId="0" fillId="0" borderId="14" xfId="2" applyNumberFormat="1" applyFont="1" applyBorder="1" applyAlignment="1">
      <alignment wrapText="1"/>
    </xf>
    <xf numFmtId="9" fontId="0" fillId="0" borderId="6" xfId="3" applyFont="1" applyBorder="1"/>
    <xf numFmtId="9" fontId="0" fillId="0" borderId="5" xfId="3" applyFont="1" applyBorder="1"/>
    <xf numFmtId="9" fontId="0" fillId="0" borderId="9" xfId="3" applyFont="1" applyBorder="1"/>
    <xf numFmtId="44" fontId="0" fillId="0" borderId="2" xfId="2" applyFont="1" applyBorder="1"/>
    <xf numFmtId="44" fontId="0" fillId="0" borderId="13" xfId="2" applyFont="1" applyBorder="1"/>
    <xf numFmtId="44" fontId="0" fillId="0" borderId="3" xfId="2" applyFont="1" applyBorder="1"/>
    <xf numFmtId="44" fontId="0" fillId="0" borderId="10" xfId="2" applyFont="1" applyBorder="1"/>
    <xf numFmtId="44" fontId="0" fillId="0" borderId="14" xfId="2" applyFont="1" applyBorder="1"/>
    <xf numFmtId="44" fontId="0" fillId="0" borderId="12" xfId="2" applyFont="1" applyBorder="1"/>
    <xf numFmtId="9" fontId="0" fillId="0" borderId="2" xfId="3" applyFont="1" applyBorder="1"/>
    <xf numFmtId="9" fontId="0" fillId="0" borderId="13" xfId="3" applyFont="1" applyBorder="1"/>
    <xf numFmtId="168" fontId="0" fillId="0" borderId="2" xfId="2" applyNumberFormat="1" applyFont="1" applyBorder="1"/>
    <xf numFmtId="168" fontId="0" fillId="0" borderId="13" xfId="2" applyNumberFormat="1" applyFont="1" applyBorder="1"/>
    <xf numFmtId="43" fontId="0" fillId="0" borderId="2" xfId="1" applyFont="1" applyBorder="1"/>
    <xf numFmtId="43" fontId="0" fillId="0" borderId="13" xfId="1" applyFont="1" applyBorder="1"/>
    <xf numFmtId="9" fontId="0" fillId="0" borderId="14" xfId="3" applyFont="1" applyBorder="1"/>
    <xf numFmtId="9" fontId="21" fillId="0" borderId="16"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76856A33-E842-4B88-AF01-B74302799DF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3</xdr:col>
      <xdr:colOff>764586</xdr:colOff>
      <xdr:row>45</xdr:row>
      <xdr:rowOff>122709</xdr:rowOff>
    </xdr:to>
    <xdr:pic>
      <xdr:nvPicPr>
        <xdr:cNvPr id="3" name="Picture 3">
          <a:extLst>
            <a:ext uri="{FF2B5EF4-FFF2-40B4-BE49-F238E27FC236}">
              <a16:creationId xmlns:a16="http://schemas.microsoft.com/office/drawing/2014/main" id="{AAD50ED2-C283-4929-8647-84BC255FF3CA}"/>
            </a:ext>
          </a:extLst>
        </xdr:cNvPr>
        <xdr:cNvPicPr>
          <a:picLocks noChangeAspect="1"/>
        </xdr:cNvPicPr>
      </xdr:nvPicPr>
      <xdr:blipFill>
        <a:blip xmlns:r="http://schemas.openxmlformats.org/officeDocument/2006/relationships" r:embed="rId2"/>
        <a:stretch>
          <a:fillRect/>
        </a:stretch>
      </xdr:blipFill>
      <xdr:spPr>
        <a:xfrm>
          <a:off x="5972175" y="72199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48C106A-1D5E-48CC-94E8-396B98E8954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45</xdr:row>
      <xdr:rowOff>0</xdr:rowOff>
    </xdr:from>
    <xdr:to>
      <xdr:col>3</xdr:col>
      <xdr:colOff>764586</xdr:colOff>
      <xdr:row>47</xdr:row>
      <xdr:rowOff>122709</xdr:rowOff>
    </xdr:to>
    <xdr:pic>
      <xdr:nvPicPr>
        <xdr:cNvPr id="3" name="Picture 3">
          <a:extLst>
            <a:ext uri="{FF2B5EF4-FFF2-40B4-BE49-F238E27FC236}">
              <a16:creationId xmlns:a16="http://schemas.microsoft.com/office/drawing/2014/main" id="{A0F5BA4F-E718-48DE-90C9-D7151B1A1171}"/>
            </a:ext>
          </a:extLst>
        </xdr:cNvPr>
        <xdr:cNvPicPr>
          <a:picLocks noChangeAspect="1"/>
        </xdr:cNvPicPr>
      </xdr:nvPicPr>
      <xdr:blipFill>
        <a:blip xmlns:r="http://schemas.openxmlformats.org/officeDocument/2006/relationships" r:embed="rId2"/>
        <a:stretch>
          <a:fillRect/>
        </a:stretch>
      </xdr:blipFill>
      <xdr:spPr>
        <a:xfrm>
          <a:off x="5972175" y="72199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16A2EE69-24A5-462D-B4E9-6B76753C22E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45</xdr:row>
      <xdr:rowOff>0</xdr:rowOff>
    </xdr:from>
    <xdr:to>
      <xdr:col>3</xdr:col>
      <xdr:colOff>764586</xdr:colOff>
      <xdr:row>47</xdr:row>
      <xdr:rowOff>122709</xdr:rowOff>
    </xdr:to>
    <xdr:pic>
      <xdr:nvPicPr>
        <xdr:cNvPr id="3" name="Picture 3">
          <a:extLst>
            <a:ext uri="{FF2B5EF4-FFF2-40B4-BE49-F238E27FC236}">
              <a16:creationId xmlns:a16="http://schemas.microsoft.com/office/drawing/2014/main" id="{15733765-E66F-4BFB-90BF-0A0717C56BCC}"/>
            </a:ext>
          </a:extLst>
        </xdr:cNvPr>
        <xdr:cNvPicPr>
          <a:picLocks noChangeAspect="1"/>
        </xdr:cNvPicPr>
      </xdr:nvPicPr>
      <xdr:blipFill>
        <a:blip xmlns:r="http://schemas.openxmlformats.org/officeDocument/2006/relationships" r:embed="rId2"/>
        <a:stretch>
          <a:fillRect/>
        </a:stretch>
      </xdr:blipFill>
      <xdr:spPr>
        <a:xfrm>
          <a:off x="5972175" y="72199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CA42611-83B3-4EED-98C2-D665648C04A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39</xdr:row>
      <xdr:rowOff>0</xdr:rowOff>
    </xdr:from>
    <xdr:to>
      <xdr:col>4</xdr:col>
      <xdr:colOff>146921</xdr:colOff>
      <xdr:row>41</xdr:row>
      <xdr:rowOff>122709</xdr:rowOff>
    </xdr:to>
    <xdr:pic>
      <xdr:nvPicPr>
        <xdr:cNvPr id="3" name="Picture 3">
          <a:extLst>
            <a:ext uri="{FF2B5EF4-FFF2-40B4-BE49-F238E27FC236}">
              <a16:creationId xmlns:a16="http://schemas.microsoft.com/office/drawing/2014/main" id="{26DFD5D4-4C1A-4087-8B38-776BE50C9B32}"/>
            </a:ext>
          </a:extLst>
        </xdr:cNvPr>
        <xdr:cNvPicPr>
          <a:picLocks noChangeAspect="1"/>
        </xdr:cNvPicPr>
      </xdr:nvPicPr>
      <xdr:blipFill>
        <a:blip xmlns:r="http://schemas.openxmlformats.org/officeDocument/2006/relationships" r:embed="rId2"/>
        <a:stretch>
          <a:fillRect/>
        </a:stretch>
      </xdr:blipFill>
      <xdr:spPr>
        <a:xfrm>
          <a:off x="6638925" y="62484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FD26625F-3B3B-4387-9738-FE486AAB718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3F5B4B91-332A-4C6D-870D-C332BDF10F22}"/>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533EB295-3C20-497E-8858-E3C4AF5C432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C0371263-1BBE-4961-9C01-C3F0DD0F6AA5}"/>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C36B31DE-F4E8-4013-B590-449596F27165}"/>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04B7F9B-BE72-4199-83ED-D6EC63BD338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40</xdr:row>
      <xdr:rowOff>0</xdr:rowOff>
    </xdr:from>
    <xdr:to>
      <xdr:col>4</xdr:col>
      <xdr:colOff>49625</xdr:colOff>
      <xdr:row>42</xdr:row>
      <xdr:rowOff>151172</xdr:rowOff>
    </xdr:to>
    <xdr:pic>
      <xdr:nvPicPr>
        <xdr:cNvPr id="3" name="Picture 3">
          <a:extLst>
            <a:ext uri="{FF2B5EF4-FFF2-40B4-BE49-F238E27FC236}">
              <a16:creationId xmlns:a16="http://schemas.microsoft.com/office/drawing/2014/main" id="{81CA91A0-A690-4726-8EB6-D2EAB3EC9EDF}"/>
            </a:ext>
          </a:extLst>
        </xdr:cNvPr>
        <xdr:cNvPicPr>
          <a:picLocks noChangeAspect="1"/>
        </xdr:cNvPicPr>
      </xdr:nvPicPr>
      <xdr:blipFill>
        <a:blip xmlns:r="http://schemas.openxmlformats.org/officeDocument/2006/relationships" r:embed="rId2"/>
        <a:stretch>
          <a:fillRect/>
        </a:stretch>
      </xdr:blipFill>
      <xdr:spPr>
        <a:xfrm>
          <a:off x="5038725" y="64103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A57B0B3D-5406-4923-BDCA-41D832583EE1}"/>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D66A493E-1D67-426F-BF60-72F7C37ED83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BF3FA-ADBC-4863-B57C-3DD265DBD2ED}">
  <sheetPr codeName="Sheet1"/>
  <dimension ref="C5:S44"/>
  <sheetViews>
    <sheetView showGridLines="0" tabSelected="1" workbookViewId="0"/>
  </sheetViews>
  <sheetFormatPr defaultRowHeight="12.5" x14ac:dyDescent="0.25"/>
  <cols>
    <col min="1" max="2" width="8.7265625" style="89"/>
    <col min="3" max="3" width="42" style="89" bestFit="1" customWidth="1"/>
    <col min="4" max="4" width="19.453125" style="89" bestFit="1" customWidth="1"/>
    <col min="5" max="5" width="22.36328125" style="89" bestFit="1" customWidth="1"/>
    <col min="6" max="6" width="23.36328125" style="89" bestFit="1" customWidth="1"/>
    <col min="7" max="7" width="12.6328125" style="89" bestFit="1" customWidth="1"/>
    <col min="8" max="8" width="24.36328125" style="89" bestFit="1" customWidth="1"/>
    <col min="9" max="9" width="22.81640625" style="89" bestFit="1" customWidth="1"/>
    <col min="10" max="10" width="22.36328125" style="89" bestFit="1" customWidth="1"/>
    <col min="11" max="11" width="19.36328125" style="89" bestFit="1" customWidth="1"/>
    <col min="12" max="12" width="39" style="89" bestFit="1" customWidth="1"/>
    <col min="13" max="13" width="33.90625" style="89" bestFit="1" customWidth="1"/>
    <col min="14" max="14" width="26.1796875" style="89" bestFit="1" customWidth="1"/>
    <col min="15" max="15" width="8.7265625" style="89"/>
    <col min="16" max="16" width="28.1796875" style="89" bestFit="1" customWidth="1"/>
    <col min="17" max="18" width="12.1796875" style="89" bestFit="1" customWidth="1"/>
    <col min="19" max="19" width="11.1796875" style="89" bestFit="1" customWidth="1"/>
    <col min="20" max="16384" width="8.7265625" style="89"/>
  </cols>
  <sheetData>
    <row r="5" spans="3:19" ht="13" thickBot="1" x14ac:dyDescent="0.3"/>
    <row r="6" spans="3:19" x14ac:dyDescent="0.25">
      <c r="C6" s="95" t="s">
        <v>8</v>
      </c>
      <c r="D6" s="96" t="s">
        <v>9</v>
      </c>
      <c r="E6" s="96" t="s">
        <v>10</v>
      </c>
      <c r="F6" s="96" t="s">
        <v>11</v>
      </c>
      <c r="G6" s="96" t="s">
        <v>12</v>
      </c>
      <c r="H6" s="96" t="s">
        <v>15</v>
      </c>
      <c r="I6" s="96" t="s">
        <v>22</v>
      </c>
      <c r="J6" s="96" t="s">
        <v>23</v>
      </c>
      <c r="K6" s="96" t="s">
        <v>24</v>
      </c>
      <c r="L6" s="96" t="s">
        <v>51</v>
      </c>
      <c r="M6" s="96" t="s">
        <v>52</v>
      </c>
      <c r="N6" s="97" t="s">
        <v>53</v>
      </c>
      <c r="P6" s="91"/>
      <c r="Q6" s="92" t="s">
        <v>173</v>
      </c>
      <c r="R6" s="92" t="s">
        <v>174</v>
      </c>
      <c r="S6" s="94" t="s">
        <v>175</v>
      </c>
    </row>
    <row r="7" spans="3:19" x14ac:dyDescent="0.25">
      <c r="C7" s="98" t="s">
        <v>25</v>
      </c>
      <c r="D7" s="110">
        <v>503.22</v>
      </c>
      <c r="E7" s="113">
        <v>443.5</v>
      </c>
      <c r="F7" s="110">
        <v>223169.6</v>
      </c>
      <c r="G7" s="110">
        <v>-4566</v>
      </c>
      <c r="H7" s="110">
        <v>218608.6</v>
      </c>
      <c r="I7" s="110">
        <v>250169.62</v>
      </c>
      <c r="J7" s="110">
        <v>11007.53</v>
      </c>
      <c r="K7" s="110">
        <v>15.08</v>
      </c>
      <c r="L7" s="116">
        <v>0.87</v>
      </c>
      <c r="M7" s="116">
        <v>19.86</v>
      </c>
      <c r="N7" s="117">
        <v>33.369999999999997</v>
      </c>
      <c r="P7" s="90" t="s">
        <v>176</v>
      </c>
      <c r="Q7" s="129">
        <v>0.33333333333333331</v>
      </c>
      <c r="R7" s="129">
        <v>0.33333333333333331</v>
      </c>
      <c r="S7" s="130">
        <v>0.33333333333333331</v>
      </c>
    </row>
    <row r="8" spans="3:19" x14ac:dyDescent="0.25">
      <c r="C8" s="98" t="s">
        <v>27</v>
      </c>
      <c r="D8" s="110">
        <v>221.46</v>
      </c>
      <c r="E8" s="113">
        <v>219.1</v>
      </c>
      <c r="F8" s="110">
        <v>48523.8</v>
      </c>
      <c r="G8" s="110">
        <v>17279.5</v>
      </c>
      <c r="H8" s="110">
        <v>65803.3</v>
      </c>
      <c r="I8" s="110">
        <v>40034.39</v>
      </c>
      <c r="J8" s="110">
        <v>4308.53</v>
      </c>
      <c r="K8" s="110">
        <v>11.29</v>
      </c>
      <c r="L8" s="116">
        <v>1.64</v>
      </c>
      <c r="M8" s="116">
        <v>15.27</v>
      </c>
      <c r="N8" s="117">
        <v>19.62</v>
      </c>
      <c r="P8" s="90" t="s">
        <v>177</v>
      </c>
      <c r="Q8" s="131">
        <f>INDEX(L24:L44,MATCH($L$22,$K$24:$K$44))</f>
        <v>0.66500000000000004</v>
      </c>
      <c r="R8" s="131">
        <f>INDEX(M24:M44,MATCH($L$22,$K$24:$K$44))</f>
        <v>12.4</v>
      </c>
      <c r="S8" s="132">
        <f>INDEX(N24:N44,MATCH($L$22,$K$24:$K$44))</f>
        <v>19.342500000000001</v>
      </c>
    </row>
    <row r="9" spans="3:19" x14ac:dyDescent="0.25">
      <c r="C9" s="98" t="s">
        <v>28</v>
      </c>
      <c r="D9" s="110">
        <v>150.97</v>
      </c>
      <c r="E9" s="113">
        <v>2697.3</v>
      </c>
      <c r="F9" s="110">
        <v>407218.4</v>
      </c>
      <c r="G9" s="110">
        <v>52410</v>
      </c>
      <c r="H9" s="110">
        <v>466926.4</v>
      </c>
      <c r="I9" s="110">
        <v>628015.44999999995</v>
      </c>
      <c r="J9" s="110">
        <v>36929.599999999999</v>
      </c>
      <c r="K9" s="110">
        <v>6.11</v>
      </c>
      <c r="L9" s="116">
        <v>0.74</v>
      </c>
      <c r="M9" s="116">
        <v>12.64</v>
      </c>
      <c r="N9" s="117">
        <v>24.72</v>
      </c>
      <c r="P9" s="90" t="s">
        <v>178</v>
      </c>
      <c r="Q9" s="123">
        <v>111370.91</v>
      </c>
      <c r="R9" s="123">
        <v>8205.02</v>
      </c>
      <c r="S9" s="124">
        <v>8.52</v>
      </c>
    </row>
    <row r="10" spans="3:19" x14ac:dyDescent="0.25">
      <c r="C10" s="98" t="s">
        <v>29</v>
      </c>
      <c r="D10" s="110">
        <v>153.71</v>
      </c>
      <c r="E10" s="113">
        <v>221.2</v>
      </c>
      <c r="F10" s="110">
        <v>34004.9</v>
      </c>
      <c r="G10" s="110">
        <v>9483.7000000000007</v>
      </c>
      <c r="H10" s="110">
        <v>43488.6</v>
      </c>
      <c r="I10" s="110">
        <v>30286.03</v>
      </c>
      <c r="J10" s="110">
        <v>2883.64</v>
      </c>
      <c r="K10" s="110">
        <v>6.63</v>
      </c>
      <c r="L10" s="116">
        <v>1.44</v>
      </c>
      <c r="M10" s="116">
        <v>15.08</v>
      </c>
      <c r="N10" s="117">
        <v>23.19</v>
      </c>
      <c r="P10" s="90" t="s">
        <v>179</v>
      </c>
      <c r="Q10" s="123">
        <f>Q9*Q8</f>
        <v>74061.655150000006</v>
      </c>
      <c r="R10" s="123">
        <f>R9*R8</f>
        <v>101742.24800000001</v>
      </c>
      <c r="S10" s="124">
        <f>S12+S11</f>
        <v>75873.045239999992</v>
      </c>
    </row>
    <row r="11" spans="3:19" x14ac:dyDescent="0.25">
      <c r="C11" s="98" t="s">
        <v>30</v>
      </c>
      <c r="D11" s="110">
        <v>76.37</v>
      </c>
      <c r="E11" s="113">
        <v>133.9</v>
      </c>
      <c r="F11" s="110">
        <v>10226.200000000001</v>
      </c>
      <c r="G11" s="110">
        <v>3084</v>
      </c>
      <c r="H11" s="110">
        <v>13310.3</v>
      </c>
      <c r="I11" s="110">
        <v>20886.37</v>
      </c>
      <c r="J11" s="110">
        <v>1080.74</v>
      </c>
      <c r="K11" s="110">
        <v>3.97</v>
      </c>
      <c r="L11" s="116">
        <v>0.64</v>
      </c>
      <c r="M11" s="116">
        <v>12.32</v>
      </c>
      <c r="N11" s="117">
        <v>19.25</v>
      </c>
      <c r="P11" s="90" t="s">
        <v>180</v>
      </c>
      <c r="Q11" s="123"/>
      <c r="R11" s="123"/>
      <c r="S11" s="124"/>
    </row>
    <row r="12" spans="3:19" x14ac:dyDescent="0.25">
      <c r="C12" s="98" t="s">
        <v>31</v>
      </c>
      <c r="D12" s="110">
        <v>72.94</v>
      </c>
      <c r="E12" s="113">
        <v>26.8</v>
      </c>
      <c r="F12" s="110">
        <v>1953.9</v>
      </c>
      <c r="G12" s="110">
        <v>6916.2</v>
      </c>
      <c r="H12" s="110">
        <v>10571</v>
      </c>
      <c r="I12" s="110">
        <v>23082.58</v>
      </c>
      <c r="J12" s="110">
        <v>1214.07</v>
      </c>
      <c r="K12" s="110">
        <v>7.28</v>
      </c>
      <c r="L12" s="116">
        <v>0.46</v>
      </c>
      <c r="M12" s="116">
        <v>8.7100000000000009</v>
      </c>
      <c r="N12" s="117">
        <v>10.01</v>
      </c>
      <c r="P12" s="90" t="s">
        <v>112</v>
      </c>
      <c r="Q12" s="123">
        <f>Q10-Q11</f>
        <v>74061.655150000006</v>
      </c>
      <c r="R12" s="123">
        <f>R10-R11</f>
        <v>101742.24800000001</v>
      </c>
      <c r="S12" s="124">
        <f>S13*S14</f>
        <v>75873.045239999992</v>
      </c>
    </row>
    <row r="13" spans="3:19" ht="13" thickBot="1" x14ac:dyDescent="0.3">
      <c r="C13" s="99" t="s">
        <v>32</v>
      </c>
      <c r="D13" s="111">
        <v>157.75</v>
      </c>
      <c r="E13" s="114">
        <v>460.4</v>
      </c>
      <c r="F13" s="111">
        <v>72622.399999999994</v>
      </c>
      <c r="G13" s="111">
        <v>16925</v>
      </c>
      <c r="H13" s="111">
        <v>89547.4</v>
      </c>
      <c r="I13" s="111">
        <v>111370.91</v>
      </c>
      <c r="J13" s="111">
        <v>8205.02</v>
      </c>
      <c r="K13" s="111">
        <v>8.52</v>
      </c>
      <c r="L13" s="118">
        <v>0.8</v>
      </c>
      <c r="M13" s="118">
        <v>10.91</v>
      </c>
      <c r="N13" s="119">
        <v>18.510000000000002</v>
      </c>
      <c r="P13" s="90" t="s">
        <v>181</v>
      </c>
      <c r="Q13" s="133">
        <v>460.4</v>
      </c>
      <c r="R13" s="133">
        <v>460.4</v>
      </c>
      <c r="S13" s="134">
        <v>460.4</v>
      </c>
    </row>
    <row r="14" spans="3:19" ht="13" thickBot="1" x14ac:dyDescent="0.3">
      <c r="D14" s="112"/>
      <c r="E14" s="115"/>
      <c r="F14" s="112"/>
      <c r="G14" s="112"/>
      <c r="H14" s="112"/>
      <c r="I14" s="112"/>
      <c r="J14" s="112"/>
      <c r="K14" s="112"/>
      <c r="L14" s="112"/>
      <c r="M14" s="112"/>
      <c r="N14" s="112"/>
      <c r="P14" s="107" t="s">
        <v>182</v>
      </c>
      <c r="Q14" s="125">
        <f>Q12/Q13</f>
        <v>160.86371665942661</v>
      </c>
      <c r="R14" s="126">
        <f>R12/R13</f>
        <v>220.98663770634235</v>
      </c>
      <c r="S14" s="127">
        <f>S8*S9</f>
        <v>164.79810000000001</v>
      </c>
    </row>
    <row r="15" spans="3:19" x14ac:dyDescent="0.25">
      <c r="D15" s="112"/>
      <c r="E15" s="115"/>
      <c r="F15" s="112"/>
      <c r="G15" s="112"/>
      <c r="H15" s="112"/>
      <c r="I15" s="112"/>
      <c r="J15" s="112"/>
      <c r="K15" s="112"/>
      <c r="L15" s="112"/>
      <c r="M15" s="112"/>
      <c r="N15" s="112"/>
      <c r="P15" s="91" t="s">
        <v>183</v>
      </c>
      <c r="Q15" s="128">
        <f>SUMPRODUCT(Q14:S14,Q7:S7)</f>
        <v>182.21615145525629</v>
      </c>
      <c r="R15" s="112"/>
      <c r="S15" s="112"/>
    </row>
    <row r="16" spans="3:19" x14ac:dyDescent="0.25">
      <c r="D16" s="112"/>
      <c r="E16" s="115"/>
      <c r="F16" s="112"/>
      <c r="G16" s="112"/>
      <c r="H16" s="112"/>
      <c r="I16" s="112"/>
      <c r="J16" s="112"/>
      <c r="K16" s="112"/>
      <c r="L16" s="112"/>
      <c r="M16" s="112"/>
      <c r="N16" s="112"/>
      <c r="P16" s="90" t="s">
        <v>184</v>
      </c>
      <c r="Q16" s="124">
        <v>157.75</v>
      </c>
      <c r="R16" s="112"/>
      <c r="S16" s="112"/>
    </row>
    <row r="17" spans="3:19" ht="13" thickBot="1" x14ac:dyDescent="0.3">
      <c r="D17" s="112"/>
      <c r="E17" s="115"/>
      <c r="F17" s="112"/>
      <c r="G17" s="112"/>
      <c r="H17" s="112"/>
      <c r="I17" s="112"/>
      <c r="J17" s="112"/>
      <c r="K17" s="112"/>
      <c r="L17" s="112"/>
      <c r="M17" s="112"/>
      <c r="N17" s="112"/>
      <c r="P17" s="93" t="s">
        <v>185</v>
      </c>
      <c r="Q17" s="135">
        <f>Q15/Q16-1</f>
        <v>0.15509446247389103</v>
      </c>
      <c r="R17" s="112"/>
      <c r="S17" s="112"/>
    </row>
    <row r="20" spans="3:19" ht="37.5" x14ac:dyDescent="0.25">
      <c r="C20" s="108" t="s">
        <v>186</v>
      </c>
      <c r="D20" s="109">
        <f>Q17</f>
        <v>0.15509446247389103</v>
      </c>
    </row>
    <row r="21" spans="3:19" ht="13" thickBot="1" x14ac:dyDescent="0.3"/>
    <row r="22" spans="3:19" ht="13" thickBot="1" x14ac:dyDescent="0.3">
      <c r="K22" s="106" t="s">
        <v>172</v>
      </c>
      <c r="L22" s="136">
        <f>BENCHMARKING!D28</f>
        <v>0.2722222222222222</v>
      </c>
    </row>
    <row r="23" spans="3:19" ht="13" thickBot="1" x14ac:dyDescent="0.3">
      <c r="K23" s="89" t="s">
        <v>171</v>
      </c>
    </row>
    <row r="24" spans="3:19" x14ac:dyDescent="0.25">
      <c r="K24" s="120">
        <v>0</v>
      </c>
      <c r="L24" s="100">
        <f>PERCENTILE(L7:L12,K24)</f>
        <v>0.46</v>
      </c>
      <c r="M24" s="100">
        <f>PERCENTILE(M7:M12,K24)</f>
        <v>8.7100000000000009</v>
      </c>
      <c r="N24" s="101">
        <f>PERCENTILE(N7:N12,K24)</f>
        <v>10.01</v>
      </c>
    </row>
    <row r="25" spans="3:19" x14ac:dyDescent="0.25">
      <c r="K25" s="121">
        <v>0.05</v>
      </c>
      <c r="L25" s="102">
        <f>PERCENTILE(L7:L12,K25)</f>
        <v>0.505</v>
      </c>
      <c r="M25" s="102">
        <f>PERCENTILE(M7:M12,K25)</f>
        <v>9.6125000000000007</v>
      </c>
      <c r="N25" s="103">
        <f>PERCENTILE(N7:N12,K25)</f>
        <v>12.32</v>
      </c>
    </row>
    <row r="26" spans="3:19" x14ac:dyDescent="0.25">
      <c r="K26" s="121">
        <v>0.1</v>
      </c>
      <c r="L26" s="102">
        <f>PERCENTILE(L7:L12,K26)</f>
        <v>0.55000000000000004</v>
      </c>
      <c r="M26" s="102">
        <f>PERCENTILE(M7:M12,K26)</f>
        <v>10.515000000000001</v>
      </c>
      <c r="N26" s="103">
        <f>PERCENTILE(N7:N12,K26)</f>
        <v>14.629999999999999</v>
      </c>
    </row>
    <row r="27" spans="3:19" x14ac:dyDescent="0.25">
      <c r="K27" s="121">
        <v>0.15</v>
      </c>
      <c r="L27" s="102">
        <f>PERCENTILE(L7:L12,K27)</f>
        <v>0.59499999999999997</v>
      </c>
      <c r="M27" s="102">
        <f>PERCENTILE(M7:M12,K27)</f>
        <v>11.4175</v>
      </c>
      <c r="N27" s="103">
        <f>PERCENTILE(N7:N12,K27)</f>
        <v>16.939999999999998</v>
      </c>
    </row>
    <row r="28" spans="3:19" x14ac:dyDescent="0.25">
      <c r="K28" s="121">
        <v>0.2</v>
      </c>
      <c r="L28" s="102">
        <f>PERCENTILE(L7:L12,K28)</f>
        <v>0.64</v>
      </c>
      <c r="M28" s="102">
        <f>PERCENTILE(M7:M12,K28)</f>
        <v>12.32</v>
      </c>
      <c r="N28" s="103">
        <f>PERCENTILE(N7:N12,K28)</f>
        <v>19.25</v>
      </c>
    </row>
    <row r="29" spans="3:19" x14ac:dyDescent="0.25">
      <c r="K29" s="121">
        <v>0.25</v>
      </c>
      <c r="L29" s="102">
        <f>PERCENTILE(L7:L12,K29)</f>
        <v>0.66500000000000004</v>
      </c>
      <c r="M29" s="102">
        <f>PERCENTILE(M7:M12,K29)</f>
        <v>12.4</v>
      </c>
      <c r="N29" s="103">
        <f>PERCENTILE(N7:N12,K29)</f>
        <v>19.342500000000001</v>
      </c>
    </row>
    <row r="30" spans="3:19" x14ac:dyDescent="0.25">
      <c r="K30" s="121">
        <v>0.3</v>
      </c>
      <c r="L30" s="102">
        <f>PERCENTILE(L7:L12,K30)</f>
        <v>0.69</v>
      </c>
      <c r="M30" s="102">
        <f>PERCENTILE(M7:M12,K30)</f>
        <v>12.48</v>
      </c>
      <c r="N30" s="103">
        <f>PERCENTILE(N7:N12,K30)</f>
        <v>19.435000000000002</v>
      </c>
    </row>
    <row r="31" spans="3:19" x14ac:dyDescent="0.25">
      <c r="K31" s="121">
        <v>0.35</v>
      </c>
      <c r="L31" s="102">
        <f>PERCENTILE(L7:L12,K31)</f>
        <v>0.71499999999999997</v>
      </c>
      <c r="M31" s="102">
        <f>PERCENTILE(M7:M12,K31)</f>
        <v>12.56</v>
      </c>
      <c r="N31" s="103">
        <f>PERCENTILE(N7:N12,K31)</f>
        <v>19.5275</v>
      </c>
    </row>
    <row r="32" spans="3:19" x14ac:dyDescent="0.25">
      <c r="K32" s="121">
        <v>0.4</v>
      </c>
      <c r="L32" s="102">
        <f>PERCENTILE(L7:L12,K32)</f>
        <v>0.74</v>
      </c>
      <c r="M32" s="102">
        <f>PERCENTILE(M7:M12,K32)</f>
        <v>12.64</v>
      </c>
      <c r="N32" s="103">
        <f>PERCENTILE(N7:N12,K32)</f>
        <v>19.62</v>
      </c>
    </row>
    <row r="33" spans="11:14" x14ac:dyDescent="0.25">
      <c r="K33" s="121">
        <v>0.45</v>
      </c>
      <c r="L33" s="102">
        <f>PERCENTILE(L7:L12,K33)</f>
        <v>0.77249999999999996</v>
      </c>
      <c r="M33" s="102">
        <f>PERCENTILE(M7:M12,K33)</f>
        <v>13.25</v>
      </c>
      <c r="N33" s="103">
        <f>PERCENTILE(N7:N12,K33)</f>
        <v>20.512500000000003</v>
      </c>
    </row>
    <row r="34" spans="11:14" x14ac:dyDescent="0.25">
      <c r="K34" s="121">
        <v>0.5</v>
      </c>
      <c r="L34" s="102">
        <f>PERCENTILE(L7:L12,K34)</f>
        <v>0.80499999999999994</v>
      </c>
      <c r="M34" s="102">
        <f>PERCENTILE(M7:M12,K34)</f>
        <v>13.86</v>
      </c>
      <c r="N34" s="103">
        <f>PERCENTILE(N7:N12,K34)</f>
        <v>21.405000000000001</v>
      </c>
    </row>
    <row r="35" spans="11:14" x14ac:dyDescent="0.25">
      <c r="K35" s="121">
        <v>0.55000000000000004</v>
      </c>
      <c r="L35" s="102">
        <f>PERCENTILE(L7:L12,K35)</f>
        <v>0.83750000000000002</v>
      </c>
      <c r="M35" s="102">
        <f>PERCENTILE(M7:M12,K35)</f>
        <v>14.47</v>
      </c>
      <c r="N35" s="103">
        <f>PERCENTILE(N7:N12,K35)</f>
        <v>22.297499999999999</v>
      </c>
    </row>
    <row r="36" spans="11:14" x14ac:dyDescent="0.25">
      <c r="K36" s="121">
        <v>0.6</v>
      </c>
      <c r="L36" s="102">
        <f>PERCENTILE(L7:L12,K36)</f>
        <v>0.87</v>
      </c>
      <c r="M36" s="102">
        <f>PERCENTILE(M7:M12,K36)</f>
        <v>15.08</v>
      </c>
      <c r="N36" s="103">
        <f>PERCENTILE(N7:N12,K36)</f>
        <v>23.19</v>
      </c>
    </row>
    <row r="37" spans="11:14" x14ac:dyDescent="0.25">
      <c r="K37" s="121">
        <v>0.65</v>
      </c>
      <c r="L37" s="102">
        <f>PERCENTILE(L7:L12,K37)</f>
        <v>1.0125</v>
      </c>
      <c r="M37" s="102">
        <f>PERCENTILE(M7:M12,K37)</f>
        <v>15.1275</v>
      </c>
      <c r="N37" s="103">
        <f>PERCENTILE(N7:N12,K37)</f>
        <v>23.572500000000002</v>
      </c>
    </row>
    <row r="38" spans="11:14" x14ac:dyDescent="0.25">
      <c r="K38" s="121">
        <v>0.7</v>
      </c>
      <c r="L38" s="102">
        <f>PERCENTILE(L7:L12,K38)</f>
        <v>1.155</v>
      </c>
      <c r="M38" s="102">
        <f>PERCENTILE(M7:M12,K38)</f>
        <v>15.175000000000001</v>
      </c>
      <c r="N38" s="103">
        <f>PERCENTILE(N7:N12,K38)</f>
        <v>23.954999999999998</v>
      </c>
    </row>
    <row r="39" spans="11:14" x14ac:dyDescent="0.25">
      <c r="K39" s="121">
        <v>0.75</v>
      </c>
      <c r="L39" s="102">
        <f>PERCENTILE(L7:L12,K39)</f>
        <v>1.2974999999999999</v>
      </c>
      <c r="M39" s="102">
        <f>PERCENTILE(M7:M12,K39)</f>
        <v>15.2225</v>
      </c>
      <c r="N39" s="103">
        <f>PERCENTILE(N7:N12,K39)</f>
        <v>24.337499999999999</v>
      </c>
    </row>
    <row r="40" spans="11:14" x14ac:dyDescent="0.25">
      <c r="K40" s="121">
        <v>0.8</v>
      </c>
      <c r="L40" s="102">
        <f>PERCENTILE(L7:L12,K40)</f>
        <v>1.44</v>
      </c>
      <c r="M40" s="102">
        <f>PERCENTILE(M7:M12,K40)</f>
        <v>15.27</v>
      </c>
      <c r="N40" s="103">
        <f>PERCENTILE(N7:N12,K40)</f>
        <v>24.72</v>
      </c>
    </row>
    <row r="41" spans="11:14" x14ac:dyDescent="0.25">
      <c r="K41" s="121">
        <v>0.85</v>
      </c>
      <c r="L41" s="102">
        <f>PERCENTILE(L7:L12,K41)</f>
        <v>1.49</v>
      </c>
      <c r="M41" s="102">
        <f>PERCENTILE(M7:M12,K41)</f>
        <v>16.4175</v>
      </c>
      <c r="N41" s="103">
        <f>PERCENTILE(N7:N12,K41)</f>
        <v>26.8825</v>
      </c>
    </row>
    <row r="42" spans="11:14" x14ac:dyDescent="0.25">
      <c r="K42" s="121">
        <v>0.9</v>
      </c>
      <c r="L42" s="102">
        <f>PERCENTILE(L7:L12,K42)</f>
        <v>1.54</v>
      </c>
      <c r="M42" s="102">
        <f>PERCENTILE(M7:M12,K42)</f>
        <v>17.564999999999998</v>
      </c>
      <c r="N42" s="103">
        <f>PERCENTILE(N7:N12,K42)</f>
        <v>29.044999999999998</v>
      </c>
    </row>
    <row r="43" spans="11:14" x14ac:dyDescent="0.25">
      <c r="K43" s="121">
        <v>0.95</v>
      </c>
      <c r="L43" s="102">
        <f>PERCENTILE(L7:L12,K43)</f>
        <v>1.5899999999999999</v>
      </c>
      <c r="M43" s="102">
        <f>PERCENTILE(M7:M12,K43)</f>
        <v>18.712499999999999</v>
      </c>
      <c r="N43" s="103">
        <f>PERCENTILE(N7:N12,K43)</f>
        <v>31.207499999999996</v>
      </c>
    </row>
    <row r="44" spans="11:14" ht="13" thickBot="1" x14ac:dyDescent="0.3">
      <c r="K44" s="122">
        <v>1</v>
      </c>
      <c r="L44" s="104">
        <f>PERCENTILE(L7:L12,K44)</f>
        <v>1.64</v>
      </c>
      <c r="M44" s="104">
        <f>PERCENTILE(M7:M12,K44)</f>
        <v>19.86</v>
      </c>
      <c r="N44" s="105">
        <f>PERCENTILE(N7:N12,K44)</f>
        <v>33.369999999999997</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3B38C-CA99-4B13-8EFE-92D4DAD96849}">
  <sheetPr codeName="Sheet2"/>
  <dimension ref="C5:O51"/>
  <sheetViews>
    <sheetView showGridLines="0" workbookViewId="0"/>
  </sheetViews>
  <sheetFormatPr defaultRowHeight="10" x14ac:dyDescent="0.2"/>
  <cols>
    <col min="1" max="2" width="8.7265625" style="43"/>
    <col min="3" max="3" width="13" style="43" bestFit="1" customWidth="1"/>
    <col min="4" max="4" width="8.36328125" style="43" bestFit="1" customWidth="1"/>
    <col min="5" max="5" width="7.36328125" style="43" bestFit="1" customWidth="1"/>
    <col min="6" max="6" width="7.54296875" style="43" bestFit="1" customWidth="1"/>
    <col min="7" max="7" width="7.36328125" style="43" bestFit="1" customWidth="1"/>
    <col min="8" max="8" width="8.1796875" style="43" bestFit="1" customWidth="1"/>
    <col min="9" max="9" width="7.81640625" style="43" bestFit="1" customWidth="1"/>
    <col min="10" max="10" width="7.90625" style="43" bestFit="1" customWidth="1"/>
    <col min="11" max="11" width="7.7265625" style="43" bestFit="1" customWidth="1"/>
    <col min="12" max="12" width="8.08984375" style="43" bestFit="1" customWidth="1"/>
    <col min="13" max="13" width="7.81640625" style="43" bestFit="1" customWidth="1"/>
    <col min="14" max="14" width="8.36328125" style="43" bestFit="1" customWidth="1"/>
    <col min="15" max="15" width="8.6328125" style="43" bestFit="1" customWidth="1"/>
    <col min="16" max="16384" width="8.7265625" style="43"/>
  </cols>
  <sheetData>
    <row r="5" spans="3:15" ht="10.5" thickBot="1" x14ac:dyDescent="0.25"/>
    <row r="6" spans="3:15" ht="53" thickBot="1" x14ac:dyDescent="0.25">
      <c r="C6" s="59" t="s">
        <v>8</v>
      </c>
      <c r="D6" s="66" t="s">
        <v>58</v>
      </c>
      <c r="E6" s="66" t="s">
        <v>59</v>
      </c>
      <c r="F6" s="66" t="s">
        <v>60</v>
      </c>
      <c r="G6" s="66" t="s">
        <v>61</v>
      </c>
      <c r="H6" s="66" t="s">
        <v>62</v>
      </c>
      <c r="I6" s="66" t="s">
        <v>63</v>
      </c>
      <c r="J6" s="66" t="s">
        <v>64</v>
      </c>
      <c r="K6" s="66" t="s">
        <v>65</v>
      </c>
      <c r="L6" s="66" t="s">
        <v>66</v>
      </c>
      <c r="M6" s="66" t="s">
        <v>67</v>
      </c>
      <c r="N6" s="66" t="s">
        <v>68</v>
      </c>
      <c r="O6" s="67" t="s">
        <v>69</v>
      </c>
    </row>
    <row r="7" spans="3:15" ht="52.5" x14ac:dyDescent="0.2">
      <c r="C7" s="65" t="s">
        <v>25</v>
      </c>
      <c r="D7" s="70">
        <v>0.121</v>
      </c>
      <c r="E7" s="71">
        <v>4.2000000000000003E-2</v>
      </c>
      <c r="F7" s="71">
        <v>3.4000000000000002E-2</v>
      </c>
      <c r="G7" s="72">
        <v>2.58E-2</v>
      </c>
      <c r="H7" s="72">
        <v>0.115</v>
      </c>
      <c r="I7" s="72">
        <v>1.06E-2</v>
      </c>
      <c r="J7" s="72">
        <v>-2E-3</v>
      </c>
      <c r="K7" s="72">
        <v>9.7600000000000006E-2</v>
      </c>
      <c r="L7" s="72">
        <v>0.28610000000000002</v>
      </c>
      <c r="M7" s="73">
        <v>0.9</v>
      </c>
      <c r="N7" s="72">
        <v>0.113</v>
      </c>
      <c r="O7" s="74">
        <v>0.79</v>
      </c>
    </row>
    <row r="8" spans="3:15" ht="31.5" x14ac:dyDescent="0.2">
      <c r="C8" s="65" t="s">
        <v>27</v>
      </c>
      <c r="D8" s="69">
        <v>0.312</v>
      </c>
      <c r="E8" s="56">
        <v>0.107</v>
      </c>
      <c r="F8" s="56">
        <v>8.7999999999999995E-2</v>
      </c>
      <c r="G8" s="57">
        <v>6.3799999999999996E-2</v>
      </c>
      <c r="H8" s="57">
        <v>0.10589999999999999</v>
      </c>
      <c r="I8" s="57">
        <v>4.9299999999999997E-2</v>
      </c>
      <c r="J8" s="57">
        <v>3.32E-2</v>
      </c>
      <c r="K8" s="57">
        <v>7.0000000000000001E-3</v>
      </c>
      <c r="L8" s="57">
        <v>0.76119999999999999</v>
      </c>
      <c r="M8" s="58">
        <v>3</v>
      </c>
      <c r="N8" s="57">
        <v>8.2299999999999998E-2</v>
      </c>
      <c r="O8" s="62">
        <v>0.32</v>
      </c>
    </row>
    <row r="9" spans="3:15" ht="21" x14ac:dyDescent="0.2">
      <c r="C9" s="65" t="s">
        <v>28</v>
      </c>
      <c r="D9" s="69">
        <v>0.24099999999999999</v>
      </c>
      <c r="E9" s="56">
        <v>5.8000000000000003E-2</v>
      </c>
      <c r="F9" s="56">
        <v>0.04</v>
      </c>
      <c r="G9" s="57">
        <v>1.9099999999999999E-2</v>
      </c>
      <c r="H9" s="57">
        <v>6.7299999999999999E-2</v>
      </c>
      <c r="I9" s="57">
        <v>-9.2799999999999994E-2</v>
      </c>
      <c r="J9" s="57">
        <v>-0.1376</v>
      </c>
      <c r="K9" s="57">
        <v>-0.14580000000000001</v>
      </c>
      <c r="L9" s="57">
        <v>0.4209</v>
      </c>
      <c r="M9" s="58">
        <v>1.6</v>
      </c>
      <c r="N9" s="57">
        <v>7.3899999999999993E-2</v>
      </c>
      <c r="O9" s="62">
        <v>0.49</v>
      </c>
    </row>
    <row r="10" spans="3:15" ht="31.5" x14ac:dyDescent="0.2">
      <c r="C10" s="65" t="s">
        <v>29</v>
      </c>
      <c r="D10" s="69">
        <v>0.315</v>
      </c>
      <c r="E10" s="56">
        <v>0.107</v>
      </c>
      <c r="F10" s="56">
        <v>0.08</v>
      </c>
      <c r="G10" s="57">
        <v>5.7000000000000002E-2</v>
      </c>
      <c r="H10" s="57">
        <v>7.6399999999999996E-2</v>
      </c>
      <c r="I10" s="57">
        <v>0.20230000000000001</v>
      </c>
      <c r="J10" s="57">
        <v>0.25359999999999999</v>
      </c>
      <c r="K10" s="57">
        <v>0.2165</v>
      </c>
      <c r="L10" s="57">
        <v>0.53639999999999999</v>
      </c>
      <c r="M10" s="58">
        <v>2</v>
      </c>
      <c r="N10" s="57">
        <v>9.2299999999999993E-2</v>
      </c>
      <c r="O10" s="62">
        <v>0.66</v>
      </c>
    </row>
    <row r="11" spans="3:15" ht="31.5" x14ac:dyDescent="0.2">
      <c r="C11" s="65" t="s">
        <v>30</v>
      </c>
      <c r="D11" s="69">
        <v>0.17799999999999999</v>
      </c>
      <c r="E11" s="56">
        <v>4.9000000000000002E-2</v>
      </c>
      <c r="F11" s="56">
        <v>3.9E-2</v>
      </c>
      <c r="G11" s="57">
        <v>2.6599999999999999E-2</v>
      </c>
      <c r="H11" s="57">
        <v>0.15890000000000001</v>
      </c>
      <c r="I11" s="57">
        <v>0.16170000000000001</v>
      </c>
      <c r="J11" s="57">
        <v>0.1754</v>
      </c>
      <c r="K11" s="57">
        <v>0.20280000000000001</v>
      </c>
      <c r="L11" s="57">
        <v>0.74860000000000004</v>
      </c>
      <c r="M11" s="58">
        <v>2.4</v>
      </c>
      <c r="N11" s="57">
        <v>7.5200000000000003E-2</v>
      </c>
      <c r="O11" s="62">
        <v>0.48</v>
      </c>
    </row>
    <row r="12" spans="3:15" ht="21" x14ac:dyDescent="0.2">
      <c r="C12" s="65" t="s">
        <v>31</v>
      </c>
      <c r="D12" s="69">
        <v>0.28000000000000003</v>
      </c>
      <c r="E12" s="56">
        <v>5.8000000000000003E-2</v>
      </c>
      <c r="F12" s="56">
        <v>5.0000000000000001E-3</v>
      </c>
      <c r="G12" s="57">
        <v>3.5099999999999999E-2</v>
      </c>
      <c r="H12" s="57">
        <v>0.17649999999999999</v>
      </c>
      <c r="I12" s="57">
        <v>0.16889999999999999</v>
      </c>
      <c r="J12" s="57">
        <v>-0.56730000000000003</v>
      </c>
      <c r="K12" s="57">
        <v>-0.34470000000000001</v>
      </c>
      <c r="L12" s="57">
        <v>0.44900000000000001</v>
      </c>
      <c r="M12" s="58">
        <v>6.5</v>
      </c>
      <c r="N12" s="57">
        <v>-0.37609999999999999</v>
      </c>
      <c r="O12" s="62">
        <v>0.5</v>
      </c>
    </row>
    <row r="13" spans="3:15" ht="32" thickBot="1" x14ac:dyDescent="0.25">
      <c r="C13" s="65" t="s">
        <v>32</v>
      </c>
      <c r="D13" s="75">
        <v>0.246</v>
      </c>
      <c r="E13" s="76">
        <v>6.0999999999999999E-2</v>
      </c>
      <c r="F13" s="76">
        <v>3.5999999999999997E-2</v>
      </c>
      <c r="G13" s="77">
        <v>2.5499999999999998E-2</v>
      </c>
      <c r="H13" s="77">
        <v>2.9399999999999999E-2</v>
      </c>
      <c r="I13" s="77">
        <v>-0.43099999999999999</v>
      </c>
      <c r="J13" s="77">
        <v>-0.56299999999999994</v>
      </c>
      <c r="K13" s="77">
        <v>-0.5998</v>
      </c>
      <c r="L13" s="77">
        <v>0.63039999999999996</v>
      </c>
      <c r="M13" s="78">
        <v>2.7</v>
      </c>
      <c r="N13" s="77">
        <v>-4.9299999999999997E-2</v>
      </c>
      <c r="O13" s="79">
        <v>1.02</v>
      </c>
    </row>
    <row r="14" spans="3:15" x14ac:dyDescent="0.2">
      <c r="C14" s="50"/>
      <c r="D14" s="55"/>
      <c r="E14" s="55"/>
      <c r="F14" s="55"/>
      <c r="G14" s="55"/>
      <c r="H14" s="55"/>
      <c r="I14" s="55"/>
      <c r="J14" s="55"/>
      <c r="K14" s="55"/>
      <c r="L14" s="55"/>
      <c r="M14" s="55"/>
      <c r="N14" s="55"/>
      <c r="O14" s="68"/>
    </row>
    <row r="15" spans="3:15" x14ac:dyDescent="0.2">
      <c r="C15" s="50"/>
      <c r="D15" s="49"/>
      <c r="E15" s="49"/>
      <c r="F15" s="49"/>
      <c r="G15" s="49"/>
      <c r="H15" s="49"/>
      <c r="I15" s="49"/>
      <c r="J15" s="49"/>
      <c r="K15" s="49"/>
      <c r="L15" s="49"/>
      <c r="M15" s="49"/>
      <c r="N15" s="49"/>
      <c r="O15" s="63"/>
    </row>
    <row r="16" spans="3:15" x14ac:dyDescent="0.2">
      <c r="C16" s="50"/>
      <c r="D16" s="49"/>
      <c r="E16" s="49"/>
      <c r="F16" s="49"/>
      <c r="G16" s="49"/>
      <c r="H16" s="49"/>
      <c r="I16" s="49"/>
      <c r="J16" s="49"/>
      <c r="K16" s="49"/>
      <c r="L16" s="49"/>
      <c r="M16" s="49"/>
      <c r="N16" s="49"/>
      <c r="O16" s="63"/>
    </row>
    <row r="17" spans="3:15" ht="10.5" thickBot="1" x14ac:dyDescent="0.25">
      <c r="C17" s="60"/>
      <c r="D17" s="61"/>
      <c r="E17" s="61"/>
      <c r="F17" s="61"/>
      <c r="G17" s="61"/>
      <c r="H17" s="61"/>
      <c r="I17" s="61"/>
      <c r="J17" s="61"/>
      <c r="K17" s="61"/>
      <c r="L17" s="61"/>
      <c r="M17" s="61"/>
      <c r="N17" s="61"/>
      <c r="O17" s="64"/>
    </row>
    <row r="27" spans="3:15" ht="10.5" thickBot="1" x14ac:dyDescent="0.25"/>
    <row r="28" spans="3:15" ht="10.5" thickBot="1" x14ac:dyDescent="0.25">
      <c r="C28" s="53" t="s">
        <v>169</v>
      </c>
      <c r="D28" s="51">
        <f>AVERAGE(D29:O29)</f>
        <v>0.2722222222222222</v>
      </c>
    </row>
    <row r="29" spans="3:15" ht="10.5" thickBot="1" x14ac:dyDescent="0.25">
      <c r="C29" s="54" t="s">
        <v>170</v>
      </c>
      <c r="D29" s="52">
        <f>IFERROR(INDEX(C31:C51,MATCH(D13,D31:D51)),"NA")</f>
        <v>0.4</v>
      </c>
      <c r="E29" s="47">
        <f>IFERROR(INDEX(C31:C51,MATCH(E13,E31:E51)),"NA")</f>
        <v>0.6</v>
      </c>
      <c r="F29" s="47">
        <f>IFERROR(INDEX(C31:C51,MATCH(F13,F31:F51)),"NA")</f>
        <v>0.25</v>
      </c>
      <c r="G29" s="47">
        <f>IFERROR(INDEX(C31:C51,MATCH(G13,G31:G51)),"NA")</f>
        <v>0.15</v>
      </c>
      <c r="H29" s="47" t="str">
        <f>IFERROR(INDEX(C31:C51,MATCH(H13,H31:H51)),"NA")</f>
        <v>NA</v>
      </c>
      <c r="I29" s="47" t="str">
        <f>IFERROR(INDEX(C31:C51,MATCH(I13,I31:I51)),"NA")</f>
        <v>NA</v>
      </c>
      <c r="J29" s="47">
        <f>IFERROR(INDEX(C31:C51,MATCH(J13,J31:J51)),"NA")</f>
        <v>0</v>
      </c>
      <c r="K29" s="47" t="str">
        <f>IFERROR(INDEX(C31:C51,MATCH(K13,K31:K51)),"NA")</f>
        <v>NA</v>
      </c>
      <c r="L29" s="47">
        <f>IFERROR(INDEX(C31:C51,MATCH(L13,L31:L51)),"NA")</f>
        <v>0.65</v>
      </c>
      <c r="M29" s="47">
        <f>IFERROR((1-INDEX(C31:C51,MATCH(M13,M31:M51))),"NA")</f>
        <v>0.30000000000000004</v>
      </c>
      <c r="N29" s="47">
        <f>IFERROR(INDEX(C31:C51,MATCH(N13,N31:N51)),"NA")</f>
        <v>0.1</v>
      </c>
      <c r="O29" s="48">
        <f>IFERROR((1-INDEX(C31:C51,MATCH(O13,O31:O51))),"NA")</f>
        <v>0</v>
      </c>
    </row>
    <row r="30" spans="3:15" ht="10.5" thickBot="1" x14ac:dyDescent="0.25">
      <c r="C30" s="43" t="s">
        <v>171</v>
      </c>
    </row>
    <row r="31" spans="3:15" x14ac:dyDescent="0.2">
      <c r="C31" s="45">
        <v>0</v>
      </c>
      <c r="D31" s="80">
        <f>PERCENTILE(D7:D12,C31)</f>
        <v>0.121</v>
      </c>
      <c r="E31" s="80">
        <f>PERCENTILE(E7:E12,C31)</f>
        <v>4.2000000000000003E-2</v>
      </c>
      <c r="F31" s="80">
        <f>PERCENTILE(F7:F12,C31)</f>
        <v>5.0000000000000001E-3</v>
      </c>
      <c r="G31" s="80">
        <f>PERCENTILE(G7:G12,C31)</f>
        <v>1.9099999999999999E-2</v>
      </c>
      <c r="H31" s="80">
        <f>PERCENTILE(H7:H12,C31)</f>
        <v>6.7299999999999999E-2</v>
      </c>
      <c r="I31" s="80">
        <f>PERCENTILE(I7:I12,C31)</f>
        <v>-9.2799999999999994E-2</v>
      </c>
      <c r="J31" s="80">
        <f>PERCENTILE(J7:J12,C31)</f>
        <v>-0.56730000000000003</v>
      </c>
      <c r="K31" s="80">
        <f>PERCENTILE(K7:K12,C31)</f>
        <v>-0.34470000000000001</v>
      </c>
      <c r="L31" s="80">
        <f>PERCENTILE(L7:L12,C31)</f>
        <v>0.28610000000000002</v>
      </c>
      <c r="M31" s="83">
        <f>PERCENTILE(M7:M12,C31)</f>
        <v>0.9</v>
      </c>
      <c r="N31" s="80">
        <f>PERCENTILE(N7:N12,C31)</f>
        <v>-0.37609999999999999</v>
      </c>
      <c r="O31" s="86">
        <f>PERCENTILE(O7:O12,C31)</f>
        <v>0.32</v>
      </c>
    </row>
    <row r="32" spans="3:15" x14ac:dyDescent="0.2">
      <c r="C32" s="44">
        <v>0.05</v>
      </c>
      <c r="D32" s="81">
        <f>PERCENTILE(D7:D12,C32)</f>
        <v>0.13524999999999998</v>
      </c>
      <c r="E32" s="81">
        <f>PERCENTILE(E7:E12,C32)</f>
        <v>4.3750000000000004E-2</v>
      </c>
      <c r="F32" s="81">
        <f>PERCENTILE(F7:F12,C32)</f>
        <v>1.225E-2</v>
      </c>
      <c r="G32" s="81">
        <f>PERCENTILE(G7:G12,C32)</f>
        <v>2.0774999999999998E-2</v>
      </c>
      <c r="H32" s="81">
        <f>PERCENTILE(H7:H12,C32)</f>
        <v>6.9574999999999998E-2</v>
      </c>
      <c r="I32" s="81">
        <f>PERCENTILE(I7:I12,C32)</f>
        <v>-6.6949999999999996E-2</v>
      </c>
      <c r="J32" s="81">
        <f>PERCENTILE(J7:J12,C32)</f>
        <v>-0.45987500000000003</v>
      </c>
      <c r="K32" s="81">
        <f>PERCENTILE(K7:K12,C32)</f>
        <v>-0.29497499999999999</v>
      </c>
      <c r="L32" s="81">
        <f>PERCENTILE(L7:L12,C32)</f>
        <v>0.31980000000000003</v>
      </c>
      <c r="M32" s="84">
        <f>PERCENTILE(M7:M12,C32)</f>
        <v>1.075</v>
      </c>
      <c r="N32" s="81">
        <f>PERCENTILE(N7:N12,C32)</f>
        <v>-0.2636</v>
      </c>
      <c r="O32" s="87">
        <f>PERCENTILE(O7:O12,C32)</f>
        <v>0.36</v>
      </c>
    </row>
    <row r="33" spans="3:15" x14ac:dyDescent="0.2">
      <c r="C33" s="44">
        <v>0.1</v>
      </c>
      <c r="D33" s="81">
        <f>PERCENTILE(D7:D12,C33)</f>
        <v>0.14949999999999999</v>
      </c>
      <c r="E33" s="81">
        <f>PERCENTILE(E7:E12,C33)</f>
        <v>4.5499999999999999E-2</v>
      </c>
      <c r="F33" s="81">
        <f>PERCENTILE(F7:F12,C33)</f>
        <v>1.95E-2</v>
      </c>
      <c r="G33" s="81">
        <f>PERCENTILE(G7:G12,C33)</f>
        <v>2.2449999999999998E-2</v>
      </c>
      <c r="H33" s="81">
        <f>PERCENTILE(H7:H12,C33)</f>
        <v>7.1849999999999997E-2</v>
      </c>
      <c r="I33" s="81">
        <f>PERCENTILE(I7:I12,C33)</f>
        <v>-4.1099999999999998E-2</v>
      </c>
      <c r="J33" s="81">
        <f>PERCENTILE(J7:J12,C33)</f>
        <v>-0.35245000000000004</v>
      </c>
      <c r="K33" s="81">
        <f>PERCENTILE(K7:K12,C33)</f>
        <v>-0.24525000000000002</v>
      </c>
      <c r="L33" s="81">
        <f>PERCENTILE(L7:L12,C33)</f>
        <v>0.35350000000000004</v>
      </c>
      <c r="M33" s="84">
        <f>PERCENTILE(M7:M12,C33)</f>
        <v>1.25</v>
      </c>
      <c r="N33" s="81">
        <f>PERCENTILE(N7:N12,C33)</f>
        <v>-0.15110000000000001</v>
      </c>
      <c r="O33" s="87">
        <f>PERCENTILE(O7:O12,C33)</f>
        <v>0.4</v>
      </c>
    </row>
    <row r="34" spans="3:15" x14ac:dyDescent="0.2">
      <c r="C34" s="44">
        <v>0.15</v>
      </c>
      <c r="D34" s="81">
        <f>PERCENTILE(D7:D12,C34)</f>
        <v>0.16375000000000001</v>
      </c>
      <c r="E34" s="81">
        <f>PERCENTILE(E7:E12,C34)</f>
        <v>4.725E-2</v>
      </c>
      <c r="F34" s="81">
        <f>PERCENTILE(F7:F12,C34)</f>
        <v>2.6750000000000003E-2</v>
      </c>
      <c r="G34" s="81">
        <f>PERCENTILE(G7:G12,C34)</f>
        <v>2.4125000000000001E-2</v>
      </c>
      <c r="H34" s="81">
        <f>PERCENTILE(H7:H12,C34)</f>
        <v>7.4124999999999996E-2</v>
      </c>
      <c r="I34" s="81">
        <f>PERCENTILE(I7:I12,C34)</f>
        <v>-1.525E-2</v>
      </c>
      <c r="J34" s="81">
        <f>PERCENTILE(J7:J12,C34)</f>
        <v>-0.24502499999999999</v>
      </c>
      <c r="K34" s="81">
        <f>PERCENTILE(K7:K12,C34)</f>
        <v>-0.195525</v>
      </c>
      <c r="L34" s="81">
        <f>PERCENTILE(L7:L12,C34)</f>
        <v>0.38719999999999999</v>
      </c>
      <c r="M34" s="84">
        <f>PERCENTILE(M7:M12,C34)</f>
        <v>1.425</v>
      </c>
      <c r="N34" s="81">
        <f>PERCENTILE(N7:N12,C34)</f>
        <v>-3.8600000000000023E-2</v>
      </c>
      <c r="O34" s="87">
        <f>PERCENTILE(O7:O12,C34)</f>
        <v>0.44</v>
      </c>
    </row>
    <row r="35" spans="3:15" x14ac:dyDescent="0.2">
      <c r="C35" s="44">
        <v>0.2</v>
      </c>
      <c r="D35" s="81">
        <f>PERCENTILE(D7:D12,C35)</f>
        <v>0.17799999999999999</v>
      </c>
      <c r="E35" s="81">
        <f>PERCENTILE(E7:E12,C35)</f>
        <v>4.9000000000000002E-2</v>
      </c>
      <c r="F35" s="81">
        <f>PERCENTILE(F7:F12,C35)</f>
        <v>3.4000000000000002E-2</v>
      </c>
      <c r="G35" s="81">
        <f>PERCENTILE(G7:G12,C35)</f>
        <v>2.58E-2</v>
      </c>
      <c r="H35" s="81">
        <f>PERCENTILE(H7:H12,C35)</f>
        <v>7.6399999999999996E-2</v>
      </c>
      <c r="I35" s="81">
        <f>PERCENTILE(I7:I12,C35)</f>
        <v>1.06E-2</v>
      </c>
      <c r="J35" s="81">
        <f>PERCENTILE(J7:J12,C35)</f>
        <v>-0.1376</v>
      </c>
      <c r="K35" s="81">
        <f>PERCENTILE(K7:K12,C35)</f>
        <v>-0.14580000000000001</v>
      </c>
      <c r="L35" s="81">
        <f>PERCENTILE(L7:L12,C35)</f>
        <v>0.4209</v>
      </c>
      <c r="M35" s="84">
        <f>PERCENTILE(M7:M12,C35)</f>
        <v>1.6</v>
      </c>
      <c r="N35" s="81">
        <f>PERCENTILE(N7:N12,C35)</f>
        <v>7.3899999999999993E-2</v>
      </c>
      <c r="O35" s="87">
        <f>PERCENTILE(O7:O12,C35)</f>
        <v>0.48</v>
      </c>
    </row>
    <row r="36" spans="3:15" x14ac:dyDescent="0.2">
      <c r="C36" s="44">
        <v>0.25</v>
      </c>
      <c r="D36" s="81">
        <f>PERCENTILE(D7:D12,C36)</f>
        <v>0.19374999999999998</v>
      </c>
      <c r="E36" s="81">
        <f>PERCENTILE(E7:E12,C36)</f>
        <v>5.1250000000000004E-2</v>
      </c>
      <c r="F36" s="81">
        <f>PERCENTILE(F7:F12,C36)</f>
        <v>3.5250000000000004E-2</v>
      </c>
      <c r="G36" s="81">
        <f>PERCENTILE(G7:G12,C36)</f>
        <v>2.5999999999999999E-2</v>
      </c>
      <c r="H36" s="81">
        <f>PERCENTILE(H7:H12,C36)</f>
        <v>8.3774999999999988E-2</v>
      </c>
      <c r="I36" s="81">
        <f>PERCENTILE(I7:I12,C36)</f>
        <v>2.0275000000000001E-2</v>
      </c>
      <c r="J36" s="81">
        <f>PERCENTILE(J7:J12,C36)</f>
        <v>-0.1037</v>
      </c>
      <c r="K36" s="81">
        <f>PERCENTILE(K7:K12,C36)</f>
        <v>-0.1076</v>
      </c>
      <c r="L36" s="81">
        <f>PERCENTILE(L7:L12,C36)</f>
        <v>0.427925</v>
      </c>
      <c r="M36" s="84">
        <f>PERCENTILE(M7:M12,C36)</f>
        <v>1.7000000000000002</v>
      </c>
      <c r="N36" s="81">
        <f>PERCENTILE(N7:N12,C36)</f>
        <v>7.4224999999999999E-2</v>
      </c>
      <c r="O36" s="87">
        <f>PERCENTILE(O7:O12,C36)</f>
        <v>0.48249999999999998</v>
      </c>
    </row>
    <row r="37" spans="3:15" x14ac:dyDescent="0.2">
      <c r="C37" s="44">
        <v>0.3</v>
      </c>
      <c r="D37" s="81">
        <f>PERCENTILE(D7:D12,C37)</f>
        <v>0.20949999999999999</v>
      </c>
      <c r="E37" s="81">
        <f>PERCENTILE(E7:E12,C37)</f>
        <v>5.3500000000000006E-2</v>
      </c>
      <c r="F37" s="81">
        <f>PERCENTILE(F7:F12,C37)</f>
        <v>3.6500000000000005E-2</v>
      </c>
      <c r="G37" s="81">
        <f>PERCENTILE(G7:G12,C37)</f>
        <v>2.6200000000000001E-2</v>
      </c>
      <c r="H37" s="81">
        <f>PERCENTILE(H7:H12,C37)</f>
        <v>9.1149999999999995E-2</v>
      </c>
      <c r="I37" s="81">
        <f>PERCENTILE(I7:I12,C37)</f>
        <v>2.9949999999999997E-2</v>
      </c>
      <c r="J37" s="81">
        <f>PERCENTILE(J7:J12,C37)</f>
        <v>-6.9800000000000001E-2</v>
      </c>
      <c r="K37" s="81">
        <f>PERCENTILE(K7:K12,C37)</f>
        <v>-6.9400000000000003E-2</v>
      </c>
      <c r="L37" s="81">
        <f>PERCENTILE(L7:L12,C37)</f>
        <v>0.43495</v>
      </c>
      <c r="M37" s="84">
        <f>PERCENTILE(M7:M12,C37)</f>
        <v>1.8</v>
      </c>
      <c r="N37" s="81">
        <f>PERCENTILE(N7:N12,C37)</f>
        <v>7.4550000000000005E-2</v>
      </c>
      <c r="O37" s="87">
        <f>PERCENTILE(O7:O12,C37)</f>
        <v>0.48499999999999999</v>
      </c>
    </row>
    <row r="38" spans="3:15" x14ac:dyDescent="0.2">
      <c r="C38" s="44">
        <v>0.35</v>
      </c>
      <c r="D38" s="81">
        <f>PERCENTILE(D7:D12,C38)</f>
        <v>0.22525000000000001</v>
      </c>
      <c r="E38" s="81">
        <f>PERCENTILE(E7:E12,C38)</f>
        <v>5.5750000000000001E-2</v>
      </c>
      <c r="F38" s="81">
        <f>PERCENTILE(F7:F12,C38)</f>
        <v>3.7749999999999999E-2</v>
      </c>
      <c r="G38" s="81">
        <f>PERCENTILE(G7:G12,C38)</f>
        <v>2.64E-2</v>
      </c>
      <c r="H38" s="81">
        <f>PERCENTILE(H7:H12,C38)</f>
        <v>9.8525000000000001E-2</v>
      </c>
      <c r="I38" s="81">
        <f>PERCENTILE(I7:I12,C38)</f>
        <v>3.9625E-2</v>
      </c>
      <c r="J38" s="81">
        <f>PERCENTILE(J7:J12,C38)</f>
        <v>-3.5900000000000001E-2</v>
      </c>
      <c r="K38" s="81">
        <f>PERCENTILE(K7:K12,C38)</f>
        <v>-3.1200000000000006E-2</v>
      </c>
      <c r="L38" s="81">
        <f>PERCENTILE(L7:L12,C38)</f>
        <v>0.44197500000000001</v>
      </c>
      <c r="M38" s="84">
        <f>PERCENTILE(M7:M12,C38)</f>
        <v>1.9</v>
      </c>
      <c r="N38" s="81">
        <f>PERCENTILE(N7:N12,C38)</f>
        <v>7.4874999999999997E-2</v>
      </c>
      <c r="O38" s="87">
        <f>PERCENTILE(O7:O12,C38)</f>
        <v>0.48749999999999999</v>
      </c>
    </row>
    <row r="39" spans="3:15" x14ac:dyDescent="0.2">
      <c r="C39" s="44">
        <v>0.4</v>
      </c>
      <c r="D39" s="81">
        <f>PERCENTILE(D7:D12,C39)</f>
        <v>0.24099999999999999</v>
      </c>
      <c r="E39" s="81">
        <f>PERCENTILE(E7:E12,C39)</f>
        <v>5.8000000000000003E-2</v>
      </c>
      <c r="F39" s="81">
        <f>PERCENTILE(F7:F12,C39)</f>
        <v>3.9E-2</v>
      </c>
      <c r="G39" s="81">
        <f>PERCENTILE(G7:G12,C39)</f>
        <v>2.6599999999999999E-2</v>
      </c>
      <c r="H39" s="81">
        <f>PERCENTILE(H7:H12,C39)</f>
        <v>0.10589999999999999</v>
      </c>
      <c r="I39" s="81">
        <f>PERCENTILE(I7:I12,C39)</f>
        <v>4.9299999999999997E-2</v>
      </c>
      <c r="J39" s="81">
        <f>PERCENTILE(J7:J12,C39)</f>
        <v>-2E-3</v>
      </c>
      <c r="K39" s="81">
        <f>PERCENTILE(K7:K12,C39)</f>
        <v>7.0000000000000001E-3</v>
      </c>
      <c r="L39" s="81">
        <f>PERCENTILE(L7:L12,C39)</f>
        <v>0.44900000000000001</v>
      </c>
      <c r="M39" s="84">
        <f>PERCENTILE(M7:M12,C39)</f>
        <v>2</v>
      </c>
      <c r="N39" s="81">
        <f>PERCENTILE(N7:N12,C39)</f>
        <v>7.5200000000000003E-2</v>
      </c>
      <c r="O39" s="87">
        <f>PERCENTILE(O7:O12,C39)</f>
        <v>0.49</v>
      </c>
    </row>
    <row r="40" spans="3:15" x14ac:dyDescent="0.2">
      <c r="C40" s="44">
        <v>0.45</v>
      </c>
      <c r="D40" s="81">
        <f>PERCENTILE(D7:D12,C40)</f>
        <v>0.25075000000000003</v>
      </c>
      <c r="E40" s="81">
        <f>PERCENTILE(E7:E12,C40)</f>
        <v>5.8000000000000003E-2</v>
      </c>
      <c r="F40" s="81">
        <f>PERCENTILE(F7:F12,C40)</f>
        <v>3.925E-2</v>
      </c>
      <c r="G40" s="81">
        <f>PERCENTILE(G7:G12,C40)</f>
        <v>2.8725000000000001E-2</v>
      </c>
      <c r="H40" s="81">
        <f>PERCENTILE(H7:H12,C40)</f>
        <v>0.10817499999999999</v>
      </c>
      <c r="I40" s="81">
        <f>PERCENTILE(I7:I12,C40)</f>
        <v>7.7399999999999997E-2</v>
      </c>
      <c r="J40" s="81">
        <f>PERCENTILE(J7:J12,C40)</f>
        <v>6.8000000000000005E-3</v>
      </c>
      <c r="K40" s="81">
        <f>PERCENTILE(K7:K12,C40)</f>
        <v>2.9649999999999999E-2</v>
      </c>
      <c r="L40" s="81">
        <f>PERCENTILE(L7:L12,C40)</f>
        <v>0.47084999999999999</v>
      </c>
      <c r="M40" s="84">
        <f>PERCENTILE(M7:M12,C40)</f>
        <v>2.1</v>
      </c>
      <c r="N40" s="81">
        <f>PERCENTILE(N7:N12,C40)</f>
        <v>7.6975000000000002E-2</v>
      </c>
      <c r="O40" s="87">
        <f>PERCENTILE(O7:O12,C40)</f>
        <v>0.49249999999999999</v>
      </c>
    </row>
    <row r="41" spans="3:15" x14ac:dyDescent="0.2">
      <c r="C41" s="44">
        <v>0.5</v>
      </c>
      <c r="D41" s="81">
        <f>PERCENTILE(D7:D12,C41)</f>
        <v>0.26050000000000001</v>
      </c>
      <c r="E41" s="81">
        <f>PERCENTILE(E7:E12,C41)</f>
        <v>5.8000000000000003E-2</v>
      </c>
      <c r="F41" s="81">
        <f>PERCENTILE(F7:F12,C41)</f>
        <v>3.95E-2</v>
      </c>
      <c r="G41" s="81">
        <f>PERCENTILE(G7:G12,C41)</f>
        <v>3.0849999999999999E-2</v>
      </c>
      <c r="H41" s="81">
        <f>PERCENTILE(H7:H12,C41)</f>
        <v>0.11044999999999999</v>
      </c>
      <c r="I41" s="81">
        <f>PERCENTILE(I7:I12,C41)</f>
        <v>0.10550000000000001</v>
      </c>
      <c r="J41" s="81">
        <f>PERCENTILE(J7:J12,C41)</f>
        <v>1.5600000000000001E-2</v>
      </c>
      <c r="K41" s="81">
        <f>PERCENTILE(K7:K12,C41)</f>
        <v>5.2299999999999999E-2</v>
      </c>
      <c r="L41" s="81">
        <f>PERCENTILE(L7:L12,C41)</f>
        <v>0.49270000000000003</v>
      </c>
      <c r="M41" s="84">
        <f>PERCENTILE(M7:M12,C41)</f>
        <v>2.2000000000000002</v>
      </c>
      <c r="N41" s="81">
        <f>PERCENTILE(N7:N12,C41)</f>
        <v>7.8750000000000001E-2</v>
      </c>
      <c r="O41" s="87">
        <f>PERCENTILE(O7:O12,C41)</f>
        <v>0.495</v>
      </c>
    </row>
    <row r="42" spans="3:15" x14ac:dyDescent="0.2">
      <c r="C42" s="44">
        <v>0.55000000000000004</v>
      </c>
      <c r="D42" s="81">
        <f>PERCENTILE(D7:D12,C42)</f>
        <v>0.27024999999999999</v>
      </c>
      <c r="E42" s="81">
        <f>PERCENTILE(E7:E12,C42)</f>
        <v>5.8000000000000003E-2</v>
      </c>
      <c r="F42" s="81">
        <f>PERCENTILE(F7:F12,C42)</f>
        <v>3.9750000000000001E-2</v>
      </c>
      <c r="G42" s="81">
        <f>PERCENTILE(G7:G12,C42)</f>
        <v>3.2974999999999997E-2</v>
      </c>
      <c r="H42" s="81">
        <f>PERCENTILE(H7:H12,C42)</f>
        <v>0.11272500000000001</v>
      </c>
      <c r="I42" s="81">
        <f>PERCENTILE(I7:I12,C42)</f>
        <v>0.1336</v>
      </c>
      <c r="J42" s="81">
        <f>PERCENTILE(J7:J12,C42)</f>
        <v>2.4399999999999998E-2</v>
      </c>
      <c r="K42" s="81">
        <f>PERCENTILE(K7:K12,C42)</f>
        <v>7.4950000000000003E-2</v>
      </c>
      <c r="L42" s="81">
        <f>PERCENTILE(L7:L12,C42)</f>
        <v>0.51454999999999995</v>
      </c>
      <c r="M42" s="84">
        <f>PERCENTILE(M7:M12,C42)</f>
        <v>2.2999999999999998</v>
      </c>
      <c r="N42" s="81">
        <f>PERCENTILE(N7:N12,C42)</f>
        <v>8.0524999999999999E-2</v>
      </c>
      <c r="O42" s="87">
        <f>PERCENTILE(O7:O12,C42)</f>
        <v>0.4975</v>
      </c>
    </row>
    <row r="43" spans="3:15" x14ac:dyDescent="0.2">
      <c r="C43" s="44">
        <v>0.6</v>
      </c>
      <c r="D43" s="81">
        <f>PERCENTILE(D7:D12,C43)</f>
        <v>0.28000000000000003</v>
      </c>
      <c r="E43" s="81">
        <f>PERCENTILE(E7:E12,C43)</f>
        <v>5.8000000000000003E-2</v>
      </c>
      <c r="F43" s="81">
        <f>PERCENTILE(F7:F12,C43)</f>
        <v>0.04</v>
      </c>
      <c r="G43" s="81">
        <f>PERCENTILE(G7:G12,C43)</f>
        <v>3.5099999999999999E-2</v>
      </c>
      <c r="H43" s="81">
        <f>PERCENTILE(H7:H12,C43)</f>
        <v>0.115</v>
      </c>
      <c r="I43" s="81">
        <f>PERCENTILE(I7:I12,C43)</f>
        <v>0.16170000000000001</v>
      </c>
      <c r="J43" s="81">
        <f>PERCENTILE(J7:J12,C43)</f>
        <v>3.32E-2</v>
      </c>
      <c r="K43" s="81">
        <f>PERCENTILE(K7:K12,C43)</f>
        <v>9.7600000000000006E-2</v>
      </c>
      <c r="L43" s="81">
        <f>PERCENTILE(L7:L12,C43)</f>
        <v>0.53639999999999999</v>
      </c>
      <c r="M43" s="84">
        <f>PERCENTILE(M7:M12,C43)</f>
        <v>2.4</v>
      </c>
      <c r="N43" s="81">
        <f>PERCENTILE(N7:N12,C43)</f>
        <v>8.2299999999999998E-2</v>
      </c>
      <c r="O43" s="87">
        <f>PERCENTILE(O7:O12,C43)</f>
        <v>0.5</v>
      </c>
    </row>
    <row r="44" spans="3:15" x14ac:dyDescent="0.2">
      <c r="C44" s="44">
        <v>0.65</v>
      </c>
      <c r="D44" s="81">
        <f>PERCENTILE(D7:D12,C44)</f>
        <v>0.28800000000000003</v>
      </c>
      <c r="E44" s="81">
        <f>PERCENTILE(E7:E12,C44)</f>
        <v>7.0250000000000007E-2</v>
      </c>
      <c r="F44" s="81">
        <f>PERCENTILE(F7:F12,C44)</f>
        <v>0.05</v>
      </c>
      <c r="G44" s="81">
        <f>PERCENTILE(G7:G12,C44)</f>
        <v>4.0575E-2</v>
      </c>
      <c r="H44" s="81">
        <f>PERCENTILE(H7:H12,C44)</f>
        <v>0.125975</v>
      </c>
      <c r="I44" s="81">
        <f>PERCENTILE(I7:I12,C44)</f>
        <v>0.16350000000000001</v>
      </c>
      <c r="J44" s="81">
        <f>PERCENTILE(J7:J12,C44)</f>
        <v>6.8750000000000006E-2</v>
      </c>
      <c r="K44" s="81">
        <f>PERCENTILE(K7:K12,C44)</f>
        <v>0.12390000000000001</v>
      </c>
      <c r="L44" s="81">
        <f>PERCENTILE(L7:L12,C44)</f>
        <v>0.58945000000000003</v>
      </c>
      <c r="M44" s="84">
        <f>PERCENTILE(M7:M12,C44)</f>
        <v>2.5499999999999998</v>
      </c>
      <c r="N44" s="81">
        <f>PERCENTILE(N7:N12,C44)</f>
        <v>8.48E-2</v>
      </c>
      <c r="O44" s="87">
        <f>PERCENTILE(O7:O12,C44)</f>
        <v>0.54</v>
      </c>
    </row>
    <row r="45" spans="3:15" x14ac:dyDescent="0.2">
      <c r="C45" s="44">
        <v>0.7</v>
      </c>
      <c r="D45" s="81">
        <f>PERCENTILE(D7:D12,C45)</f>
        <v>0.29600000000000004</v>
      </c>
      <c r="E45" s="81">
        <f>PERCENTILE(E7:E12,C45)</f>
        <v>8.2500000000000004E-2</v>
      </c>
      <c r="F45" s="81">
        <f>PERCENTILE(F7:F12,C45)</f>
        <v>0.06</v>
      </c>
      <c r="G45" s="81">
        <f>PERCENTILE(G7:G12,C45)</f>
        <v>4.6050000000000001E-2</v>
      </c>
      <c r="H45" s="81">
        <f>PERCENTILE(H7:H12,C45)</f>
        <v>0.13695000000000002</v>
      </c>
      <c r="I45" s="81">
        <f>PERCENTILE(I7:I12,C45)</f>
        <v>0.1653</v>
      </c>
      <c r="J45" s="81">
        <f>PERCENTILE(J7:J12,C45)</f>
        <v>0.1043</v>
      </c>
      <c r="K45" s="81">
        <f>PERCENTILE(K7:K12,C45)</f>
        <v>0.1502</v>
      </c>
      <c r="L45" s="81">
        <f>PERCENTILE(L7:L12,C45)</f>
        <v>0.64250000000000007</v>
      </c>
      <c r="M45" s="84">
        <f>PERCENTILE(M7:M12,C45)</f>
        <v>2.7</v>
      </c>
      <c r="N45" s="81">
        <f>PERCENTILE(N7:N12,C45)</f>
        <v>8.7299999999999989E-2</v>
      </c>
      <c r="O45" s="87">
        <f>PERCENTILE(O7:O12,C45)</f>
        <v>0.58000000000000007</v>
      </c>
    </row>
    <row r="46" spans="3:15" x14ac:dyDescent="0.2">
      <c r="C46" s="44">
        <v>0.75</v>
      </c>
      <c r="D46" s="81">
        <f>PERCENTILE(D7:D12,C46)</f>
        <v>0.30399999999999999</v>
      </c>
      <c r="E46" s="81">
        <f>PERCENTILE(E7:E12,C46)</f>
        <v>9.4750000000000001E-2</v>
      </c>
      <c r="F46" s="81">
        <f>PERCENTILE(F7:F12,C46)</f>
        <v>7.0000000000000007E-2</v>
      </c>
      <c r="G46" s="81">
        <f>PERCENTILE(G7:G12,C46)</f>
        <v>5.1525000000000001E-2</v>
      </c>
      <c r="H46" s="81">
        <f>PERCENTILE(H7:H12,C46)</f>
        <v>0.14792500000000003</v>
      </c>
      <c r="I46" s="81">
        <f>PERCENTILE(I7:I12,C46)</f>
        <v>0.1671</v>
      </c>
      <c r="J46" s="81">
        <f>PERCENTILE(J7:J12,C46)</f>
        <v>0.13985</v>
      </c>
      <c r="K46" s="81">
        <f>PERCENTILE(K7:K12,C46)</f>
        <v>0.17649999999999999</v>
      </c>
      <c r="L46" s="81">
        <f>PERCENTILE(L7:L12,C46)</f>
        <v>0.69555</v>
      </c>
      <c r="M46" s="84">
        <f>PERCENTILE(M7:M12,C46)</f>
        <v>2.85</v>
      </c>
      <c r="N46" s="81">
        <f>PERCENTILE(N7:N12,C46)</f>
        <v>8.9799999999999991E-2</v>
      </c>
      <c r="O46" s="87">
        <f>PERCENTILE(O7:O12,C46)</f>
        <v>0.62</v>
      </c>
    </row>
    <row r="47" spans="3:15" x14ac:dyDescent="0.2">
      <c r="C47" s="44">
        <v>0.8</v>
      </c>
      <c r="D47" s="81">
        <f>PERCENTILE(D7:D12,C47)</f>
        <v>0.312</v>
      </c>
      <c r="E47" s="81">
        <f>PERCENTILE(E7:E12,C47)</f>
        <v>0.107</v>
      </c>
      <c r="F47" s="81">
        <f>PERCENTILE(F7:F12,C47)</f>
        <v>0.08</v>
      </c>
      <c r="G47" s="81">
        <f>PERCENTILE(G7:G12,C47)</f>
        <v>5.7000000000000002E-2</v>
      </c>
      <c r="H47" s="81">
        <f>PERCENTILE(H7:H12,C47)</f>
        <v>0.15890000000000001</v>
      </c>
      <c r="I47" s="81">
        <f>PERCENTILE(I7:I12,C47)</f>
        <v>0.16889999999999999</v>
      </c>
      <c r="J47" s="81">
        <f>PERCENTILE(J7:J12,C47)</f>
        <v>0.1754</v>
      </c>
      <c r="K47" s="81">
        <f>PERCENTILE(K7:K12,C47)</f>
        <v>0.20280000000000001</v>
      </c>
      <c r="L47" s="81">
        <f>PERCENTILE(L7:L12,C47)</f>
        <v>0.74860000000000004</v>
      </c>
      <c r="M47" s="84">
        <f>PERCENTILE(M7:M12,C47)</f>
        <v>3</v>
      </c>
      <c r="N47" s="81">
        <f>PERCENTILE(N7:N12,C47)</f>
        <v>9.2299999999999993E-2</v>
      </c>
      <c r="O47" s="87">
        <f>PERCENTILE(O7:O12,C47)</f>
        <v>0.66</v>
      </c>
    </row>
    <row r="48" spans="3:15" x14ac:dyDescent="0.2">
      <c r="C48" s="44">
        <v>0.85</v>
      </c>
      <c r="D48" s="81">
        <f>PERCENTILE(D7:D12,C48)</f>
        <v>0.31274999999999997</v>
      </c>
      <c r="E48" s="81">
        <f>PERCENTILE(E7:E12,C48)</f>
        <v>0.107</v>
      </c>
      <c r="F48" s="81">
        <f>PERCENTILE(F7:F12,C48)</f>
        <v>8.2000000000000003E-2</v>
      </c>
      <c r="G48" s="81">
        <f>PERCENTILE(G7:G12,C48)</f>
        <v>5.8700000000000002E-2</v>
      </c>
      <c r="H48" s="81">
        <f>PERCENTILE(H7:H12,C48)</f>
        <v>0.1633</v>
      </c>
      <c r="I48" s="81">
        <f>PERCENTILE(I7:I12,C48)</f>
        <v>0.17724999999999999</v>
      </c>
      <c r="J48" s="81">
        <f>PERCENTILE(J7:J12,C48)</f>
        <v>0.19495000000000001</v>
      </c>
      <c r="K48" s="81">
        <f>PERCENTILE(K7:K12,C48)</f>
        <v>0.20622499999999999</v>
      </c>
      <c r="L48" s="81">
        <f>PERCENTILE(L7:L12,C48)</f>
        <v>0.75175000000000003</v>
      </c>
      <c r="M48" s="84">
        <f>PERCENTILE(M7:M12,C48)</f>
        <v>3.875</v>
      </c>
      <c r="N48" s="81">
        <f>PERCENTILE(N7:N12,C48)</f>
        <v>9.7474999999999992E-2</v>
      </c>
      <c r="O48" s="87">
        <f>PERCENTILE(O7:O12,C48)</f>
        <v>0.6925</v>
      </c>
    </row>
    <row r="49" spans="3:15" x14ac:dyDescent="0.2">
      <c r="C49" s="44">
        <v>0.9</v>
      </c>
      <c r="D49" s="81">
        <f>PERCENTILE(D7:D12,C49)</f>
        <v>0.3135</v>
      </c>
      <c r="E49" s="81">
        <f>PERCENTILE(E7:E12,C49)</f>
        <v>0.107</v>
      </c>
      <c r="F49" s="81">
        <f>PERCENTILE(F7:F12,C49)</f>
        <v>8.3999999999999991E-2</v>
      </c>
      <c r="G49" s="81">
        <f>PERCENTILE(G7:G12,C49)</f>
        <v>6.0399999999999995E-2</v>
      </c>
      <c r="H49" s="81">
        <f>PERCENTILE(H7:H12,C49)</f>
        <v>0.16770000000000002</v>
      </c>
      <c r="I49" s="81">
        <f>PERCENTILE(I7:I12,C49)</f>
        <v>0.18559999999999999</v>
      </c>
      <c r="J49" s="81">
        <f>PERCENTILE(J7:J12,C49)</f>
        <v>0.2145</v>
      </c>
      <c r="K49" s="81">
        <f>PERCENTILE(K7:K12,C49)</f>
        <v>0.20965</v>
      </c>
      <c r="L49" s="81">
        <f>PERCENTILE(L7:L12,C49)</f>
        <v>0.75490000000000002</v>
      </c>
      <c r="M49" s="84">
        <f>PERCENTILE(M7:M12,C49)</f>
        <v>4.75</v>
      </c>
      <c r="N49" s="81">
        <f>PERCENTILE(N7:N12,C49)</f>
        <v>0.10264999999999999</v>
      </c>
      <c r="O49" s="87">
        <f>PERCENTILE(O7:O12,C49)</f>
        <v>0.72500000000000009</v>
      </c>
    </row>
    <row r="50" spans="3:15" x14ac:dyDescent="0.2">
      <c r="C50" s="44">
        <v>0.95</v>
      </c>
      <c r="D50" s="81">
        <f>PERCENTILE(D7:D12,C50)</f>
        <v>0.31425000000000003</v>
      </c>
      <c r="E50" s="81">
        <f>PERCENTILE(E7:E12,C50)</f>
        <v>0.107</v>
      </c>
      <c r="F50" s="81">
        <f>PERCENTILE(F7:F12,C50)</f>
        <v>8.5999999999999993E-2</v>
      </c>
      <c r="G50" s="81">
        <f>PERCENTILE(G7:G12,C50)</f>
        <v>6.2099999999999995E-2</v>
      </c>
      <c r="H50" s="81">
        <f>PERCENTILE(H7:H12,C50)</f>
        <v>0.1721</v>
      </c>
      <c r="I50" s="81">
        <f>PERCENTILE(I7:I12,C50)</f>
        <v>0.19395000000000001</v>
      </c>
      <c r="J50" s="81">
        <f>PERCENTILE(J7:J12,C50)</f>
        <v>0.23404999999999998</v>
      </c>
      <c r="K50" s="81">
        <f>PERCENTILE(K7:K12,C50)</f>
        <v>0.21307500000000001</v>
      </c>
      <c r="L50" s="81">
        <f>PERCENTILE(L7:L12,C50)</f>
        <v>0.75805</v>
      </c>
      <c r="M50" s="84">
        <f>PERCENTILE(M7:M12,C50)</f>
        <v>5.625</v>
      </c>
      <c r="N50" s="81">
        <f>PERCENTILE(N7:N12,C50)</f>
        <v>0.107825</v>
      </c>
      <c r="O50" s="87">
        <f>PERCENTILE(O7:O12,C50)</f>
        <v>0.75750000000000006</v>
      </c>
    </row>
    <row r="51" spans="3:15" ht="10.5" thickBot="1" x14ac:dyDescent="0.25">
      <c r="C51" s="46">
        <v>1</v>
      </c>
      <c r="D51" s="82">
        <f>PERCENTILE(D7:D12,C51)</f>
        <v>0.315</v>
      </c>
      <c r="E51" s="82">
        <f>PERCENTILE(E7:E12,C51)</f>
        <v>0.107</v>
      </c>
      <c r="F51" s="82">
        <f>PERCENTILE(F7:F12,C51)</f>
        <v>8.7999999999999995E-2</v>
      </c>
      <c r="G51" s="82">
        <f>PERCENTILE(G7:G12,C51)</f>
        <v>6.3799999999999996E-2</v>
      </c>
      <c r="H51" s="82">
        <f>PERCENTILE(H7:H12,C51)</f>
        <v>0.17649999999999999</v>
      </c>
      <c r="I51" s="82">
        <f>PERCENTILE(I7:I12,C51)</f>
        <v>0.20230000000000001</v>
      </c>
      <c r="J51" s="82">
        <f>PERCENTILE(J7:J12,C51)</f>
        <v>0.25359999999999999</v>
      </c>
      <c r="K51" s="82">
        <f>PERCENTILE(K7:K12,C51)</f>
        <v>0.2165</v>
      </c>
      <c r="L51" s="82">
        <f>PERCENTILE(L7:L12,C51)</f>
        <v>0.76119999999999999</v>
      </c>
      <c r="M51" s="85">
        <f>PERCENTILE(M7:M12,C51)</f>
        <v>6.5</v>
      </c>
      <c r="N51" s="82">
        <f>PERCENTILE(N7:N12,C51)</f>
        <v>0.113</v>
      </c>
      <c r="O51" s="88">
        <f>PERCENTILE(O7:O12,C51)</f>
        <v>0.79</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045BE-3EEA-4AB6-94F6-40869726D5CE}">
  <sheetPr codeName="Sheet3">
    <outlinePr summaryBelow="0" summaryRight="0"/>
  </sheetPr>
  <dimension ref="A4:IU46"/>
  <sheetViews>
    <sheetView defaultGridColor="0" colorId="0" workbookViewId="0"/>
  </sheetViews>
  <sheetFormatPr defaultRowHeight="10" x14ac:dyDescent="0.2"/>
  <cols>
    <col min="1" max="1" width="47.81640625" customWidth="1"/>
    <col min="2" max="17" width="20.81640625" customWidth="1"/>
  </cols>
  <sheetData>
    <row r="4" spans="1:255" ht="17" x14ac:dyDescent="0.3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2</v>
      </c>
      <c r="B8" s="4" t="s">
        <v>3</v>
      </c>
    </row>
    <row r="9" spans="1:255" ht="10.5" x14ac:dyDescent="0.25">
      <c r="A9" s="3" t="s">
        <v>4</v>
      </c>
      <c r="B9" s="4" t="s">
        <v>5</v>
      </c>
    </row>
    <row r="10" spans="1:255" ht="10.5" x14ac:dyDescent="0.25">
      <c r="A10" s="3" t="s">
        <v>6</v>
      </c>
      <c r="B10" s="5">
        <v>45045</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503.22</v>
      </c>
      <c r="C15" s="13">
        <v>443.5</v>
      </c>
      <c r="D15" s="13">
        <v>223169.6</v>
      </c>
      <c r="E15" s="13">
        <v>-4566</v>
      </c>
      <c r="F15" s="14" t="s">
        <v>26</v>
      </c>
      <c r="G15" s="12">
        <v>5</v>
      </c>
      <c r="H15" s="13">
        <v>218608.6</v>
      </c>
      <c r="I15" s="12">
        <v>51.39</v>
      </c>
      <c r="J15" s="16">
        <v>44994</v>
      </c>
      <c r="K15" s="13">
        <v>234390</v>
      </c>
      <c r="L15" s="13">
        <v>9891</v>
      </c>
      <c r="M15" s="13">
        <v>7942</v>
      </c>
      <c r="N15" s="12">
        <v>13.61</v>
      </c>
      <c r="O15" s="12">
        <v>250169.62</v>
      </c>
      <c r="P15" s="12">
        <v>11007.53</v>
      </c>
      <c r="Q15" s="12">
        <v>15.08</v>
      </c>
    </row>
    <row r="16" spans="1:255" ht="12" customHeight="1" x14ac:dyDescent="0.2">
      <c r="A16" s="7" t="s">
        <v>27</v>
      </c>
      <c r="B16" s="12">
        <v>221.46</v>
      </c>
      <c r="C16" s="13">
        <v>219.1</v>
      </c>
      <c r="D16" s="13">
        <v>48523.8</v>
      </c>
      <c r="E16" s="13">
        <v>17279.5</v>
      </c>
      <c r="F16" s="14" t="s">
        <v>26</v>
      </c>
      <c r="G16" s="14" t="s">
        <v>26</v>
      </c>
      <c r="H16" s="13">
        <v>65803.3</v>
      </c>
      <c r="I16" s="12">
        <v>0.02</v>
      </c>
      <c r="J16" s="16">
        <v>45009</v>
      </c>
      <c r="K16" s="13">
        <v>37844.9</v>
      </c>
      <c r="L16" s="13">
        <v>4055.3</v>
      </c>
      <c r="M16" s="13">
        <v>3330.4</v>
      </c>
      <c r="N16" s="12">
        <v>10.68</v>
      </c>
      <c r="O16" s="12">
        <v>40034.39</v>
      </c>
      <c r="P16" s="12">
        <v>4308.53</v>
      </c>
      <c r="Q16" s="12">
        <v>11.29</v>
      </c>
    </row>
    <row r="17" spans="1:17" ht="12" customHeight="1" x14ac:dyDescent="0.2">
      <c r="A17" s="7" t="s">
        <v>28</v>
      </c>
      <c r="B17" s="12">
        <v>150.97</v>
      </c>
      <c r="C17" s="13">
        <v>2697.3</v>
      </c>
      <c r="D17" s="13">
        <v>407218.4</v>
      </c>
      <c r="E17" s="13">
        <v>52410</v>
      </c>
      <c r="F17" s="14" t="s">
        <v>26</v>
      </c>
      <c r="G17" s="12">
        <v>7298</v>
      </c>
      <c r="H17" s="13">
        <v>466926.4</v>
      </c>
      <c r="I17" s="12">
        <v>16.420000000000002</v>
      </c>
      <c r="J17" s="16">
        <v>45002</v>
      </c>
      <c r="K17" s="13">
        <v>611289</v>
      </c>
      <c r="L17" s="13">
        <v>35473</v>
      </c>
      <c r="M17" s="13">
        <v>24528</v>
      </c>
      <c r="N17" s="12">
        <v>4.2699999999999996</v>
      </c>
      <c r="O17" s="12">
        <v>628015.44999999995</v>
      </c>
      <c r="P17" s="12">
        <v>36929.599999999999</v>
      </c>
      <c r="Q17" s="12">
        <v>6.11</v>
      </c>
    </row>
    <row r="18" spans="1:17" ht="12" customHeight="1" x14ac:dyDescent="0.2">
      <c r="A18" s="7" t="s">
        <v>29</v>
      </c>
      <c r="B18" s="12">
        <v>153.71</v>
      </c>
      <c r="C18" s="13">
        <v>221.2</v>
      </c>
      <c r="D18" s="13">
        <v>34004.9</v>
      </c>
      <c r="E18" s="13">
        <v>9483.7000000000007</v>
      </c>
      <c r="F18" s="14" t="s">
        <v>26</v>
      </c>
      <c r="G18" s="14" t="s">
        <v>26</v>
      </c>
      <c r="H18" s="13">
        <v>43488.6</v>
      </c>
      <c r="I18" s="12">
        <v>16.579999999999998</v>
      </c>
      <c r="J18" s="16">
        <v>44995</v>
      </c>
      <c r="K18" s="13">
        <v>28331.7</v>
      </c>
      <c r="L18" s="13">
        <v>3044.1</v>
      </c>
      <c r="M18" s="13">
        <v>2276.1999999999998</v>
      </c>
      <c r="N18" s="12">
        <v>7.21</v>
      </c>
      <c r="O18" s="12">
        <v>30286.03</v>
      </c>
      <c r="P18" s="12">
        <v>2883.64</v>
      </c>
      <c r="Q18" s="12">
        <v>6.63</v>
      </c>
    </row>
    <row r="19" spans="1:17" ht="12" customHeight="1" x14ac:dyDescent="0.2">
      <c r="A19" s="7" t="s">
        <v>30</v>
      </c>
      <c r="B19" s="12">
        <v>76.37</v>
      </c>
      <c r="C19" s="13">
        <v>133.9</v>
      </c>
      <c r="D19" s="13">
        <v>10226.200000000001</v>
      </c>
      <c r="E19" s="13">
        <v>3084</v>
      </c>
      <c r="F19" s="14" t="s">
        <v>26</v>
      </c>
      <c r="G19" s="14" t="s">
        <v>26</v>
      </c>
      <c r="H19" s="13">
        <v>13310.3</v>
      </c>
      <c r="I19" s="12">
        <v>-0.57999999999999996</v>
      </c>
      <c r="J19" s="16">
        <v>45001</v>
      </c>
      <c r="K19" s="13">
        <v>19315.2</v>
      </c>
      <c r="L19" s="13">
        <v>951.2</v>
      </c>
      <c r="M19" s="13">
        <v>750.3</v>
      </c>
      <c r="N19" s="12">
        <v>3.77</v>
      </c>
      <c r="O19" s="12">
        <v>20886.37</v>
      </c>
      <c r="P19" s="12">
        <v>1080.74</v>
      </c>
      <c r="Q19" s="12">
        <v>3.97</v>
      </c>
    </row>
    <row r="20" spans="1:17" ht="12" customHeight="1" x14ac:dyDescent="0.2">
      <c r="A20" s="7" t="s">
        <v>31</v>
      </c>
      <c r="B20" s="12">
        <v>72.94</v>
      </c>
      <c r="C20" s="13">
        <v>26.8</v>
      </c>
      <c r="D20" s="13">
        <v>1953.9</v>
      </c>
      <c r="E20" s="13">
        <v>6916.2</v>
      </c>
      <c r="F20" s="14" t="s">
        <v>26</v>
      </c>
      <c r="G20" s="12">
        <v>1700.8</v>
      </c>
      <c r="H20" s="13">
        <v>10571</v>
      </c>
      <c r="I20" s="12">
        <v>96.17</v>
      </c>
      <c r="J20" s="16">
        <v>45006</v>
      </c>
      <c r="K20" s="13">
        <v>21921.1</v>
      </c>
      <c r="L20" s="13">
        <v>1268.0999999999999</v>
      </c>
      <c r="M20" s="13">
        <v>101.7</v>
      </c>
      <c r="N20" s="12">
        <v>28.05</v>
      </c>
      <c r="O20" s="12">
        <v>23082.58</v>
      </c>
      <c r="P20" s="12">
        <v>1214.07</v>
      </c>
      <c r="Q20" s="12">
        <v>7.28</v>
      </c>
    </row>
    <row r="21" spans="1:17" ht="10.5" x14ac:dyDescent="0.2">
      <c r="A21" s="7" t="s">
        <v>32</v>
      </c>
      <c r="B21" s="12">
        <v>157.75</v>
      </c>
      <c r="C21" s="13">
        <v>460.4</v>
      </c>
      <c r="D21" s="13">
        <v>72622.399999999994</v>
      </c>
      <c r="E21" s="13">
        <v>16925</v>
      </c>
      <c r="F21" s="14" t="s">
        <v>26</v>
      </c>
      <c r="G21" s="14" t="s">
        <v>26</v>
      </c>
      <c r="H21" s="13">
        <v>89547.4</v>
      </c>
      <c r="I21" s="12">
        <v>23</v>
      </c>
      <c r="J21" s="16">
        <v>44993</v>
      </c>
      <c r="K21" s="13">
        <v>109120</v>
      </c>
      <c r="L21" s="13">
        <v>6660</v>
      </c>
      <c r="M21" s="13">
        <v>3960</v>
      </c>
      <c r="N21" s="12">
        <v>5.98</v>
      </c>
      <c r="O21" s="12">
        <v>111370.91</v>
      </c>
      <c r="P21" s="12">
        <v>8205.02</v>
      </c>
      <c r="Q21" s="12">
        <v>8.52</v>
      </c>
    </row>
    <row r="22" spans="1:17" ht="10.5" x14ac:dyDescent="0.2">
      <c r="A22" s="8"/>
      <c r="B22" s="8"/>
      <c r="C22" s="8"/>
      <c r="D22" s="8"/>
      <c r="E22" s="8"/>
      <c r="F22" s="8"/>
      <c r="G22" s="8"/>
      <c r="H22" s="8"/>
      <c r="I22" s="8"/>
      <c r="J22" s="8"/>
      <c r="K22" s="8"/>
      <c r="L22" s="8"/>
      <c r="M22" s="8"/>
      <c r="N22" s="8"/>
      <c r="O22" s="8"/>
      <c r="P22" s="8"/>
      <c r="Q22" s="8"/>
    </row>
    <row r="23" spans="1:17" ht="12" customHeight="1" x14ac:dyDescent="0.2">
      <c r="A23" s="7" t="s">
        <v>33</v>
      </c>
      <c r="B23" s="11" t="s">
        <v>9</v>
      </c>
      <c r="C23" s="11" t="s">
        <v>10</v>
      </c>
      <c r="D23" s="11" t="s">
        <v>11</v>
      </c>
      <c r="E23" s="11" t="s">
        <v>12</v>
      </c>
      <c r="F23" s="11" t="s">
        <v>13</v>
      </c>
      <c r="G23" s="11" t="s">
        <v>14</v>
      </c>
      <c r="H23" s="11" t="s">
        <v>15</v>
      </c>
      <c r="I23" s="11" t="s">
        <v>16</v>
      </c>
      <c r="J23" s="15" t="s">
        <v>17</v>
      </c>
      <c r="K23" s="11" t="s">
        <v>18</v>
      </c>
      <c r="L23" s="11" t="s">
        <v>19</v>
      </c>
      <c r="M23" s="11" t="s">
        <v>20</v>
      </c>
      <c r="N23" s="11" t="s">
        <v>21</v>
      </c>
      <c r="O23" s="11" t="s">
        <v>22</v>
      </c>
      <c r="P23" s="11" t="s">
        <v>23</v>
      </c>
      <c r="Q23" s="11" t="s">
        <v>24</v>
      </c>
    </row>
    <row r="24" spans="1:17" ht="10.5" x14ac:dyDescent="0.2">
      <c r="A24" s="7" t="s">
        <v>34</v>
      </c>
      <c r="B24" s="12">
        <v>503.22</v>
      </c>
      <c r="C24" s="13">
        <v>2697.3</v>
      </c>
      <c r="D24" s="13">
        <v>407218.4</v>
      </c>
      <c r="E24" s="13">
        <v>52410</v>
      </c>
      <c r="F24" s="14" t="s">
        <v>26</v>
      </c>
      <c r="G24" s="12">
        <v>7298</v>
      </c>
      <c r="H24" s="13">
        <v>466926.4</v>
      </c>
      <c r="I24" s="12">
        <v>96.17</v>
      </c>
      <c r="J24" s="17" t="s">
        <v>26</v>
      </c>
      <c r="K24" s="13">
        <v>611289</v>
      </c>
      <c r="L24" s="13">
        <v>35473</v>
      </c>
      <c r="M24" s="13">
        <v>24528</v>
      </c>
      <c r="N24" s="12">
        <v>28.05</v>
      </c>
      <c r="O24" s="12">
        <v>628015.44999999995</v>
      </c>
      <c r="P24" s="12">
        <v>36929.599999999999</v>
      </c>
      <c r="Q24" s="12">
        <v>15.08</v>
      </c>
    </row>
    <row r="25" spans="1:17" ht="10.5" x14ac:dyDescent="0.2">
      <c r="A25" s="7" t="s">
        <v>35</v>
      </c>
      <c r="B25" s="12">
        <v>72.94</v>
      </c>
      <c r="C25" s="13">
        <v>26.8</v>
      </c>
      <c r="D25" s="13">
        <v>1953.9</v>
      </c>
      <c r="E25" s="13">
        <v>-4566</v>
      </c>
      <c r="F25" s="14" t="s">
        <v>26</v>
      </c>
      <c r="G25" s="12">
        <v>5</v>
      </c>
      <c r="H25" s="13">
        <v>10571</v>
      </c>
      <c r="I25" s="12">
        <v>-0.57999999999999996</v>
      </c>
      <c r="J25" s="17" t="s">
        <v>26</v>
      </c>
      <c r="K25" s="13">
        <v>19315.2</v>
      </c>
      <c r="L25" s="13">
        <v>951.2</v>
      </c>
      <c r="M25" s="13">
        <v>101.7</v>
      </c>
      <c r="N25" s="12">
        <v>3.77</v>
      </c>
      <c r="O25" s="12">
        <v>20886.37</v>
      </c>
      <c r="P25" s="12">
        <v>1080.74</v>
      </c>
      <c r="Q25" s="12">
        <v>3.97</v>
      </c>
    </row>
    <row r="26" spans="1:17" ht="10.5" x14ac:dyDescent="0.2">
      <c r="A26" s="7" t="s">
        <v>36</v>
      </c>
      <c r="B26" s="12">
        <v>196.44</v>
      </c>
      <c r="C26" s="13">
        <v>623.6</v>
      </c>
      <c r="D26" s="13">
        <v>120849.5</v>
      </c>
      <c r="E26" s="13">
        <v>14101.3</v>
      </c>
      <c r="F26" s="14" t="s">
        <v>26</v>
      </c>
      <c r="G26" s="12">
        <v>3001.27</v>
      </c>
      <c r="H26" s="13">
        <v>136451.4</v>
      </c>
      <c r="I26" s="12">
        <v>30</v>
      </c>
      <c r="J26" s="17" t="s">
        <v>26</v>
      </c>
      <c r="K26" s="13">
        <v>158848.6</v>
      </c>
      <c r="L26" s="13">
        <v>9113.7999999999993</v>
      </c>
      <c r="M26" s="13">
        <v>6488.1</v>
      </c>
      <c r="N26" s="12">
        <v>11.26</v>
      </c>
      <c r="O26" s="12">
        <v>165412.41</v>
      </c>
      <c r="P26" s="12">
        <v>9570.68</v>
      </c>
      <c r="Q26" s="12">
        <v>8.39</v>
      </c>
    </row>
    <row r="27" spans="1:17" ht="10.5" x14ac:dyDescent="0.2">
      <c r="A27" s="7" t="s">
        <v>37</v>
      </c>
      <c r="B27" s="12">
        <v>152.34</v>
      </c>
      <c r="C27" s="13">
        <v>220.2</v>
      </c>
      <c r="D27" s="13">
        <v>41264.300000000003</v>
      </c>
      <c r="E27" s="13">
        <v>8200</v>
      </c>
      <c r="F27" s="14" t="s">
        <v>26</v>
      </c>
      <c r="G27" s="12">
        <v>1700.8</v>
      </c>
      <c r="H27" s="13">
        <v>54645.9</v>
      </c>
      <c r="I27" s="12">
        <v>16.5</v>
      </c>
      <c r="J27" s="17" t="s">
        <v>26</v>
      </c>
      <c r="K27" s="13">
        <v>33088.300000000003</v>
      </c>
      <c r="L27" s="13">
        <v>3549.7</v>
      </c>
      <c r="M27" s="13">
        <v>2803.3</v>
      </c>
      <c r="N27" s="12">
        <v>8.9499999999999993</v>
      </c>
      <c r="O27" s="12">
        <v>35160.21</v>
      </c>
      <c r="P27" s="12">
        <v>3596.08</v>
      </c>
      <c r="Q27" s="12">
        <v>6.96</v>
      </c>
    </row>
    <row r="28" spans="1:17" x14ac:dyDescent="0.2">
      <c r="A28" s="10"/>
      <c r="B28" s="10"/>
      <c r="C28" s="10"/>
      <c r="D28" s="10"/>
      <c r="E28" s="10"/>
      <c r="F28" s="10"/>
      <c r="G28" s="10"/>
      <c r="H28" s="10"/>
      <c r="I28" s="10"/>
      <c r="J28" s="10"/>
      <c r="K28" s="10"/>
      <c r="L28" s="10"/>
      <c r="M28" s="10"/>
      <c r="N28" s="10"/>
      <c r="O28" s="10"/>
      <c r="P28" s="10"/>
      <c r="Q28" s="10"/>
    </row>
    <row r="30" spans="1:17" x14ac:dyDescent="0.2">
      <c r="A30" s="6" t="s">
        <v>38</v>
      </c>
    </row>
    <row r="35" spans="1:1" x14ac:dyDescent="0.2">
      <c r="A35" t="s">
        <v>39</v>
      </c>
    </row>
    <row r="36" spans="1:1" x14ac:dyDescent="0.2">
      <c r="A36" t="s">
        <v>40</v>
      </c>
    </row>
    <row r="44" spans="1:1" ht="20" x14ac:dyDescent="0.2">
      <c r="A44" s="18" t="s">
        <v>41</v>
      </c>
    </row>
    <row r="46" spans="1:1"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D792-954C-46B7-BF62-1BDEBA70A959}">
  <sheetPr codeName="Sheet4">
    <outlinePr summaryBelow="0" summaryRight="0"/>
  </sheetPr>
  <dimension ref="A4:IU46"/>
  <sheetViews>
    <sheetView defaultGridColor="0" colorId="0" workbookViewId="0"/>
  </sheetViews>
  <sheetFormatPr defaultRowHeight="10" x14ac:dyDescent="0.2"/>
  <cols>
    <col min="1" max="1" width="47.81640625" customWidth="1"/>
    <col min="2" max="9" width="20.81640625" customWidth="1"/>
  </cols>
  <sheetData>
    <row r="4" spans="1:255" ht="17" x14ac:dyDescent="0.35">
      <c r="A4" s="1" t="s">
        <v>42</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43</v>
      </c>
      <c r="B8" s="4" t="s">
        <v>3</v>
      </c>
    </row>
    <row r="9" spans="1:255" ht="10.5" x14ac:dyDescent="0.25">
      <c r="A9" s="3" t="s">
        <v>44</v>
      </c>
      <c r="B9" s="4" t="s">
        <v>5</v>
      </c>
    </row>
    <row r="10" spans="1:255" ht="10.5" x14ac:dyDescent="0.25">
      <c r="A10" s="3" t="s">
        <v>45</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46</v>
      </c>
      <c r="C14" s="11" t="s">
        <v>47</v>
      </c>
      <c r="D14" s="11" t="s">
        <v>48</v>
      </c>
      <c r="E14" s="11" t="s">
        <v>49</v>
      </c>
      <c r="F14" s="11" t="s">
        <v>50</v>
      </c>
      <c r="G14" s="11" t="s">
        <v>51</v>
      </c>
      <c r="H14" s="11" t="s">
        <v>52</v>
      </c>
      <c r="I14" s="11" t="s">
        <v>53</v>
      </c>
    </row>
    <row r="15" spans="1:255" ht="12" customHeight="1" x14ac:dyDescent="0.2">
      <c r="A15" s="7" t="s">
        <v>25</v>
      </c>
      <c r="B15" s="14" t="s">
        <v>26</v>
      </c>
      <c r="C15" s="14" t="s">
        <v>26</v>
      </c>
      <c r="D15" s="14" t="s">
        <v>26</v>
      </c>
      <c r="E15" s="14" t="s">
        <v>26</v>
      </c>
      <c r="F15" s="14" t="s">
        <v>26</v>
      </c>
      <c r="G15" s="19">
        <v>0.87</v>
      </c>
      <c r="H15" s="19">
        <v>19.86</v>
      </c>
      <c r="I15" s="19">
        <v>33.369999999999997</v>
      </c>
    </row>
    <row r="16" spans="1:255" ht="12" customHeight="1" x14ac:dyDescent="0.2">
      <c r="A16" s="7" t="s">
        <v>27</v>
      </c>
      <c r="B16" s="14" t="s">
        <v>26</v>
      </c>
      <c r="C16" s="14" t="s">
        <v>26</v>
      </c>
      <c r="D16" s="14" t="s">
        <v>26</v>
      </c>
      <c r="E16" s="14" t="s">
        <v>26</v>
      </c>
      <c r="F16" s="14" t="s">
        <v>26</v>
      </c>
      <c r="G16" s="19">
        <v>1.64</v>
      </c>
      <c r="H16" s="19">
        <v>15.27</v>
      </c>
      <c r="I16" s="19">
        <v>19.62</v>
      </c>
    </row>
    <row r="17" spans="1:9" ht="12" customHeight="1" x14ac:dyDescent="0.2">
      <c r="A17" s="7" t="s">
        <v>28</v>
      </c>
      <c r="B17" s="14" t="s">
        <v>26</v>
      </c>
      <c r="C17" s="14" t="s">
        <v>26</v>
      </c>
      <c r="D17" s="14" t="s">
        <v>26</v>
      </c>
      <c r="E17" s="14" t="s">
        <v>26</v>
      </c>
      <c r="F17" s="14" t="s">
        <v>26</v>
      </c>
      <c r="G17" s="19">
        <v>0.74</v>
      </c>
      <c r="H17" s="19">
        <v>12.64</v>
      </c>
      <c r="I17" s="19">
        <v>24.72</v>
      </c>
    </row>
    <row r="18" spans="1:9" ht="12" customHeight="1" x14ac:dyDescent="0.2">
      <c r="A18" s="7" t="s">
        <v>29</v>
      </c>
      <c r="B18" s="14" t="s">
        <v>26</v>
      </c>
      <c r="C18" s="14" t="s">
        <v>26</v>
      </c>
      <c r="D18" s="14" t="s">
        <v>26</v>
      </c>
      <c r="E18" s="14" t="s">
        <v>26</v>
      </c>
      <c r="F18" s="14" t="s">
        <v>26</v>
      </c>
      <c r="G18" s="19">
        <v>1.44</v>
      </c>
      <c r="H18" s="19">
        <v>15.08</v>
      </c>
      <c r="I18" s="19">
        <v>23.19</v>
      </c>
    </row>
    <row r="19" spans="1:9" ht="12" customHeight="1" x14ac:dyDescent="0.2">
      <c r="A19" s="7" t="s">
        <v>30</v>
      </c>
      <c r="B19" s="14" t="s">
        <v>26</v>
      </c>
      <c r="C19" s="14" t="s">
        <v>26</v>
      </c>
      <c r="D19" s="14" t="s">
        <v>26</v>
      </c>
      <c r="E19" s="14" t="s">
        <v>26</v>
      </c>
      <c r="F19" s="14" t="s">
        <v>26</v>
      </c>
      <c r="G19" s="19">
        <v>0.64</v>
      </c>
      <c r="H19" s="19">
        <v>12.32</v>
      </c>
      <c r="I19" s="19">
        <v>19.25</v>
      </c>
    </row>
    <row r="20" spans="1:9" ht="12" customHeight="1" x14ac:dyDescent="0.2">
      <c r="A20" s="7" t="s">
        <v>31</v>
      </c>
      <c r="B20" s="14" t="s">
        <v>26</v>
      </c>
      <c r="C20" s="14" t="s">
        <v>26</v>
      </c>
      <c r="D20" s="14" t="s">
        <v>26</v>
      </c>
      <c r="E20" s="14" t="s">
        <v>26</v>
      </c>
      <c r="F20" s="14" t="s">
        <v>26</v>
      </c>
      <c r="G20" s="19">
        <v>0.46</v>
      </c>
      <c r="H20" s="19">
        <v>8.7100000000000009</v>
      </c>
      <c r="I20" s="19">
        <v>10.01</v>
      </c>
    </row>
    <row r="21" spans="1:9" ht="10.5" x14ac:dyDescent="0.2">
      <c r="A21" s="7" t="s">
        <v>32</v>
      </c>
      <c r="B21" s="14" t="s">
        <v>26</v>
      </c>
      <c r="C21" s="14" t="s">
        <v>26</v>
      </c>
      <c r="D21" s="14" t="s">
        <v>26</v>
      </c>
      <c r="E21" s="14" t="s">
        <v>26</v>
      </c>
      <c r="F21" s="14" t="s">
        <v>26</v>
      </c>
      <c r="G21" s="19">
        <v>0.8</v>
      </c>
      <c r="H21" s="19">
        <v>10.91</v>
      </c>
      <c r="I21" s="19">
        <v>18.510000000000002</v>
      </c>
    </row>
    <row r="22" spans="1:9" ht="10.5" x14ac:dyDescent="0.2">
      <c r="A22" s="8"/>
      <c r="B22" s="8"/>
      <c r="C22" s="8"/>
      <c r="D22" s="8"/>
      <c r="E22" s="8"/>
      <c r="F22" s="8"/>
      <c r="G22" s="8"/>
      <c r="H22" s="8"/>
      <c r="I22" s="8"/>
    </row>
    <row r="23" spans="1:9" ht="12" customHeight="1" x14ac:dyDescent="0.2">
      <c r="A23" s="7" t="s">
        <v>33</v>
      </c>
      <c r="B23" s="11" t="s">
        <v>46</v>
      </c>
      <c r="C23" s="11" t="s">
        <v>47</v>
      </c>
      <c r="D23" s="11" t="s">
        <v>48</v>
      </c>
      <c r="E23" s="11" t="s">
        <v>49</v>
      </c>
      <c r="F23" s="11" t="s">
        <v>50</v>
      </c>
      <c r="G23" s="11" t="s">
        <v>51</v>
      </c>
      <c r="H23" s="11" t="s">
        <v>52</v>
      </c>
      <c r="I23" s="11" t="s">
        <v>53</v>
      </c>
    </row>
    <row r="24" spans="1:9" ht="10.5" x14ac:dyDescent="0.2">
      <c r="A24" s="7" t="s">
        <v>34</v>
      </c>
      <c r="B24" s="14" t="s">
        <v>26</v>
      </c>
      <c r="C24" s="14" t="s">
        <v>26</v>
      </c>
      <c r="D24" s="14" t="s">
        <v>26</v>
      </c>
      <c r="E24" s="14" t="s">
        <v>26</v>
      </c>
      <c r="F24" s="14" t="s">
        <v>26</v>
      </c>
      <c r="G24" s="19">
        <v>1.64</v>
      </c>
      <c r="H24" s="19">
        <v>19.86</v>
      </c>
      <c r="I24" s="19">
        <v>33.369999999999997</v>
      </c>
    </row>
    <row r="25" spans="1:9" ht="10.5" x14ac:dyDescent="0.2">
      <c r="A25" s="7" t="s">
        <v>35</v>
      </c>
      <c r="B25" s="14" t="s">
        <v>26</v>
      </c>
      <c r="C25" s="14" t="s">
        <v>26</v>
      </c>
      <c r="D25" s="14" t="s">
        <v>26</v>
      </c>
      <c r="E25" s="14" t="s">
        <v>26</v>
      </c>
      <c r="F25" s="14" t="s">
        <v>26</v>
      </c>
      <c r="G25" s="19">
        <v>0.46</v>
      </c>
      <c r="H25" s="19">
        <v>8.7100000000000009</v>
      </c>
      <c r="I25" s="19">
        <v>10.01</v>
      </c>
    </row>
    <row r="26" spans="1:9" ht="10.5" x14ac:dyDescent="0.2">
      <c r="A26" s="7" t="s">
        <v>36</v>
      </c>
      <c r="B26" s="14" t="s">
        <v>26</v>
      </c>
      <c r="C26" s="14" t="s">
        <v>26</v>
      </c>
      <c r="D26" s="14" t="s">
        <v>26</v>
      </c>
      <c r="E26" s="14" t="s">
        <v>26</v>
      </c>
      <c r="F26" s="14" t="s">
        <v>26</v>
      </c>
      <c r="G26" s="19">
        <v>0.97</v>
      </c>
      <c r="H26" s="19">
        <v>13.98</v>
      </c>
      <c r="I26" s="19">
        <v>21.69</v>
      </c>
    </row>
    <row r="27" spans="1:9" ht="10.5" x14ac:dyDescent="0.2">
      <c r="A27" s="7" t="s">
        <v>37</v>
      </c>
      <c r="B27" s="14" t="s">
        <v>26</v>
      </c>
      <c r="C27" s="14" t="s">
        <v>26</v>
      </c>
      <c r="D27" s="14" t="s">
        <v>26</v>
      </c>
      <c r="E27" s="14" t="s">
        <v>26</v>
      </c>
      <c r="F27" s="14" t="s">
        <v>26</v>
      </c>
      <c r="G27" s="19">
        <v>0.81</v>
      </c>
      <c r="H27" s="19">
        <v>13.86</v>
      </c>
      <c r="I27" s="19">
        <v>21.4</v>
      </c>
    </row>
    <row r="28" spans="1:9" x14ac:dyDescent="0.2">
      <c r="A28" s="10"/>
      <c r="B28" s="10"/>
      <c r="C28" s="10"/>
      <c r="D28" s="10"/>
      <c r="E28" s="10"/>
      <c r="F28" s="10"/>
      <c r="G28" s="10"/>
      <c r="H28" s="10"/>
      <c r="I28" s="10"/>
    </row>
    <row r="30" spans="1:9" x14ac:dyDescent="0.2">
      <c r="A30" s="6" t="s">
        <v>38</v>
      </c>
    </row>
    <row r="35" spans="1:1" x14ac:dyDescent="0.2">
      <c r="A35" t="s">
        <v>39</v>
      </c>
    </row>
    <row r="36" spans="1:1" x14ac:dyDescent="0.2">
      <c r="A36" t="s">
        <v>40</v>
      </c>
    </row>
    <row r="44" spans="1:1" ht="20" x14ac:dyDescent="0.2">
      <c r="A44" s="18" t="s">
        <v>41</v>
      </c>
    </row>
    <row r="46" spans="1:1"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ACF49-3E11-48CE-A4C0-1254E1D6168F}">
  <sheetPr codeName="Sheet5">
    <outlinePr summaryBelow="0" summaryRight="0"/>
  </sheetPr>
  <dimension ref="A4:IU46"/>
  <sheetViews>
    <sheetView defaultGridColor="0" colorId="0" workbookViewId="0"/>
  </sheetViews>
  <sheetFormatPr defaultRowHeight="10" x14ac:dyDescent="0.2"/>
  <cols>
    <col min="1" max="1" width="47.81640625" customWidth="1"/>
    <col min="2" max="13" width="20.81640625" customWidth="1"/>
  </cols>
  <sheetData>
    <row r="4" spans="1:255" ht="17" x14ac:dyDescent="0.35">
      <c r="A4" s="1" t="s">
        <v>54</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55</v>
      </c>
      <c r="B8" s="4" t="s">
        <v>3</v>
      </c>
    </row>
    <row r="9" spans="1:255" ht="10.5" x14ac:dyDescent="0.25">
      <c r="A9" s="3" t="s">
        <v>56</v>
      </c>
      <c r="B9" s="4" t="s">
        <v>5</v>
      </c>
    </row>
    <row r="10" spans="1:255" ht="10.5" x14ac:dyDescent="0.25">
      <c r="A10" s="3" t="s">
        <v>57</v>
      </c>
      <c r="B10" s="5">
        <v>45045</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58</v>
      </c>
      <c r="C14" s="11" t="s">
        <v>59</v>
      </c>
      <c r="D14" s="11" t="s">
        <v>60</v>
      </c>
      <c r="E14" s="11" t="s">
        <v>61</v>
      </c>
      <c r="F14" s="11" t="s">
        <v>62</v>
      </c>
      <c r="G14" s="11" t="s">
        <v>63</v>
      </c>
      <c r="H14" s="11" t="s">
        <v>64</v>
      </c>
      <c r="I14" s="11" t="s">
        <v>65</v>
      </c>
      <c r="J14" s="11" t="s">
        <v>66</v>
      </c>
      <c r="K14" s="11" t="s">
        <v>67</v>
      </c>
      <c r="L14" s="11" t="s">
        <v>68</v>
      </c>
      <c r="M14" s="11" t="s">
        <v>69</v>
      </c>
    </row>
    <row r="15" spans="1:255" ht="12" customHeight="1" x14ac:dyDescent="0.2">
      <c r="A15" s="7" t="s">
        <v>25</v>
      </c>
      <c r="B15" s="20">
        <v>0.121</v>
      </c>
      <c r="C15" s="20">
        <v>4.2000000000000003E-2</v>
      </c>
      <c r="D15" s="20">
        <v>3.4000000000000002E-2</v>
      </c>
      <c r="E15" s="21">
        <v>2.58E-2</v>
      </c>
      <c r="F15" s="21">
        <v>0.115</v>
      </c>
      <c r="G15" s="21">
        <v>1.06E-2</v>
      </c>
      <c r="H15" s="21">
        <v>-2E-3</v>
      </c>
      <c r="I15" s="21">
        <v>9.7600000000000006E-2</v>
      </c>
      <c r="J15" s="21">
        <v>0.28610000000000002</v>
      </c>
      <c r="K15" s="22">
        <v>0.9</v>
      </c>
      <c r="L15" s="21">
        <v>0.113</v>
      </c>
      <c r="M15" s="12">
        <v>0.79</v>
      </c>
    </row>
    <row r="16" spans="1:255" ht="12" customHeight="1" x14ac:dyDescent="0.2">
      <c r="A16" s="7" t="s">
        <v>27</v>
      </c>
      <c r="B16" s="20">
        <v>0.312</v>
      </c>
      <c r="C16" s="20">
        <v>0.107</v>
      </c>
      <c r="D16" s="20">
        <v>8.7999999999999995E-2</v>
      </c>
      <c r="E16" s="21">
        <v>6.3799999999999996E-2</v>
      </c>
      <c r="F16" s="21">
        <v>0.10589999999999999</v>
      </c>
      <c r="G16" s="21">
        <v>4.9299999999999997E-2</v>
      </c>
      <c r="H16" s="21">
        <v>3.32E-2</v>
      </c>
      <c r="I16" s="21">
        <v>7.0000000000000001E-3</v>
      </c>
      <c r="J16" s="21">
        <v>0.76119999999999999</v>
      </c>
      <c r="K16" s="22">
        <v>3</v>
      </c>
      <c r="L16" s="21">
        <v>8.2299999999999998E-2</v>
      </c>
      <c r="M16" s="12">
        <v>0.32</v>
      </c>
    </row>
    <row r="17" spans="1:13" ht="12" customHeight="1" x14ac:dyDescent="0.2">
      <c r="A17" s="7" t="s">
        <v>28</v>
      </c>
      <c r="B17" s="20">
        <v>0.24099999999999999</v>
      </c>
      <c r="C17" s="20">
        <v>5.8000000000000003E-2</v>
      </c>
      <c r="D17" s="20">
        <v>0.04</v>
      </c>
      <c r="E17" s="21">
        <v>1.9099999999999999E-2</v>
      </c>
      <c r="F17" s="21">
        <v>6.7299999999999999E-2</v>
      </c>
      <c r="G17" s="21">
        <v>-9.2799999999999994E-2</v>
      </c>
      <c r="H17" s="21">
        <v>-0.1376</v>
      </c>
      <c r="I17" s="21">
        <v>-0.14580000000000001</v>
      </c>
      <c r="J17" s="21">
        <v>0.4209</v>
      </c>
      <c r="K17" s="22">
        <v>1.6</v>
      </c>
      <c r="L17" s="21">
        <v>7.3899999999999993E-2</v>
      </c>
      <c r="M17" s="12">
        <v>0.49</v>
      </c>
    </row>
    <row r="18" spans="1:13" ht="12" customHeight="1" x14ac:dyDescent="0.2">
      <c r="A18" s="7" t="s">
        <v>29</v>
      </c>
      <c r="B18" s="20">
        <v>0.315</v>
      </c>
      <c r="C18" s="20">
        <v>0.107</v>
      </c>
      <c r="D18" s="20">
        <v>0.08</v>
      </c>
      <c r="E18" s="21">
        <v>5.7000000000000002E-2</v>
      </c>
      <c r="F18" s="21">
        <v>7.6399999999999996E-2</v>
      </c>
      <c r="G18" s="21">
        <v>0.20230000000000001</v>
      </c>
      <c r="H18" s="21">
        <v>0.25359999999999999</v>
      </c>
      <c r="I18" s="21">
        <v>0.2165</v>
      </c>
      <c r="J18" s="21">
        <v>0.53639999999999999</v>
      </c>
      <c r="K18" s="22">
        <v>2</v>
      </c>
      <c r="L18" s="21">
        <v>9.2299999999999993E-2</v>
      </c>
      <c r="M18" s="12">
        <v>0.66</v>
      </c>
    </row>
    <row r="19" spans="1:13" ht="12" customHeight="1" x14ac:dyDescent="0.2">
      <c r="A19" s="7" t="s">
        <v>30</v>
      </c>
      <c r="B19" s="20">
        <v>0.17799999999999999</v>
      </c>
      <c r="C19" s="20">
        <v>4.9000000000000002E-2</v>
      </c>
      <c r="D19" s="20">
        <v>3.9E-2</v>
      </c>
      <c r="E19" s="21">
        <v>2.6599999999999999E-2</v>
      </c>
      <c r="F19" s="21">
        <v>0.15890000000000001</v>
      </c>
      <c r="G19" s="21">
        <v>0.16170000000000001</v>
      </c>
      <c r="H19" s="21">
        <v>0.1754</v>
      </c>
      <c r="I19" s="21">
        <v>0.20280000000000001</v>
      </c>
      <c r="J19" s="21">
        <v>0.74860000000000004</v>
      </c>
      <c r="K19" s="22">
        <v>2.4</v>
      </c>
      <c r="L19" s="21">
        <v>7.5200000000000003E-2</v>
      </c>
      <c r="M19" s="12">
        <v>0.48</v>
      </c>
    </row>
    <row r="20" spans="1:13" ht="12" customHeight="1" x14ac:dyDescent="0.2">
      <c r="A20" s="7" t="s">
        <v>31</v>
      </c>
      <c r="B20" s="20">
        <v>0.28000000000000003</v>
      </c>
      <c r="C20" s="20">
        <v>5.8000000000000003E-2</v>
      </c>
      <c r="D20" s="20">
        <v>5.0000000000000001E-3</v>
      </c>
      <c r="E20" s="21">
        <v>3.5099999999999999E-2</v>
      </c>
      <c r="F20" s="21">
        <v>0.17649999999999999</v>
      </c>
      <c r="G20" s="21">
        <v>0.16889999999999999</v>
      </c>
      <c r="H20" s="21">
        <v>-0.56730000000000003</v>
      </c>
      <c r="I20" s="21">
        <v>-0.34470000000000001</v>
      </c>
      <c r="J20" s="21">
        <v>0.44900000000000001</v>
      </c>
      <c r="K20" s="22">
        <v>6.5</v>
      </c>
      <c r="L20" s="21">
        <v>-0.37609999999999999</v>
      </c>
      <c r="M20" s="12">
        <v>0.5</v>
      </c>
    </row>
    <row r="21" spans="1:13" ht="10.5" x14ac:dyDescent="0.2">
      <c r="A21" s="7" t="s">
        <v>32</v>
      </c>
      <c r="B21" s="20">
        <v>0.246</v>
      </c>
      <c r="C21" s="20">
        <v>6.0999999999999999E-2</v>
      </c>
      <c r="D21" s="20">
        <v>3.5999999999999997E-2</v>
      </c>
      <c r="E21" s="21">
        <v>2.5499999999999998E-2</v>
      </c>
      <c r="F21" s="21">
        <v>2.9399999999999999E-2</v>
      </c>
      <c r="G21" s="21">
        <v>-0.43099999999999999</v>
      </c>
      <c r="H21" s="21">
        <v>-0.56299999999999994</v>
      </c>
      <c r="I21" s="21">
        <v>-0.5998</v>
      </c>
      <c r="J21" s="21">
        <v>0.63039999999999996</v>
      </c>
      <c r="K21" s="22">
        <v>2.7</v>
      </c>
      <c r="L21" s="21">
        <v>-4.9299999999999997E-2</v>
      </c>
      <c r="M21" s="12">
        <v>1.02</v>
      </c>
    </row>
    <row r="22" spans="1:13" ht="10.5" x14ac:dyDescent="0.2">
      <c r="A22" s="8"/>
      <c r="B22" s="8"/>
      <c r="C22" s="8"/>
      <c r="D22" s="8"/>
      <c r="E22" s="8"/>
      <c r="F22" s="8"/>
      <c r="G22" s="8"/>
      <c r="H22" s="8"/>
      <c r="I22" s="8"/>
      <c r="J22" s="8"/>
      <c r="K22" s="8"/>
      <c r="L22" s="8"/>
      <c r="M22" s="8"/>
    </row>
    <row r="23" spans="1:13" ht="12" customHeight="1" x14ac:dyDescent="0.2">
      <c r="A23" s="7" t="s">
        <v>33</v>
      </c>
      <c r="B23" s="11" t="s">
        <v>58</v>
      </c>
      <c r="C23" s="11" t="s">
        <v>59</v>
      </c>
      <c r="D23" s="11" t="s">
        <v>60</v>
      </c>
      <c r="E23" s="11" t="s">
        <v>61</v>
      </c>
      <c r="F23" s="11" t="s">
        <v>62</v>
      </c>
      <c r="G23" s="11" t="s">
        <v>63</v>
      </c>
      <c r="H23" s="11" t="s">
        <v>64</v>
      </c>
      <c r="I23" s="11" t="s">
        <v>65</v>
      </c>
      <c r="J23" s="11" t="s">
        <v>66</v>
      </c>
      <c r="K23" s="11" t="s">
        <v>67</v>
      </c>
      <c r="L23" s="11" t="s">
        <v>68</v>
      </c>
      <c r="M23" s="11" t="s">
        <v>69</v>
      </c>
    </row>
    <row r="24" spans="1:13" ht="10.5" x14ac:dyDescent="0.2">
      <c r="A24" s="7" t="s">
        <v>34</v>
      </c>
      <c r="B24" s="20">
        <v>0.315</v>
      </c>
      <c r="C24" s="20">
        <v>0.107</v>
      </c>
      <c r="D24" s="20">
        <v>8.7999999999999995E-2</v>
      </c>
      <c r="E24" s="21">
        <v>6.3799999999999996E-2</v>
      </c>
      <c r="F24" s="21">
        <v>0.17649999999999999</v>
      </c>
      <c r="G24" s="21">
        <v>0.20230000000000001</v>
      </c>
      <c r="H24" s="21">
        <v>0.25359999999999999</v>
      </c>
      <c r="I24" s="21">
        <v>0.2165</v>
      </c>
      <c r="J24" s="21">
        <v>0.76119999999999999</v>
      </c>
      <c r="K24" s="22">
        <v>6.5</v>
      </c>
      <c r="L24" s="21">
        <v>0.113</v>
      </c>
      <c r="M24" s="12">
        <v>0.79</v>
      </c>
    </row>
    <row r="25" spans="1:13" ht="10.5" x14ac:dyDescent="0.2">
      <c r="A25" s="7" t="s">
        <v>35</v>
      </c>
      <c r="B25" s="20">
        <v>0.121</v>
      </c>
      <c r="C25" s="20">
        <v>4.2000000000000003E-2</v>
      </c>
      <c r="D25" s="20">
        <v>5.0000000000000001E-3</v>
      </c>
      <c r="E25" s="21">
        <v>1.9099999999999999E-2</v>
      </c>
      <c r="F25" s="21">
        <v>6.7299999999999999E-2</v>
      </c>
      <c r="G25" s="21">
        <v>-9.2799999999999994E-2</v>
      </c>
      <c r="H25" s="21">
        <v>-0.56730000000000003</v>
      </c>
      <c r="I25" s="21">
        <v>-0.34470000000000001</v>
      </c>
      <c r="J25" s="21">
        <v>0.28610000000000002</v>
      </c>
      <c r="K25" s="22">
        <v>0.9</v>
      </c>
      <c r="L25" s="21">
        <v>-0.37609999999999999</v>
      </c>
      <c r="M25" s="12">
        <v>0.32</v>
      </c>
    </row>
    <row r="26" spans="1:13" ht="10.5" x14ac:dyDescent="0.2">
      <c r="A26" s="7" t="s">
        <v>36</v>
      </c>
      <c r="B26" s="20">
        <v>0.24099999999999999</v>
      </c>
      <c r="C26" s="20">
        <v>7.0000000000000007E-2</v>
      </c>
      <c r="D26" s="20">
        <v>4.8000000000000001E-2</v>
      </c>
      <c r="E26" s="21">
        <v>3.7900000000000003E-2</v>
      </c>
      <c r="F26" s="21">
        <v>0.1166</v>
      </c>
      <c r="G26" s="21">
        <v>8.3299999999999999E-2</v>
      </c>
      <c r="H26" s="21">
        <v>-4.0800000000000003E-2</v>
      </c>
      <c r="I26" s="21">
        <v>5.5999999999999999E-3</v>
      </c>
      <c r="J26" s="21">
        <v>0.53369999999999995</v>
      </c>
      <c r="K26" s="22">
        <v>2.7</v>
      </c>
      <c r="L26" s="21">
        <v>1.01E-2</v>
      </c>
      <c r="M26" s="12">
        <v>0.54</v>
      </c>
    </row>
    <row r="27" spans="1:13" ht="10.5" x14ac:dyDescent="0.2">
      <c r="A27" s="7" t="s">
        <v>37</v>
      </c>
      <c r="B27" s="20">
        <v>0.26100000000000001</v>
      </c>
      <c r="C27" s="20">
        <v>5.8000000000000003E-2</v>
      </c>
      <c r="D27" s="20">
        <v>3.9E-2</v>
      </c>
      <c r="E27" s="21">
        <v>3.0800000000000001E-2</v>
      </c>
      <c r="F27" s="21">
        <v>0.1104</v>
      </c>
      <c r="G27" s="21">
        <v>0.1055</v>
      </c>
      <c r="H27" s="21">
        <v>1.5599999999999999E-2</v>
      </c>
      <c r="I27" s="21">
        <v>5.2299999999999999E-2</v>
      </c>
      <c r="J27" s="21">
        <v>0.49270000000000003</v>
      </c>
      <c r="K27" s="22">
        <v>2.2000000000000002</v>
      </c>
      <c r="L27" s="21">
        <v>7.8799999999999995E-2</v>
      </c>
      <c r="M27" s="12">
        <v>0.49</v>
      </c>
    </row>
    <row r="28" spans="1:13" x14ac:dyDescent="0.2">
      <c r="A28" s="10"/>
      <c r="B28" s="10"/>
      <c r="C28" s="10"/>
      <c r="D28" s="10"/>
      <c r="E28" s="10"/>
      <c r="F28" s="10"/>
      <c r="G28" s="10"/>
      <c r="H28" s="10"/>
      <c r="I28" s="10"/>
      <c r="J28" s="10"/>
      <c r="K28" s="10"/>
      <c r="L28" s="10"/>
      <c r="M28" s="10"/>
    </row>
    <row r="30" spans="1:13" x14ac:dyDescent="0.2">
      <c r="A30" s="6" t="s">
        <v>38</v>
      </c>
    </row>
    <row r="35" spans="1:1" x14ac:dyDescent="0.2">
      <c r="A35" t="s">
        <v>39</v>
      </c>
    </row>
    <row r="36" spans="1:1" x14ac:dyDescent="0.2">
      <c r="A36" t="s">
        <v>40</v>
      </c>
    </row>
    <row r="44" spans="1:1" ht="20" x14ac:dyDescent="0.2">
      <c r="A44" s="18" t="s">
        <v>41</v>
      </c>
    </row>
    <row r="46" spans="1:1"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A7C05-E02A-46FF-A39C-EE008A6D30CB}">
  <sheetPr codeName="Sheet6">
    <outlinePr summaryBelow="0" summaryRight="0"/>
  </sheetPr>
  <dimension ref="A4:IU40"/>
  <sheetViews>
    <sheetView defaultGridColor="0" colorId="0" workbookViewId="0"/>
  </sheetViews>
  <sheetFormatPr defaultRowHeight="10" x14ac:dyDescent="0.2"/>
  <cols>
    <col min="1" max="1" width="47.81640625" customWidth="1"/>
    <col min="2" max="3" width="25.81640625" customWidth="1"/>
    <col min="4" max="9" width="9.26953125"/>
  </cols>
  <sheetData>
    <row r="4" spans="1:255" ht="17" x14ac:dyDescent="0.35">
      <c r="A4" s="1" t="s">
        <v>70</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71</v>
      </c>
      <c r="B8" s="4" t="s">
        <v>3</v>
      </c>
    </row>
    <row r="9" spans="1:255" ht="10.5" x14ac:dyDescent="0.25">
      <c r="A9" s="3" t="s">
        <v>72</v>
      </c>
      <c r="B9" s="4" t="s">
        <v>5</v>
      </c>
    </row>
    <row r="10" spans="1:255" ht="10.5" x14ac:dyDescent="0.25">
      <c r="A10" s="3" t="s">
        <v>73</v>
      </c>
      <c r="B10" s="5">
        <v>45045</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7" t="s">
        <v>8</v>
      </c>
      <c r="B14" s="7" t="s">
        <v>74</v>
      </c>
      <c r="C14" s="7" t="s">
        <v>75</v>
      </c>
    </row>
    <row r="15" spans="1:255" ht="12" customHeight="1" x14ac:dyDescent="0.2">
      <c r="A15" s="7" t="s">
        <v>25</v>
      </c>
      <c r="B15" s="23" t="s">
        <v>76</v>
      </c>
      <c r="C15" s="23" t="s">
        <v>77</v>
      </c>
    </row>
    <row r="16" spans="1:255" ht="12" customHeight="1" x14ac:dyDescent="0.2">
      <c r="A16" s="7" t="s">
        <v>27</v>
      </c>
      <c r="B16" s="23" t="s">
        <v>78</v>
      </c>
      <c r="C16" s="23" t="s">
        <v>79</v>
      </c>
    </row>
    <row r="17" spans="1:3" ht="12" customHeight="1" x14ac:dyDescent="0.2">
      <c r="A17" s="7" t="s">
        <v>28</v>
      </c>
      <c r="B17" s="23" t="s">
        <v>80</v>
      </c>
      <c r="C17" s="23" t="s">
        <v>81</v>
      </c>
    </row>
    <row r="18" spans="1:3" ht="12" customHeight="1" x14ac:dyDescent="0.2">
      <c r="A18" s="7" t="s">
        <v>29</v>
      </c>
      <c r="B18" s="23" t="s">
        <v>82</v>
      </c>
      <c r="C18" s="23" t="s">
        <v>83</v>
      </c>
    </row>
    <row r="19" spans="1:3" ht="12" customHeight="1" x14ac:dyDescent="0.2">
      <c r="A19" s="7" t="s">
        <v>30</v>
      </c>
      <c r="B19" s="23" t="s">
        <v>84</v>
      </c>
      <c r="C19" s="23" t="s">
        <v>85</v>
      </c>
    </row>
    <row r="20" spans="1:3" ht="12" customHeight="1" x14ac:dyDescent="0.2">
      <c r="A20" s="7" t="s">
        <v>31</v>
      </c>
      <c r="B20" s="23" t="s">
        <v>86</v>
      </c>
      <c r="C20" s="23" t="s">
        <v>87</v>
      </c>
    </row>
    <row r="21" spans="1:3" ht="10.5" x14ac:dyDescent="0.2">
      <c r="A21" s="8"/>
      <c r="B21" s="8"/>
      <c r="C21" s="8"/>
    </row>
    <row r="22" spans="1:3" ht="10.5" x14ac:dyDescent="0.2">
      <c r="A22" s="9"/>
      <c r="B22" s="9"/>
      <c r="C22" s="9"/>
    </row>
    <row r="23" spans="1:3" ht="12" customHeight="1" x14ac:dyDescent="0.2">
      <c r="A23" s="7" t="s">
        <v>32</v>
      </c>
      <c r="B23" s="23" t="s">
        <v>88</v>
      </c>
      <c r="C23" s="23" t="s">
        <v>89</v>
      </c>
    </row>
    <row r="24" spans="1:3" x14ac:dyDescent="0.2">
      <c r="A24" s="10"/>
      <c r="B24" s="10"/>
      <c r="C24" s="10"/>
    </row>
    <row r="26" spans="1:3" x14ac:dyDescent="0.2">
      <c r="A26" s="6" t="s">
        <v>38</v>
      </c>
    </row>
    <row r="31" spans="1:3" x14ac:dyDescent="0.2">
      <c r="A31" t="s">
        <v>39</v>
      </c>
    </row>
    <row r="32" spans="1:3" x14ac:dyDescent="0.2">
      <c r="A32" t="s">
        <v>40</v>
      </c>
    </row>
    <row r="40" spans="1:1" ht="25" customHeight="1" x14ac:dyDescent="0.2">
      <c r="A40" s="18" t="s">
        <v>41</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88439-30BB-4727-B992-102EABEBE5CB}">
  <sheetPr codeName="Sheet7">
    <outlinePr summaryBelow="0" summaryRight="0"/>
  </sheetPr>
  <dimension ref="A4:IU69"/>
  <sheetViews>
    <sheetView defaultGridColor="0" colorId="0" workbookViewId="0"/>
  </sheetViews>
  <sheetFormatPr defaultRowHeight="10" x14ac:dyDescent="0.2"/>
  <cols>
    <col min="1" max="1" width="25.81640625" customWidth="1"/>
    <col min="2" max="3" width="20.81640625" customWidth="1"/>
    <col min="4" max="9" width="25.81640625" customWidth="1"/>
  </cols>
  <sheetData>
    <row r="4" spans="1:255" ht="17" x14ac:dyDescent="0.35">
      <c r="A4" s="1" t="s">
        <v>90</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91</v>
      </c>
      <c r="B8" s="4" t="s">
        <v>3</v>
      </c>
    </row>
    <row r="9" spans="1:255" ht="10.5" x14ac:dyDescent="0.25">
      <c r="A9" s="3" t="s">
        <v>92</v>
      </c>
      <c r="B9" s="4" t="s">
        <v>5</v>
      </c>
    </row>
    <row r="10" spans="1:255" ht="10.5" x14ac:dyDescent="0.25">
      <c r="A10" s="3" t="s">
        <v>93</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9" t="s">
        <v>8</v>
      </c>
      <c r="B14" s="11" t="s">
        <v>18</v>
      </c>
      <c r="C14" s="11" t="s">
        <v>19</v>
      </c>
      <c r="D14" s="11" t="s">
        <v>20</v>
      </c>
      <c r="E14" s="11" t="s">
        <v>22</v>
      </c>
      <c r="F14" s="11" t="s">
        <v>23</v>
      </c>
      <c r="G14" s="11" t="s">
        <v>94</v>
      </c>
      <c r="H14" s="11" t="s">
        <v>24</v>
      </c>
      <c r="I14" s="11" t="s">
        <v>16</v>
      </c>
    </row>
    <row r="15" spans="1:255" ht="12" customHeight="1" x14ac:dyDescent="0.2">
      <c r="A15" s="7" t="s">
        <v>32</v>
      </c>
      <c r="B15" s="13">
        <v>109120</v>
      </c>
      <c r="C15" s="13">
        <v>6660</v>
      </c>
      <c r="D15" s="13">
        <v>3960</v>
      </c>
      <c r="E15" s="12">
        <v>111370.91</v>
      </c>
      <c r="F15" s="12">
        <v>8205.02</v>
      </c>
      <c r="G15" s="12">
        <v>6.02</v>
      </c>
      <c r="H15" s="12">
        <v>8.52</v>
      </c>
      <c r="I15" s="12">
        <v>23</v>
      </c>
    </row>
    <row r="16" spans="1:255" ht="10.5" x14ac:dyDescent="0.2">
      <c r="A16" s="8"/>
      <c r="B16" s="8"/>
      <c r="C16" s="8"/>
      <c r="D16" s="8"/>
      <c r="E16" s="8"/>
      <c r="F16" s="8"/>
      <c r="G16" s="8"/>
      <c r="H16" s="8"/>
      <c r="I16" s="8"/>
    </row>
    <row r="17" spans="1:9" ht="10.5" x14ac:dyDescent="0.2">
      <c r="A17" s="9"/>
      <c r="B17" s="9" t="s">
        <v>95</v>
      </c>
      <c r="C17" s="9" t="s">
        <v>95</v>
      </c>
      <c r="D17" s="9" t="s">
        <v>95</v>
      </c>
      <c r="E17" s="9" t="s">
        <v>96</v>
      </c>
      <c r="F17" s="9" t="s">
        <v>95</v>
      </c>
      <c r="G17" s="9" t="s">
        <v>95</v>
      </c>
      <c r="H17" s="9" t="s">
        <v>97</v>
      </c>
      <c r="I17" s="9" t="s">
        <v>95</v>
      </c>
    </row>
    <row r="18" spans="1:9" ht="21" x14ac:dyDescent="0.2">
      <c r="A18" s="9"/>
      <c r="B18" s="11" t="s">
        <v>46</v>
      </c>
      <c r="C18" s="11" t="s">
        <v>47</v>
      </c>
      <c r="D18" s="11" t="s">
        <v>48</v>
      </c>
      <c r="E18" s="11" t="s">
        <v>98</v>
      </c>
      <c r="F18" s="11" t="s">
        <v>99</v>
      </c>
      <c r="G18" s="11" t="s">
        <v>49</v>
      </c>
      <c r="H18" s="11" t="s">
        <v>100</v>
      </c>
      <c r="I18" s="11" t="s">
        <v>50</v>
      </c>
    </row>
    <row r="19" spans="1:9" ht="10.5" x14ac:dyDescent="0.2">
      <c r="A19" s="9" t="s">
        <v>34</v>
      </c>
      <c r="B19" s="14" t="s">
        <v>101</v>
      </c>
      <c r="C19" s="14" t="s">
        <v>101</v>
      </c>
      <c r="D19" s="14" t="s">
        <v>101</v>
      </c>
      <c r="E19" s="19">
        <v>1.64</v>
      </c>
      <c r="F19" s="19">
        <v>19.86</v>
      </c>
      <c r="G19" s="14" t="s">
        <v>101</v>
      </c>
      <c r="H19" s="19">
        <v>33.369999999999997</v>
      </c>
      <c r="I19" s="14" t="s">
        <v>101</v>
      </c>
    </row>
    <row r="20" spans="1:9" ht="10.5" x14ac:dyDescent="0.2">
      <c r="A20" s="9" t="s">
        <v>35</v>
      </c>
      <c r="B20" s="14" t="s">
        <v>101</v>
      </c>
      <c r="C20" s="14" t="s">
        <v>101</v>
      </c>
      <c r="D20" s="14" t="s">
        <v>101</v>
      </c>
      <c r="E20" s="19">
        <v>0.46</v>
      </c>
      <c r="F20" s="19">
        <v>8.7100000000000009</v>
      </c>
      <c r="G20" s="14" t="s">
        <v>101</v>
      </c>
      <c r="H20" s="19">
        <v>10.01</v>
      </c>
      <c r="I20" s="14" t="s">
        <v>101</v>
      </c>
    </row>
    <row r="21" spans="1:9" ht="10.5" x14ac:dyDescent="0.2">
      <c r="A21" s="9" t="s">
        <v>36</v>
      </c>
      <c r="B21" s="14" t="s">
        <v>101</v>
      </c>
      <c r="C21" s="14" t="s">
        <v>101</v>
      </c>
      <c r="D21" s="14" t="s">
        <v>101</v>
      </c>
      <c r="E21" s="19">
        <v>0.97</v>
      </c>
      <c r="F21" s="19">
        <v>13.98</v>
      </c>
      <c r="G21" s="14" t="s">
        <v>101</v>
      </c>
      <c r="H21" s="19">
        <v>21.69</v>
      </c>
      <c r="I21" s="14" t="s">
        <v>101</v>
      </c>
    </row>
    <row r="22" spans="1:9" ht="10.5" x14ac:dyDescent="0.2">
      <c r="A22" s="9" t="s">
        <v>37</v>
      </c>
      <c r="B22" s="14" t="s">
        <v>101</v>
      </c>
      <c r="C22" s="14" t="s">
        <v>101</v>
      </c>
      <c r="D22" s="14" t="s">
        <v>101</v>
      </c>
      <c r="E22" s="19">
        <v>0.81</v>
      </c>
      <c r="F22" s="19">
        <v>13.86</v>
      </c>
      <c r="G22" s="14" t="s">
        <v>101</v>
      </c>
      <c r="H22" s="19">
        <v>21.4</v>
      </c>
      <c r="I22" s="14" t="s">
        <v>101</v>
      </c>
    </row>
    <row r="23" spans="1:9" ht="10.5" x14ac:dyDescent="0.2">
      <c r="A23" s="8"/>
      <c r="B23" s="8"/>
      <c r="C23" s="8"/>
      <c r="D23" s="8"/>
      <c r="E23" s="8"/>
      <c r="F23" s="8"/>
      <c r="G23" s="8"/>
      <c r="H23" s="8"/>
      <c r="I23" s="8"/>
    </row>
    <row r="24" spans="1:9" ht="10.5" x14ac:dyDescent="0.2">
      <c r="A24" s="9" t="s">
        <v>102</v>
      </c>
      <c r="B24" s="9"/>
      <c r="C24" s="9"/>
      <c r="D24" s="9"/>
      <c r="E24" s="9"/>
      <c r="F24" s="9"/>
      <c r="G24" s="9"/>
      <c r="H24" s="9"/>
      <c r="I24" s="9"/>
    </row>
    <row r="25" spans="1:9" ht="10.5" x14ac:dyDescent="0.2">
      <c r="A25" s="7" t="s">
        <v>34</v>
      </c>
      <c r="B25" s="14" t="s">
        <v>103</v>
      </c>
      <c r="C25" s="14" t="s">
        <v>103</v>
      </c>
      <c r="D25" s="14" t="s">
        <v>103</v>
      </c>
      <c r="E25" s="12">
        <v>183056.89</v>
      </c>
      <c r="F25" s="12">
        <v>162950.96</v>
      </c>
      <c r="G25" s="8"/>
      <c r="H25" s="8"/>
      <c r="I25" s="8"/>
    </row>
    <row r="26" spans="1:9" ht="10.5" x14ac:dyDescent="0.2">
      <c r="A26" s="7" t="s">
        <v>35</v>
      </c>
      <c r="B26" s="14" t="s">
        <v>103</v>
      </c>
      <c r="C26" s="14" t="s">
        <v>103</v>
      </c>
      <c r="D26" s="14" t="s">
        <v>103</v>
      </c>
      <c r="E26" s="12">
        <v>51003.83</v>
      </c>
      <c r="F26" s="12">
        <v>71441.45</v>
      </c>
      <c r="G26" s="8"/>
      <c r="H26" s="8"/>
      <c r="I26" s="8"/>
    </row>
    <row r="27" spans="1:9" ht="10.5" x14ac:dyDescent="0.2">
      <c r="A27" s="7" t="s">
        <v>36</v>
      </c>
      <c r="B27" s="14" t="s">
        <v>103</v>
      </c>
      <c r="C27" s="14" t="s">
        <v>103</v>
      </c>
      <c r="D27" s="14" t="s">
        <v>103</v>
      </c>
      <c r="E27" s="12">
        <v>107513.17</v>
      </c>
      <c r="F27" s="12">
        <v>114706.79</v>
      </c>
      <c r="G27" s="8"/>
      <c r="H27" s="8"/>
      <c r="I27" s="8"/>
    </row>
    <row r="28" spans="1:9" ht="10.5" x14ac:dyDescent="0.2">
      <c r="A28" s="7" t="s">
        <v>37</v>
      </c>
      <c r="B28" s="14" t="s">
        <v>103</v>
      </c>
      <c r="C28" s="14" t="s">
        <v>103</v>
      </c>
      <c r="D28" s="14" t="s">
        <v>103</v>
      </c>
      <c r="E28" s="12">
        <v>90062.13</v>
      </c>
      <c r="F28" s="12">
        <v>113741.45</v>
      </c>
      <c r="G28" s="8"/>
      <c r="H28" s="8"/>
      <c r="I28" s="8"/>
    </row>
    <row r="29" spans="1:9" ht="10.5" x14ac:dyDescent="0.2">
      <c r="A29" s="8"/>
      <c r="B29" s="8"/>
      <c r="C29" s="8"/>
      <c r="D29" s="8"/>
      <c r="E29" s="8"/>
      <c r="F29" s="8"/>
      <c r="G29" s="8"/>
      <c r="H29" s="8"/>
      <c r="I29" s="8"/>
    </row>
    <row r="30" spans="1:9" ht="12" customHeight="1" x14ac:dyDescent="0.2">
      <c r="A30" s="9" t="s">
        <v>104</v>
      </c>
      <c r="B30" s="13">
        <v>2229</v>
      </c>
      <c r="C30" s="13">
        <v>2229</v>
      </c>
      <c r="D30" s="13">
        <v>2229</v>
      </c>
      <c r="E30" s="13">
        <v>2229</v>
      </c>
      <c r="F30" s="13">
        <v>2229</v>
      </c>
      <c r="G30" s="8"/>
      <c r="H30" s="8"/>
      <c r="I30" s="8"/>
    </row>
    <row r="31" spans="1:9" ht="12" customHeight="1" x14ac:dyDescent="0.2">
      <c r="A31" s="9" t="s">
        <v>105</v>
      </c>
      <c r="B31" s="13">
        <v>19154</v>
      </c>
      <c r="C31" s="13">
        <v>19154</v>
      </c>
      <c r="D31" s="13">
        <v>19154</v>
      </c>
      <c r="E31" s="13">
        <v>19154</v>
      </c>
      <c r="F31" s="13">
        <v>19154</v>
      </c>
      <c r="G31" s="8"/>
      <c r="H31" s="8"/>
      <c r="I31" s="8"/>
    </row>
    <row r="32" spans="1:9" ht="12" customHeight="1" x14ac:dyDescent="0.2">
      <c r="A32" s="9" t="s">
        <v>106</v>
      </c>
      <c r="B32" s="14" t="s">
        <v>26</v>
      </c>
      <c r="C32" s="14" t="s">
        <v>26</v>
      </c>
      <c r="D32" s="14" t="s">
        <v>26</v>
      </c>
      <c r="E32" s="14" t="s">
        <v>26</v>
      </c>
      <c r="F32" s="14" t="s">
        <v>26</v>
      </c>
      <c r="G32" s="8"/>
      <c r="H32" s="8"/>
      <c r="I32" s="8"/>
    </row>
    <row r="33" spans="1:9" ht="12" customHeight="1" x14ac:dyDescent="0.2">
      <c r="A33" s="9" t="s">
        <v>107</v>
      </c>
      <c r="B33" s="14" t="s">
        <v>26</v>
      </c>
      <c r="C33" s="14" t="s">
        <v>26</v>
      </c>
      <c r="D33" s="14" t="s">
        <v>26</v>
      </c>
      <c r="E33" s="14" t="s">
        <v>26</v>
      </c>
      <c r="F33" s="14" t="s">
        <v>26</v>
      </c>
      <c r="G33" s="8"/>
      <c r="H33" s="8"/>
      <c r="I33" s="8"/>
    </row>
    <row r="34" spans="1:9" ht="10.5" x14ac:dyDescent="0.2">
      <c r="A34" s="8"/>
      <c r="B34" s="8"/>
      <c r="C34" s="8"/>
      <c r="D34" s="8"/>
      <c r="E34" s="8"/>
      <c r="F34" s="8"/>
      <c r="G34" s="8"/>
      <c r="H34" s="8"/>
      <c r="I34" s="8"/>
    </row>
    <row r="35" spans="1:9" ht="10.5" x14ac:dyDescent="0.2">
      <c r="A35" s="9" t="s">
        <v>108</v>
      </c>
      <c r="B35" s="9"/>
      <c r="C35" s="9"/>
      <c r="D35" s="9"/>
      <c r="E35" s="9"/>
      <c r="F35" s="9"/>
      <c r="G35" s="9"/>
      <c r="H35" s="9"/>
      <c r="I35" s="9"/>
    </row>
    <row r="36" spans="1:9" ht="10.5" x14ac:dyDescent="0.2">
      <c r="A36" s="7" t="s">
        <v>34</v>
      </c>
      <c r="B36" s="14" t="s">
        <v>103</v>
      </c>
      <c r="C36" s="14" t="s">
        <v>103</v>
      </c>
      <c r="D36" s="14" t="s">
        <v>103</v>
      </c>
      <c r="E36" s="12">
        <v>166131.89000000001</v>
      </c>
      <c r="F36" s="12">
        <v>146025.96</v>
      </c>
      <c r="G36" s="14" t="s">
        <v>103</v>
      </c>
      <c r="H36" s="12">
        <v>130922.69</v>
      </c>
      <c r="I36" s="14" t="s">
        <v>103</v>
      </c>
    </row>
    <row r="37" spans="1:9" ht="10.5" x14ac:dyDescent="0.2">
      <c r="A37" s="7" t="s">
        <v>35</v>
      </c>
      <c r="B37" s="14" t="s">
        <v>103</v>
      </c>
      <c r="C37" s="14" t="s">
        <v>103</v>
      </c>
      <c r="D37" s="14" t="s">
        <v>103</v>
      </c>
      <c r="E37" s="12">
        <v>34078.83</v>
      </c>
      <c r="F37" s="12">
        <v>54516.45</v>
      </c>
      <c r="G37" s="14" t="s">
        <v>103</v>
      </c>
      <c r="H37" s="12">
        <v>39281.620000000003</v>
      </c>
      <c r="I37" s="14" t="s">
        <v>103</v>
      </c>
    </row>
    <row r="38" spans="1:9" ht="10.5" x14ac:dyDescent="0.2">
      <c r="A38" s="7" t="s">
        <v>36</v>
      </c>
      <c r="B38" s="14" t="s">
        <v>103</v>
      </c>
      <c r="C38" s="14" t="s">
        <v>103</v>
      </c>
      <c r="D38" s="14" t="s">
        <v>103</v>
      </c>
      <c r="E38" s="12">
        <v>90588.17</v>
      </c>
      <c r="F38" s="12">
        <v>97781.79</v>
      </c>
      <c r="G38" s="14" t="s">
        <v>103</v>
      </c>
      <c r="H38" s="12">
        <v>85100.95</v>
      </c>
      <c r="I38" s="14" t="s">
        <v>103</v>
      </c>
    </row>
    <row r="39" spans="1:9" ht="10.5" x14ac:dyDescent="0.2">
      <c r="A39" s="7" t="s">
        <v>37</v>
      </c>
      <c r="B39" s="14" t="s">
        <v>103</v>
      </c>
      <c r="C39" s="14" t="s">
        <v>103</v>
      </c>
      <c r="D39" s="14" t="s">
        <v>103</v>
      </c>
      <c r="E39" s="12">
        <v>73137.13</v>
      </c>
      <c r="F39" s="12">
        <v>96816.45</v>
      </c>
      <c r="G39" s="14" t="s">
        <v>103</v>
      </c>
      <c r="H39" s="12">
        <v>83956.36</v>
      </c>
      <c r="I39" s="14" t="s">
        <v>103</v>
      </c>
    </row>
    <row r="40" spans="1:9" ht="10.5" x14ac:dyDescent="0.2">
      <c r="A40" s="8"/>
      <c r="B40" s="8"/>
      <c r="C40" s="8"/>
      <c r="D40" s="8"/>
      <c r="E40" s="8"/>
      <c r="F40" s="8"/>
      <c r="G40" s="8"/>
      <c r="H40" s="8"/>
      <c r="I40" s="8"/>
    </row>
    <row r="41" spans="1:9" ht="12" customHeight="1" x14ac:dyDescent="0.2">
      <c r="A41" s="9" t="s">
        <v>109</v>
      </c>
      <c r="B41" s="12">
        <v>460.36</v>
      </c>
      <c r="C41" s="12">
        <v>460.36</v>
      </c>
      <c r="D41" s="12">
        <v>460.36</v>
      </c>
      <c r="E41" s="12">
        <v>460.36</v>
      </c>
      <c r="F41" s="12">
        <v>460.36</v>
      </c>
      <c r="G41" s="12">
        <v>460.36</v>
      </c>
      <c r="H41" s="12">
        <v>460.36</v>
      </c>
      <c r="I41" s="12">
        <v>460.36</v>
      </c>
    </row>
    <row r="42" spans="1:9" ht="10.5" x14ac:dyDescent="0.2">
      <c r="A42" s="8"/>
      <c r="B42" s="8"/>
      <c r="C42" s="8"/>
      <c r="D42" s="8"/>
      <c r="E42" s="8"/>
      <c r="F42" s="8"/>
      <c r="G42" s="8"/>
      <c r="H42" s="8"/>
      <c r="I42" s="8"/>
    </row>
    <row r="43" spans="1:9" ht="10.5" x14ac:dyDescent="0.2">
      <c r="A43" s="9" t="s">
        <v>110</v>
      </c>
      <c r="B43" s="9"/>
      <c r="C43" s="9"/>
      <c r="D43" s="9"/>
      <c r="E43" s="9"/>
      <c r="F43" s="9"/>
      <c r="G43" s="9"/>
      <c r="H43" s="9"/>
      <c r="I43" s="9"/>
    </row>
    <row r="44" spans="1:9" ht="10.5" x14ac:dyDescent="0.2">
      <c r="A44" s="7" t="s">
        <v>34</v>
      </c>
      <c r="B44" s="14" t="s">
        <v>103</v>
      </c>
      <c r="C44" s="14" t="s">
        <v>103</v>
      </c>
      <c r="D44" s="14" t="s">
        <v>103</v>
      </c>
      <c r="E44" s="12">
        <v>360.87</v>
      </c>
      <c r="F44" s="12">
        <v>317.2</v>
      </c>
      <c r="G44" s="14" t="s">
        <v>103</v>
      </c>
      <c r="H44" s="12">
        <v>284.39</v>
      </c>
      <c r="I44" s="14" t="s">
        <v>103</v>
      </c>
    </row>
    <row r="45" spans="1:9" ht="10.5" x14ac:dyDescent="0.2">
      <c r="A45" s="7" t="s">
        <v>35</v>
      </c>
      <c r="B45" s="14" t="s">
        <v>103</v>
      </c>
      <c r="C45" s="14" t="s">
        <v>103</v>
      </c>
      <c r="D45" s="14" t="s">
        <v>103</v>
      </c>
      <c r="E45" s="12">
        <v>74.03</v>
      </c>
      <c r="F45" s="12">
        <v>118.42</v>
      </c>
      <c r="G45" s="14" t="s">
        <v>103</v>
      </c>
      <c r="H45" s="12">
        <v>85.33</v>
      </c>
      <c r="I45" s="14" t="s">
        <v>103</v>
      </c>
    </row>
    <row r="46" spans="1:9" ht="10.5" x14ac:dyDescent="0.2">
      <c r="A46" s="7" t="s">
        <v>36</v>
      </c>
      <c r="B46" s="14" t="s">
        <v>103</v>
      </c>
      <c r="C46" s="14" t="s">
        <v>103</v>
      </c>
      <c r="D46" s="14" t="s">
        <v>103</v>
      </c>
      <c r="E46" s="12">
        <v>196.78</v>
      </c>
      <c r="F46" s="12">
        <v>212.4</v>
      </c>
      <c r="G46" s="14" t="s">
        <v>103</v>
      </c>
      <c r="H46" s="12">
        <v>184.86</v>
      </c>
      <c r="I46" s="14" t="s">
        <v>103</v>
      </c>
    </row>
    <row r="47" spans="1:9" ht="10.5" x14ac:dyDescent="0.2">
      <c r="A47" s="7" t="s">
        <v>37</v>
      </c>
      <c r="B47" s="14" t="s">
        <v>103</v>
      </c>
      <c r="C47" s="14" t="s">
        <v>103</v>
      </c>
      <c r="D47" s="14" t="s">
        <v>103</v>
      </c>
      <c r="E47" s="12">
        <v>158.87</v>
      </c>
      <c r="F47" s="12">
        <v>210.3</v>
      </c>
      <c r="G47" s="14" t="s">
        <v>103</v>
      </c>
      <c r="H47" s="12">
        <v>182.37</v>
      </c>
      <c r="I47" s="14" t="s">
        <v>103</v>
      </c>
    </row>
    <row r="48" spans="1:9" ht="10.5" x14ac:dyDescent="0.2">
      <c r="A48" s="8"/>
      <c r="B48" s="8"/>
      <c r="C48" s="8"/>
      <c r="D48" s="8"/>
      <c r="E48" s="8"/>
      <c r="F48" s="8"/>
      <c r="G48" s="8"/>
      <c r="H48" s="8"/>
      <c r="I48" s="8"/>
    </row>
    <row r="49" spans="1:9" ht="10.5" x14ac:dyDescent="0.2">
      <c r="A49" s="9" t="s">
        <v>111</v>
      </c>
      <c r="B49" s="11" t="s">
        <v>112</v>
      </c>
      <c r="C49" s="11" t="s">
        <v>113</v>
      </c>
      <c r="D49" s="9"/>
      <c r="E49" s="9"/>
      <c r="F49" s="9"/>
      <c r="G49" s="9"/>
      <c r="H49" s="9"/>
      <c r="I49" s="9"/>
    </row>
    <row r="50" spans="1:9" ht="10.5" x14ac:dyDescent="0.2">
      <c r="A50" s="9" t="s">
        <v>34</v>
      </c>
      <c r="B50" s="24">
        <v>147693.51</v>
      </c>
      <c r="C50" s="24">
        <v>320.82</v>
      </c>
      <c r="D50" s="8"/>
      <c r="E50" s="8"/>
      <c r="F50" s="8"/>
      <c r="G50" s="8"/>
      <c r="H50" s="8"/>
      <c r="I50" s="8"/>
    </row>
    <row r="51" spans="1:9" ht="10.5" x14ac:dyDescent="0.2">
      <c r="A51" s="9" t="s">
        <v>35</v>
      </c>
      <c r="B51" s="24">
        <v>42625.63</v>
      </c>
      <c r="C51" s="24">
        <v>92.59</v>
      </c>
      <c r="D51" s="8"/>
      <c r="E51" s="8"/>
      <c r="F51" s="8"/>
      <c r="G51" s="8"/>
      <c r="H51" s="8"/>
      <c r="I51" s="8"/>
    </row>
    <row r="52" spans="1:9" ht="10.5" x14ac:dyDescent="0.2">
      <c r="A52" s="9" t="s">
        <v>36</v>
      </c>
      <c r="B52" s="24">
        <v>91156.97</v>
      </c>
      <c r="C52" s="24">
        <v>198.01</v>
      </c>
      <c r="D52" s="8"/>
      <c r="E52" s="8"/>
      <c r="F52" s="8"/>
      <c r="G52" s="8"/>
      <c r="H52" s="8"/>
      <c r="I52" s="8"/>
    </row>
    <row r="53" spans="1:9" ht="10.5" x14ac:dyDescent="0.2">
      <c r="A53" s="9" t="s">
        <v>37</v>
      </c>
      <c r="B53" s="24">
        <v>84636.65</v>
      </c>
      <c r="C53" s="24">
        <v>183.85</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39</v>
      </c>
    </row>
    <row r="69" spans="1:1" ht="25" customHeight="1" x14ac:dyDescent="0.2">
      <c r="A69" s="18" t="s">
        <v>41</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E1AF0-14AC-4677-8A4D-75A1D775DC7E}">
  <sheetPr codeName="Sheet8">
    <outlinePr summaryBelow="0" summaryRight="0"/>
  </sheetPr>
  <dimension ref="A4:IU32"/>
  <sheetViews>
    <sheetView defaultGridColor="0" colorId="0" workbookViewId="0"/>
  </sheetViews>
  <sheetFormatPr defaultRowHeight="10" x14ac:dyDescent="0.2"/>
  <cols>
    <col min="1" max="1" width="25.81640625" customWidth="1"/>
    <col min="2" max="2" width="75.81640625" customWidth="1"/>
    <col min="3" max="8" width="9.26953125"/>
  </cols>
  <sheetData>
    <row r="4" spans="1:255" ht="17" x14ac:dyDescent="0.35">
      <c r="A4" s="1" t="s">
        <v>114</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115</v>
      </c>
      <c r="B8" s="4" t="s">
        <v>3</v>
      </c>
    </row>
    <row r="9" spans="1:255" ht="10.5" x14ac:dyDescent="0.25">
      <c r="A9" s="3" t="s">
        <v>116</v>
      </c>
      <c r="B9" s="4" t="s">
        <v>5</v>
      </c>
    </row>
    <row r="10" spans="1:255" ht="10.5" x14ac:dyDescent="0.25">
      <c r="A10" s="3" t="s">
        <v>117</v>
      </c>
      <c r="B10" s="5">
        <v>45045</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25"/>
      <c r="B14" s="27"/>
    </row>
    <row r="15" spans="1:255" ht="400" customHeight="1" x14ac:dyDescent="0.2">
      <c r="A15" s="26"/>
      <c r="B15" s="10"/>
    </row>
    <row r="18" spans="1:1" x14ac:dyDescent="0.2">
      <c r="A18" s="6"/>
    </row>
    <row r="23" spans="1:1" x14ac:dyDescent="0.2">
      <c r="A23" t="s">
        <v>39</v>
      </c>
    </row>
    <row r="32" spans="1:1" ht="25" customHeight="1" x14ac:dyDescent="0.2">
      <c r="A32" s="18" t="s">
        <v>41</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B4D5B-FD0F-4315-9078-197F1B12E267}">
  <sheetPr codeName="Sheet9">
    <outlinePr summaryBelow="0" summaryRight="0"/>
  </sheetPr>
  <dimension ref="A4:IU44"/>
  <sheetViews>
    <sheetView defaultGridColor="0" colorId="0" workbookViewId="0"/>
  </sheetViews>
  <sheetFormatPr defaultRowHeight="10" x14ac:dyDescent="0.2"/>
  <cols>
    <col min="1" max="1" width="47.81640625" customWidth="1"/>
    <col min="2" max="5" width="13.81640625" customWidth="1"/>
    <col min="6" max="12" width="25.81640625" customWidth="1"/>
  </cols>
  <sheetData>
    <row r="4" spans="1:255" ht="17" x14ac:dyDescent="0.35">
      <c r="A4" s="1" t="s">
        <v>118</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119</v>
      </c>
      <c r="B8" s="4" t="s">
        <v>3</v>
      </c>
    </row>
    <row r="9" spans="1:255" ht="10.5" x14ac:dyDescent="0.25">
      <c r="A9" s="3" t="s">
        <v>120</v>
      </c>
      <c r="B9" s="4" t="s">
        <v>5</v>
      </c>
    </row>
    <row r="10" spans="1:255" ht="10.5" x14ac:dyDescent="0.25">
      <c r="A10" s="3" t="s">
        <v>121</v>
      </c>
      <c r="B10" s="5">
        <v>45045</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28" t="s">
        <v>8</v>
      </c>
      <c r="B14" s="29" t="s">
        <v>122</v>
      </c>
      <c r="C14" s="29" t="s">
        <v>123</v>
      </c>
      <c r="D14" s="29" t="s">
        <v>124</v>
      </c>
      <c r="E14" s="29" t="s">
        <v>125</v>
      </c>
      <c r="F14" s="34" t="s">
        <v>126</v>
      </c>
      <c r="G14" s="34" t="s">
        <v>127</v>
      </c>
      <c r="H14" s="29" t="s">
        <v>128</v>
      </c>
      <c r="I14" s="29" t="s">
        <v>129</v>
      </c>
      <c r="J14" s="29" t="s">
        <v>130</v>
      </c>
      <c r="K14" s="28" t="s">
        <v>131</v>
      </c>
      <c r="L14" s="28" t="s">
        <v>132</v>
      </c>
    </row>
    <row r="15" spans="1:255" ht="12" customHeight="1" x14ac:dyDescent="0.2">
      <c r="A15" s="28" t="s">
        <v>25</v>
      </c>
      <c r="B15" s="30">
        <v>1</v>
      </c>
      <c r="C15" s="31">
        <v>2</v>
      </c>
      <c r="D15" s="30">
        <v>1</v>
      </c>
      <c r="E15" s="30">
        <v>1</v>
      </c>
      <c r="F15" s="35">
        <v>44969</v>
      </c>
      <c r="G15" s="35">
        <v>44996</v>
      </c>
      <c r="H15" s="36" t="s">
        <v>133</v>
      </c>
      <c r="I15" s="36" t="s">
        <v>134</v>
      </c>
      <c r="J15" s="36" t="s">
        <v>135</v>
      </c>
      <c r="K15" s="37" t="s">
        <v>136</v>
      </c>
      <c r="L15" s="37" t="s">
        <v>137</v>
      </c>
    </row>
    <row r="16" spans="1:255" ht="12" customHeight="1" x14ac:dyDescent="0.2">
      <c r="A16" s="28" t="s">
        <v>28</v>
      </c>
      <c r="B16" s="31">
        <v>2</v>
      </c>
      <c r="C16" s="30">
        <v>1</v>
      </c>
      <c r="D16" s="31">
        <v>2</v>
      </c>
      <c r="E16" s="31">
        <v>2</v>
      </c>
      <c r="F16" s="35">
        <v>44957</v>
      </c>
      <c r="G16" s="35">
        <v>45004</v>
      </c>
      <c r="H16" s="36" t="s">
        <v>138</v>
      </c>
      <c r="I16" s="36" t="s">
        <v>134</v>
      </c>
      <c r="J16" s="36" t="s">
        <v>139</v>
      </c>
      <c r="K16" s="37" t="s">
        <v>136</v>
      </c>
      <c r="L16" s="37" t="s">
        <v>137</v>
      </c>
    </row>
    <row r="17" spans="1:12" ht="12" customHeight="1" x14ac:dyDescent="0.2">
      <c r="A17" s="28" t="s">
        <v>29</v>
      </c>
      <c r="B17" s="31">
        <v>2</v>
      </c>
      <c r="C17" s="32">
        <v>3</v>
      </c>
      <c r="D17" s="31">
        <v>2</v>
      </c>
      <c r="E17" s="33">
        <v>4</v>
      </c>
      <c r="F17" s="35">
        <v>44954</v>
      </c>
      <c r="G17" s="35">
        <v>45003</v>
      </c>
      <c r="H17" s="36" t="s">
        <v>140</v>
      </c>
      <c r="I17" s="36" t="s">
        <v>141</v>
      </c>
      <c r="J17" s="36" t="s">
        <v>142</v>
      </c>
      <c r="K17" s="37" t="s">
        <v>136</v>
      </c>
      <c r="L17" s="37" t="s">
        <v>137</v>
      </c>
    </row>
    <row r="18" spans="1:12" ht="12" customHeight="1" x14ac:dyDescent="0.2">
      <c r="A18" s="28" t="s">
        <v>30</v>
      </c>
      <c r="B18" s="32">
        <v>3</v>
      </c>
      <c r="C18" s="32">
        <v>3</v>
      </c>
      <c r="D18" s="32">
        <v>3</v>
      </c>
      <c r="E18" s="33">
        <v>4</v>
      </c>
      <c r="F18" s="35">
        <v>44954</v>
      </c>
      <c r="G18" s="35">
        <v>45002</v>
      </c>
      <c r="H18" s="36" t="s">
        <v>143</v>
      </c>
      <c r="I18" s="36" t="s">
        <v>144</v>
      </c>
      <c r="J18" s="36" t="s">
        <v>145</v>
      </c>
      <c r="K18" s="37" t="s">
        <v>136</v>
      </c>
      <c r="L18" s="37" t="s">
        <v>137</v>
      </c>
    </row>
    <row r="19" spans="1:12" ht="12" customHeight="1" x14ac:dyDescent="0.2">
      <c r="A19" s="28" t="s">
        <v>27</v>
      </c>
      <c r="B19" s="33">
        <v>4</v>
      </c>
      <c r="C19" s="31">
        <v>2</v>
      </c>
      <c r="D19" s="33">
        <v>4</v>
      </c>
      <c r="E19" s="32">
        <v>3</v>
      </c>
      <c r="F19" s="35">
        <v>44960</v>
      </c>
      <c r="G19" s="35">
        <v>45011</v>
      </c>
      <c r="H19" s="36" t="s">
        <v>140</v>
      </c>
      <c r="I19" s="36" t="s">
        <v>141</v>
      </c>
      <c r="J19" s="36" t="s">
        <v>146</v>
      </c>
      <c r="K19" s="37" t="s">
        <v>136</v>
      </c>
      <c r="L19" s="37" t="s">
        <v>137</v>
      </c>
    </row>
    <row r="20" spans="1:12" ht="12" customHeight="1" x14ac:dyDescent="0.2">
      <c r="A20" s="28" t="s">
        <v>31</v>
      </c>
      <c r="B20" s="33">
        <v>4</v>
      </c>
      <c r="C20" s="33">
        <v>4</v>
      </c>
      <c r="D20" s="33">
        <v>4</v>
      </c>
      <c r="E20" s="31">
        <v>2</v>
      </c>
      <c r="F20" s="35">
        <v>44926</v>
      </c>
      <c r="G20" s="35">
        <v>45007</v>
      </c>
      <c r="H20" s="36" t="s">
        <v>147</v>
      </c>
      <c r="I20" s="36" t="s">
        <v>148</v>
      </c>
      <c r="J20" s="36" t="s">
        <v>149</v>
      </c>
      <c r="K20" s="37" t="s">
        <v>150</v>
      </c>
      <c r="L20" s="37" t="s">
        <v>137</v>
      </c>
    </row>
    <row r="21" spans="1:12" ht="10.5" x14ac:dyDescent="0.2">
      <c r="A21" s="8"/>
      <c r="B21" s="8"/>
      <c r="C21" s="8"/>
      <c r="D21" s="8"/>
      <c r="E21" s="8"/>
      <c r="F21" s="8"/>
      <c r="G21" s="8"/>
      <c r="H21" s="8"/>
      <c r="I21" s="8"/>
      <c r="J21" s="8"/>
      <c r="K21" s="8"/>
      <c r="L21" s="8"/>
    </row>
    <row r="22" spans="1:12" ht="10.5" x14ac:dyDescent="0.2">
      <c r="A22" s="9"/>
      <c r="B22" s="9"/>
      <c r="C22" s="9"/>
      <c r="D22" s="9"/>
      <c r="E22" s="9"/>
      <c r="F22" s="9"/>
      <c r="G22" s="9"/>
      <c r="H22" s="9"/>
      <c r="I22" s="9"/>
      <c r="J22" s="9"/>
      <c r="K22" s="9"/>
      <c r="L22" s="9"/>
    </row>
    <row r="23" spans="1:12" ht="12" customHeight="1" x14ac:dyDescent="0.2">
      <c r="A23" s="28" t="s">
        <v>32</v>
      </c>
      <c r="B23" s="32">
        <v>3</v>
      </c>
      <c r="C23" s="33">
        <v>4</v>
      </c>
      <c r="D23" s="32">
        <v>3</v>
      </c>
      <c r="E23" s="32">
        <v>3</v>
      </c>
      <c r="F23" s="35">
        <v>44954</v>
      </c>
      <c r="G23" s="35">
        <v>45003</v>
      </c>
      <c r="H23" s="36" t="s">
        <v>151</v>
      </c>
      <c r="I23" s="36" t="s">
        <v>152</v>
      </c>
      <c r="J23" s="36" t="s">
        <v>153</v>
      </c>
      <c r="K23" s="37" t="s">
        <v>136</v>
      </c>
      <c r="L23" s="37" t="s">
        <v>137</v>
      </c>
    </row>
    <row r="24" spans="1:12" x14ac:dyDescent="0.2">
      <c r="A24" s="10"/>
      <c r="B24" s="10"/>
      <c r="C24" s="10"/>
      <c r="D24" s="10"/>
      <c r="E24" s="10"/>
      <c r="F24" s="10"/>
      <c r="G24" s="10"/>
      <c r="H24" s="10"/>
      <c r="I24" s="10"/>
      <c r="J24" s="10"/>
      <c r="K24" s="10"/>
      <c r="L24" s="10"/>
    </row>
    <row r="26" spans="1:12" x14ac:dyDescent="0.2">
      <c r="A26" s="6" t="s">
        <v>38</v>
      </c>
    </row>
    <row r="31" spans="1:12" x14ac:dyDescent="0.2">
      <c r="A31" t="s">
        <v>39</v>
      </c>
    </row>
    <row r="34" spans="1:1" x14ac:dyDescent="0.2">
      <c r="A34" t="s">
        <v>154</v>
      </c>
    </row>
    <row r="41" spans="1:1" ht="25" customHeight="1" x14ac:dyDescent="0.2">
      <c r="A41" s="18" t="s">
        <v>155</v>
      </c>
    </row>
    <row r="44" spans="1:1" ht="120" customHeight="1" x14ac:dyDescent="0.2">
      <c r="A44" s="38" t="s">
        <v>156</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62414-E510-4A7A-B093-A028256C5CAA}">
  <sheetPr codeName="Sheet10">
    <outlinePr summaryBelow="0" summaryRight="0"/>
  </sheetPr>
  <dimension ref="A6:A26"/>
  <sheetViews>
    <sheetView defaultGridColor="0" colorId="0" workbookViewId="0"/>
  </sheetViews>
  <sheetFormatPr defaultRowHeight="10" x14ac:dyDescent="0.2"/>
  <cols>
    <col min="1" max="1" width="150.81640625" customWidth="1"/>
    <col min="2" max="2" width="9.26953125"/>
  </cols>
  <sheetData>
    <row r="6" spans="1:1" ht="16.5" customHeight="1" x14ac:dyDescent="0.35">
      <c r="A6" s="1" t="s">
        <v>157</v>
      </c>
    </row>
    <row r="8" spans="1:1" x14ac:dyDescent="0.2">
      <c r="A8" t="s">
        <v>158</v>
      </c>
    </row>
    <row r="10" spans="1:1" ht="120" customHeight="1" x14ac:dyDescent="0.2">
      <c r="A10" s="39" t="s">
        <v>159</v>
      </c>
    </row>
    <row r="12" spans="1:1" ht="72" customHeight="1" x14ac:dyDescent="0.2">
      <c r="A12" s="39" t="s">
        <v>160</v>
      </c>
    </row>
    <row r="14" spans="1:1" ht="36" customHeight="1" x14ac:dyDescent="0.2">
      <c r="A14" s="39" t="s">
        <v>161</v>
      </c>
    </row>
    <row r="16" spans="1:1" ht="36" customHeight="1" x14ac:dyDescent="0.2">
      <c r="A16" s="40" t="s">
        <v>162</v>
      </c>
    </row>
    <row r="18" spans="1:1" ht="36" customHeight="1" x14ac:dyDescent="0.2">
      <c r="A18" s="40" t="s">
        <v>163</v>
      </c>
    </row>
    <row r="20" spans="1:1" ht="36" customHeight="1" x14ac:dyDescent="0.2">
      <c r="A20" s="40" t="s">
        <v>164</v>
      </c>
    </row>
    <row r="22" spans="1:1" ht="24" customHeight="1" x14ac:dyDescent="0.2">
      <c r="A22" s="40" t="s">
        <v>165</v>
      </c>
    </row>
    <row r="24" spans="1:1" ht="24" customHeight="1" x14ac:dyDescent="0.2">
      <c r="A24" s="40" t="s">
        <v>166</v>
      </c>
    </row>
    <row r="26" spans="1:1" ht="24" customHeight="1" x14ac:dyDescent="0.2">
      <c r="A26" s="40" t="s">
        <v>167</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B7E6E-CF8E-4724-A677-5DC059DE57E6}">
  <sheetPr codeName="Sheet11"/>
  <dimension ref="A5"/>
  <sheetViews>
    <sheetView workbookViewId="0"/>
  </sheetViews>
  <sheetFormatPr defaultRowHeight="10" x14ac:dyDescent="0.2"/>
  <sheetData>
    <row r="5" spans="1:1" ht="23.25" customHeight="1" x14ac:dyDescent="0.45">
      <c r="A5" s="42" t="s">
        <v>168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2023-04-30T02:29:00Z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