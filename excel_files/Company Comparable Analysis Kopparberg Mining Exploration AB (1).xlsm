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BA0B7576-E71B-468D-9274-8F20DD1C01B9}" xr6:coauthVersionLast="47" xr6:coauthVersionMax="47" xr10:uidLastSave="{00000000-0000-0000-0000-000000000000}"/>
  <bookViews>
    <workbookView xWindow="32436" yWindow="900" windowWidth="17316" windowHeight="10512" xr2:uid="{00000000-000D-0000-FFFF-FFFF00000000}"/>
  </bookViews>
  <sheets>
    <sheet name="COMPCO" sheetId="9" r:id="rId1"/>
    <sheet name="BENCHMARKING" sheetId="8"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Evaluation Warning" sheetId="7" r:id="rId9"/>
  </sheets>
  <definedNames>
    <definedName name="_xlnm.Print_Titles" localSheetId="5">'Business Description'!$1:$3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9" l="1"/>
  <c r="S8" i="9"/>
  <c r="S14" i="9" s="1"/>
  <c r="S12" i="9" s="1"/>
  <c r="S10" i="9" s="1"/>
  <c r="N44" i="9"/>
  <c r="N43" i="9"/>
  <c r="N42" i="9"/>
  <c r="N41" i="9"/>
  <c r="N40" i="9"/>
  <c r="N39" i="9"/>
  <c r="N38" i="9"/>
  <c r="N37" i="9"/>
  <c r="N36" i="9"/>
  <c r="N35" i="9"/>
  <c r="N34" i="9"/>
  <c r="N33" i="9"/>
  <c r="N32" i="9"/>
  <c r="N31" i="9"/>
  <c r="N30" i="9"/>
  <c r="N29" i="9"/>
  <c r="N28" i="9"/>
  <c r="N27" i="9"/>
  <c r="N26" i="9"/>
  <c r="N25" i="9"/>
  <c r="N24" i="9"/>
  <c r="M44" i="9"/>
  <c r="M43" i="9"/>
  <c r="M42" i="9"/>
  <c r="M41" i="9"/>
  <c r="M40" i="9"/>
  <c r="M39" i="9"/>
  <c r="M38" i="9"/>
  <c r="M37" i="9"/>
  <c r="M36" i="9"/>
  <c r="M35" i="9"/>
  <c r="M34" i="9"/>
  <c r="M33" i="9"/>
  <c r="M32" i="9"/>
  <c r="M31" i="9"/>
  <c r="M30" i="9"/>
  <c r="M29" i="9"/>
  <c r="M28" i="9"/>
  <c r="M27" i="9"/>
  <c r="M26" i="9"/>
  <c r="M25" i="9"/>
  <c r="M24" i="9"/>
  <c r="L44" i="9"/>
  <c r="L43" i="9"/>
  <c r="L42" i="9"/>
  <c r="L41" i="9"/>
  <c r="L40" i="9"/>
  <c r="L39" i="9"/>
  <c r="L38" i="9"/>
  <c r="L37" i="9"/>
  <c r="L36" i="9"/>
  <c r="L35" i="9"/>
  <c r="L34" i="9"/>
  <c r="L33" i="9"/>
  <c r="L32" i="9"/>
  <c r="L31" i="9"/>
  <c r="L30" i="9"/>
  <c r="L29" i="9"/>
  <c r="L28" i="9"/>
  <c r="L27" i="9"/>
  <c r="L26" i="9"/>
  <c r="L25" i="9"/>
  <c r="L24" i="9"/>
  <c r="L22" i="9"/>
  <c r="R8" i="9" s="1"/>
  <c r="R10" i="9" s="1"/>
  <c r="R12" i="9" s="1"/>
  <c r="R14" i="9" s="1"/>
  <c r="D28" i="8"/>
  <c r="O29" i="8"/>
  <c r="N29" i="8"/>
  <c r="M29" i="8"/>
  <c r="L29" i="8"/>
  <c r="K29" i="8"/>
  <c r="J29" i="8"/>
  <c r="I29" i="8"/>
  <c r="H29" i="8"/>
  <c r="G29" i="8"/>
  <c r="F29" i="8"/>
  <c r="E29" i="8"/>
  <c r="D29" i="8"/>
  <c r="O51" i="8"/>
  <c r="O50" i="8"/>
  <c r="O49" i="8"/>
  <c r="O48" i="8"/>
  <c r="O47" i="8"/>
  <c r="O46" i="8"/>
  <c r="O45" i="8"/>
  <c r="O44" i="8"/>
  <c r="O43" i="8"/>
  <c r="O42" i="8"/>
  <c r="O41" i="8"/>
  <c r="O40" i="8"/>
  <c r="O39" i="8"/>
  <c r="O38" i="8"/>
  <c r="O37" i="8"/>
  <c r="O36" i="8"/>
  <c r="O35" i="8"/>
  <c r="O34" i="8"/>
  <c r="O33" i="8"/>
  <c r="O32" i="8"/>
  <c r="O31" i="8"/>
  <c r="N51" i="8"/>
  <c r="N50" i="8"/>
  <c r="N49" i="8"/>
  <c r="N48" i="8"/>
  <c r="N47" i="8"/>
  <c r="N46" i="8"/>
  <c r="N45" i="8"/>
  <c r="N44" i="8"/>
  <c r="N43" i="8"/>
  <c r="N42" i="8"/>
  <c r="N41" i="8"/>
  <c r="N40" i="8"/>
  <c r="N39" i="8"/>
  <c r="N38" i="8"/>
  <c r="N37" i="8"/>
  <c r="N36" i="8"/>
  <c r="N35" i="8"/>
  <c r="N34" i="8"/>
  <c r="N33" i="8"/>
  <c r="N32" i="8"/>
  <c r="N31" i="8"/>
  <c r="M51" i="8"/>
  <c r="M50" i="8"/>
  <c r="M49" i="8"/>
  <c r="M48" i="8"/>
  <c r="M47" i="8"/>
  <c r="M46" i="8"/>
  <c r="M45" i="8"/>
  <c r="M44" i="8"/>
  <c r="M43" i="8"/>
  <c r="M42" i="8"/>
  <c r="M41" i="8"/>
  <c r="M40" i="8"/>
  <c r="M39" i="8"/>
  <c r="M38" i="8"/>
  <c r="M37" i="8"/>
  <c r="M36" i="8"/>
  <c r="M35" i="8"/>
  <c r="M34" i="8"/>
  <c r="M33" i="8"/>
  <c r="M32" i="8"/>
  <c r="M31" i="8"/>
  <c r="L51" i="8"/>
  <c r="L50" i="8"/>
  <c r="L49" i="8"/>
  <c r="L48" i="8"/>
  <c r="L47" i="8"/>
  <c r="L46" i="8"/>
  <c r="L45" i="8"/>
  <c r="L44" i="8"/>
  <c r="L43" i="8"/>
  <c r="L42" i="8"/>
  <c r="L41" i="8"/>
  <c r="L40" i="8"/>
  <c r="L39" i="8"/>
  <c r="L38" i="8"/>
  <c r="L37" i="8"/>
  <c r="L36" i="8"/>
  <c r="L35" i="8"/>
  <c r="L34" i="8"/>
  <c r="L33" i="8"/>
  <c r="L32" i="8"/>
  <c r="L31" i="8"/>
  <c r="K51" i="8"/>
  <c r="K50" i="8"/>
  <c r="K49" i="8"/>
  <c r="K48" i="8"/>
  <c r="K47" i="8"/>
  <c r="K46" i="8"/>
  <c r="K45" i="8"/>
  <c r="K44" i="8"/>
  <c r="K43" i="8"/>
  <c r="K42" i="8"/>
  <c r="K41" i="8"/>
  <c r="K40" i="8"/>
  <c r="K39" i="8"/>
  <c r="K38" i="8"/>
  <c r="K37" i="8"/>
  <c r="K36" i="8"/>
  <c r="K35" i="8"/>
  <c r="K34" i="8"/>
  <c r="K33" i="8"/>
  <c r="K32" i="8"/>
  <c r="K31" i="8"/>
  <c r="J51" i="8"/>
  <c r="J50" i="8"/>
  <c r="J49" i="8"/>
  <c r="J48" i="8"/>
  <c r="J47" i="8"/>
  <c r="J46" i="8"/>
  <c r="J45" i="8"/>
  <c r="J44" i="8"/>
  <c r="J43" i="8"/>
  <c r="J42" i="8"/>
  <c r="J41" i="8"/>
  <c r="J40" i="8"/>
  <c r="J39" i="8"/>
  <c r="J38" i="8"/>
  <c r="J37" i="8"/>
  <c r="J36" i="8"/>
  <c r="J35" i="8"/>
  <c r="J34" i="8"/>
  <c r="J33" i="8"/>
  <c r="J32" i="8"/>
  <c r="J31" i="8"/>
  <c r="I51" i="8"/>
  <c r="I50" i="8"/>
  <c r="I49" i="8"/>
  <c r="I48" i="8"/>
  <c r="I47" i="8"/>
  <c r="I46" i="8"/>
  <c r="I45" i="8"/>
  <c r="I44" i="8"/>
  <c r="I43" i="8"/>
  <c r="I42" i="8"/>
  <c r="I41" i="8"/>
  <c r="I40" i="8"/>
  <c r="I39" i="8"/>
  <c r="I38" i="8"/>
  <c r="I37" i="8"/>
  <c r="I36" i="8"/>
  <c r="I35" i="8"/>
  <c r="I34" i="8"/>
  <c r="I33" i="8"/>
  <c r="I32" i="8"/>
  <c r="I31" i="8"/>
  <c r="H51" i="8"/>
  <c r="H50" i="8"/>
  <c r="H49" i="8"/>
  <c r="H48" i="8"/>
  <c r="H47" i="8"/>
  <c r="H46" i="8"/>
  <c r="H45" i="8"/>
  <c r="H44" i="8"/>
  <c r="H43" i="8"/>
  <c r="H42" i="8"/>
  <c r="H41" i="8"/>
  <c r="H40" i="8"/>
  <c r="H39" i="8"/>
  <c r="H38" i="8"/>
  <c r="H37" i="8"/>
  <c r="H36" i="8"/>
  <c r="H35" i="8"/>
  <c r="H34" i="8"/>
  <c r="H33" i="8"/>
  <c r="H32" i="8"/>
  <c r="H31" i="8"/>
  <c r="G51" i="8"/>
  <c r="G50" i="8"/>
  <c r="G49" i="8"/>
  <c r="G48" i="8"/>
  <c r="G47" i="8"/>
  <c r="G46" i="8"/>
  <c r="G45" i="8"/>
  <c r="G44" i="8"/>
  <c r="G43" i="8"/>
  <c r="G42" i="8"/>
  <c r="G41" i="8"/>
  <c r="G40" i="8"/>
  <c r="G39" i="8"/>
  <c r="G38" i="8"/>
  <c r="G37" i="8"/>
  <c r="G36" i="8"/>
  <c r="G35" i="8"/>
  <c r="G34" i="8"/>
  <c r="G33" i="8"/>
  <c r="G32" i="8"/>
  <c r="G31" i="8"/>
  <c r="F51" i="8"/>
  <c r="F50" i="8"/>
  <c r="F49" i="8"/>
  <c r="F48" i="8"/>
  <c r="F47" i="8"/>
  <c r="F46" i="8"/>
  <c r="F45" i="8"/>
  <c r="F44" i="8"/>
  <c r="F43" i="8"/>
  <c r="F42" i="8"/>
  <c r="F41" i="8"/>
  <c r="F40" i="8"/>
  <c r="F39" i="8"/>
  <c r="F38" i="8"/>
  <c r="F37" i="8"/>
  <c r="F36" i="8"/>
  <c r="F35" i="8"/>
  <c r="F34" i="8"/>
  <c r="F33" i="8"/>
  <c r="F32" i="8"/>
  <c r="F31" i="8"/>
  <c r="E51" i="8"/>
  <c r="E50" i="8"/>
  <c r="E49" i="8"/>
  <c r="E48" i="8"/>
  <c r="E47" i="8"/>
  <c r="E46" i="8"/>
  <c r="E45" i="8"/>
  <c r="E44" i="8"/>
  <c r="E43" i="8"/>
  <c r="E42" i="8"/>
  <c r="E41" i="8"/>
  <c r="E40" i="8"/>
  <c r="E39" i="8"/>
  <c r="E38" i="8"/>
  <c r="E37" i="8"/>
  <c r="E36" i="8"/>
  <c r="E35" i="8"/>
  <c r="E34" i="8"/>
  <c r="E33" i="8"/>
  <c r="E32" i="8"/>
  <c r="E31" i="8"/>
  <c r="D51" i="8"/>
  <c r="D50" i="8"/>
  <c r="D49" i="8"/>
  <c r="D48" i="8"/>
  <c r="D47" i="8"/>
  <c r="D46" i="8"/>
  <c r="D45" i="8"/>
  <c r="D44" i="8"/>
  <c r="D43" i="8"/>
  <c r="D42" i="8"/>
  <c r="D41" i="8"/>
  <c r="D40" i="8"/>
  <c r="D39" i="8"/>
  <c r="D38" i="8"/>
  <c r="D37" i="8"/>
  <c r="D36" i="8"/>
  <c r="D35" i="8"/>
  <c r="D34" i="8"/>
  <c r="D33" i="8"/>
  <c r="D32" i="8"/>
  <c r="D31" i="8"/>
  <c r="Q8" i="9" l="1"/>
  <c r="Q10" i="9" s="1"/>
  <c r="Q12" i="9" s="1"/>
  <c r="Q14" i="9" s="1"/>
  <c r="Q15" i="9" s="1"/>
  <c r="Q17" i="9" s="1"/>
</calcChain>
</file>

<file path=xl/sharedStrings.xml><?xml version="1.0" encoding="utf-8"?>
<sst xmlns="http://schemas.openxmlformats.org/spreadsheetml/2006/main" count="902" uniqueCount="146">
  <si>
    <t>Kopparberg Mining Exploration AB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</si>
  <si>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</si>
  <si>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</si>
  <si>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</si>
  <si>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</si>
  <si>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</si>
  <si>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</si>
  <si>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</si>
  <si>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</si>
  <si>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</si>
  <si>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</si>
  <si>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</si>
  <si>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</si>
  <si>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</si>
  <si>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</si>
  <si>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</si>
  <si>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</si>
  <si>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</si>
  <si>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</si>
  <si>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</si>
  <si>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</si>
  <si>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</si>
  <si>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</si>
  <si>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</si>
  <si>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</si>
  <si>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Karelian Diamond Resources Plc (AIM:KDR)</t>
  </si>
  <si>
    <t>-</t>
  </si>
  <si>
    <t>Botswana Diamonds plc (AIM:BOD)</t>
  </si>
  <si>
    <t>Africa Resources AB (publ) (NGM:AFRI)</t>
  </si>
  <si>
    <t>BlueRock Diamonds PLC (AIM:BRD)</t>
  </si>
  <si>
    <t>PJSC ALROSA-Nyurba</t>
  </si>
  <si>
    <t>Nala Digital Commerce Ltd (TASE:NALA)</t>
  </si>
  <si>
    <t>Firestone Diamonds plc</t>
  </si>
  <si>
    <t>Petra Diamonds Limited (LSE:PDL)</t>
  </si>
  <si>
    <t>Shefa Gems Ltd (LSE:SEFA)</t>
  </si>
  <si>
    <t>Gem Diamonds Limited (LSE:GEMD)</t>
  </si>
  <si>
    <t>Kopparberg Mining Exploration AB</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</si>
  <si>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</si>
  <si>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</si>
  <si>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</si>
  <si>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</si>
  <si>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</si>
  <si>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</si>
  <si>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</si>
  <si>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</si>
  <si>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</si>
  <si>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Kopparberg Mining Exploration AB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</si>
  <si>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</si>
  <si>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</si>
  <si>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</si>
  <si>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</si>
  <si>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</si>
  <si>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</si>
  <si>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</si>
  <si>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</si>
  <si>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</si>
  <si>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</si>
  <si>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</si>
  <si>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Kopparberg Mining Exploration AB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</si>
  <si>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</si>
  <si>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</si>
  <si>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</si>
  <si>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</si>
  <si>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</si>
  <si>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</si>
  <si>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</si>
  <si>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</si>
  <si>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</si>
  <si>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</si>
  <si>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</si>
  <si>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</si>
  <si>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</si>
  <si>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</si>
  <si>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</si>
  <si>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NM</t>
  </si>
  <si>
    <t>Kopparberg Mining Exploration AB &gt;  Quick Comparable Analysis &gt; Business Description</t>
  </si>
  <si>
    <t>Template:</t>
  </si>
  <si>
    <t>Currency:</t>
  </si>
  <si>
    <t>As-Of Date:</t>
  </si>
  <si>
    <t>Business Description</t>
  </si>
  <si>
    <t>Headquarters</t>
  </si>
  <si>
    <t>Karelian Diamond Resources Plc engages in the discovery, evaluation, and development of diamond deposits. It holds interests in the Lahtojoki diamond project located in the Kuopio–Kaavi region in Finland; and the Seitaperä diamondiferous kimberlite pipe and the Riihivaara diamond projects situated in the Kuhmo area, Finland. The company was incorporated in 2004 and is headquartered in Dublin, Ireland.</t>
  </si>
  <si>
    <t>3300 Lake Drive, Citywest Business Campus, Dublin, Co. Dublin, D24 TD21, Ireland</t>
  </si>
  <si>
    <t>Botswana Diamonds plc explores for and develops diamond properties in Botswana, South Africa, and Zimbabwe. The company’s flagship property is the Thorny River/Marsfontein property located in South Africa. It also explores in the Kalahari region of Botswana. Botswana Diamonds plc was formerly known as Botswana Exploration plc and changed its name to Botswana Diamonds plc in October 2010. The company was incorporated in 2010 and is headquartered in Dublin, Ireland.</t>
  </si>
  <si>
    <t>162 Clontarf Road, Dublin, Co. Dublin, D03 F6Y0, Ireland</t>
  </si>
  <si>
    <t>Africa Resources AB (publ) engages in the exploration and extraction of minerals in Africa. The company owns a 75% interest in the Tshikapa River project comprising license 674 covering an area of 36 square kilometers located in South Eastern part of Democratic Republic of Congo; and permit 665 covering an area of 8 square kilometers situated along the Tshikapa River in the Democratic Republic of Congo. The company was incorporated in 2005 and is headquartered in Stockholm, Sweden.</t>
  </si>
  <si>
    <t>Engelbrektsgatan 7, 1 Trp, Stockholm, Stockholm County, 11432, Sweden</t>
  </si>
  <si>
    <t>BlueRock Diamonds PLC, a diamond mining company, engages in the exploration and development of mineral deposits in the Kimberley region of South Africa. The company holds an interest in the Kareevlei project that consists of 5 diamondiferous kimberlite pipes covering an area of approximately 3000 hectares located in the Northern Cape province of South Africa. BlueRock Diamonds PLC was incorporated in 2012 and is based in Reading, the United Kingdom.BlueRock Diamonds PLC operates as a subsidiary of Teichmann Ltd.</t>
  </si>
  <si>
    <t>Reading Bridge House, 4th Floor, George Street, Reading, Berkshire, RG1 8LS, United Kingdom</t>
  </si>
  <si>
    <t>PJSC ALROSA-Nyurba engages in mining of diamonds in Russia. It holds the mining licenses for the Nyurbinskoye and Botuobinskoye primary deposits in the Nyurba District of the Republic of Sakha. The company was formerly known as Open Joint Stock Company ALROSA-Nyurba and changed its name to PJSC ALROSA-Nyurba in December 2015. The company was founded in 1997 and is based in Nyurba, Russia. PJSC ALROSA-Nyurba is a subsidiary of Public Joint Stock Company ALROSA.</t>
  </si>
  <si>
    <t>25, ul. Lenina, Nyurba, Saha, 678540, Russia</t>
  </si>
  <si>
    <t>Nala Digital Commerce Ltd operates physical and online pop-up site. The company was formerly known as Shefa Yamim Ltd and changed its name to Nala Digital Commerce Ltd on October 28, 2020. Nala Digital Commerce Ltd was incorporated in 1992 and is based in Tel Aviv-Yafo, Israel.</t>
  </si>
  <si>
    <t>144 Menachem Begin Road, Tel Aviv  42106, Israel</t>
  </si>
  <si>
    <t>Firestone Diamonds plc engages in the exploration and mining of diamonds in Lesotho, Botswana, and Finland. Its flagship asset is the Liqhobong diamond mine located in the Lesotho Highlands. The company is based in Worthing, the United Kingdom.</t>
  </si>
  <si>
    <t>Highdown House, Yeoman Way, West Sussex, Worthing, West Sussex, BN99 9FJ, United Kingdom</t>
  </si>
  <si>
    <t>Petra Diamonds Limited engages in the mining, processing, sorting, and sale of rough diamonds in South Africa and Tanzania. It holds interests in three underground producing mines, including the Cullinan, Finsch, and Koffiefontein mines located in South Africa; and the Williamson mine located in Tanzania. The company also provides treasury, beneficiation, and other services. Petra Diamonds Limited was incorporated in 1997 and is based in London, the United Kingdom.</t>
  </si>
  <si>
    <t>15–17 Heddon Street, 3rd Floor, London, Greater London, W1B 4BF, United Kingdom</t>
  </si>
  <si>
    <t>Shefa Gems Ltd operates as a precious stone exploration and development company in northern Israel. The company explores for diamonds, natural moissanites, sapphires, carmel sapphire, rubies, garnets, hibonites, spinels, and ilmenites, as well as gold deposits; and heavy minerals, including zircon and rutile. It has interests in exploration and prospecting permits in the Kishon River project and Mount Carmel project. The company was formerly known as Shefa Yamim (A.T.M.) Ltd. and changed its name to Shefa Gems Ltd in June 2019. Shefa Gems Ltd was incorporated in 1999 and is based in Netanya, Israel.</t>
  </si>
  <si>
    <t>90 Herzel Street, PO Box 720, Netanya  4210602, Israel</t>
  </si>
  <si>
    <t>Gem Diamonds Limited, together with its subsidiaries, operates diamond mines. The company’s flagship project is the Letšeng mine located in the located in the Maluti Mountains of Lesotho. It is also involved in the production, manufacture, wholesale, retail, and marketing rough and polished diamonds. In addition, the company provides technical, financial, administrative, and management consulting services. It operates in Lesotho, Belgium, British Virgin Islands, South Africa, the United Kingdom, and Cyprus. Gem Diamonds Limited was incorporated in 2005 and is headquartered in London, the United Kingdom.</t>
  </si>
  <si>
    <t>2 Eaton Gate, London, Greater London, SW1W 9BJ, United Kingdom</t>
  </si>
  <si>
    <t>Lundin Mining Exploration AB engages in exploration drilling. The company offers 52 exploration permits, equipment, staff and information from 1,200 diamond drill holes. The company was founded in 2004 and is based in Stockholm, Sweden. As of January 19, 2010, Lundin Mining Exploration AB operates as a subsidiary of Kopparberg Mineral AB.</t>
  </si>
  <si>
    <t>Hovslagargatan 5, Stockholm, Stockholm County, 11148, Sweden</t>
  </si>
  <si>
    <t>Kopparberg Mining Exploration AB &gt;  Quick Comparable Analysis &gt; Implied Valuation</t>
  </si>
  <si>
    <t>Template:</t>
  </si>
  <si>
    <t>Currency:</t>
  </si>
  <si>
    <t>As-Of Date:</t>
  </si>
  <si>
    <t xml:space="preserve">LTM Basic EPS </t>
  </si>
  <si>
    <t xml:space="preserve"> </t>
  </si>
  <si>
    <t>Total Enterprise Value Multiples</t>
  </si>
  <si>
    <t>Pricing Multiples</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</si>
  <si>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</si>
  <si>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</si>
  <si>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</si>
  <si>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</si>
  <si>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</si>
  <si>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</si>
  <si>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</si>
  <si>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</si>
  <si>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</si>
  <si>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</si>
  <si>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</si>
  <si>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</si>
  <si>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Kopparberg Mining Exploration AB &gt;  Quick Comparable Analysis &gt; Valuation Chart</t>
  </si>
  <si>
    <t>Template:</t>
  </si>
  <si>
    <t>Currency:</t>
  </si>
  <si>
    <t>As-Of Date:</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</si>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</sst>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s>
  <fonts count="21"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i/>
      <sz val="18"/>
      <color rgb="FF0000FF"/>
      <name val="Arial"/>
    </font>
    <font>
      <sz val="10"/>
      <name val="Arial"/>
    </font>
    <font>
      <sz val="8"/>
      <color rgb="FFFF0000"/>
      <name val="Arial"/>
    </font>
    <font>
      <sz val="10"/>
      <color rgb="FFFF0000"/>
      <name val="Arial"/>
    </font>
  </fonts>
  <fills count="6">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8" fillId="0" borderId="0" applyFont="0" applyFill="0" applyBorder="0" applyAlignment="0" applyProtection="0"/>
    <xf numFmtId="44" fontId="18" fillId="0" borderId="0" applyFont="0" applyFill="0" applyBorder="0" applyAlignment="0" applyProtection="0"/>
    <xf numFmtId="9" fontId="18"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15">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0"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13" fillId="0" borderId="0" xfId="16" applyFont="1" applyAlignment="1"/>
    <xf numFmtId="0" fontId="17" fillId="0" borderId="0" xfId="0" applyNumberFormat="1" applyFont="1" applyFill="1" applyBorder="1" applyAlignment="1" applyProtection="1"/>
    <xf numFmtId="0" fontId="1" fillId="0" borderId="0" xfId="0" applyFont="1" applyFill="1" applyBorder="1" applyAlignment="1"/>
    <xf numFmtId="9" fontId="1" fillId="0" borderId="3" xfId="0" applyNumberFormat="1" applyFont="1" applyFill="1" applyBorder="1" applyAlignment="1"/>
    <xf numFmtId="9" fontId="1" fillId="0" borderId="4" xfId="0" applyNumberFormat="1" applyFont="1" applyFill="1" applyBorder="1" applyAlignment="1"/>
    <xf numFmtId="9" fontId="1" fillId="0" borderId="7" xfId="0" applyNumberFormat="1" applyFont="1" applyFill="1" applyBorder="1" applyAlignment="1"/>
    <xf numFmtId="9" fontId="1" fillId="0" borderId="13" xfId="0" applyNumberFormat="1" applyFont="1" applyFill="1" applyBorder="1" applyAlignment="1"/>
    <xf numFmtId="9" fontId="1" fillId="0" borderId="14" xfId="0" applyNumberFormat="1" applyFont="1" applyFill="1" applyBorder="1" applyAlignment="1"/>
    <xf numFmtId="9" fontId="19" fillId="0" borderId="14" xfId="0" applyNumberFormat="1" applyFont="1" applyFill="1" applyBorder="1" applyAlignment="1"/>
    <xf numFmtId="9" fontId="1" fillId="0" borderId="16" xfId="0" applyNumberFormat="1" applyFont="1" applyFill="1" applyBorder="1" applyAlignment="1"/>
    <xf numFmtId="0" fontId="1" fillId="0" borderId="17" xfId="0" applyFont="1" applyFill="1" applyBorder="1" applyAlignment="1"/>
    <xf numFmtId="0" fontId="1" fillId="0" borderId="9" xfId="0" applyFont="1" applyFill="1" applyBorder="1" applyAlignment="1"/>
    <xf numFmtId="0" fontId="1" fillId="0" borderId="1" xfId="0" applyNumberFormat="1" applyFont="1" applyFill="1" applyBorder="1" applyAlignment="1">
      <alignment horizontal="right" vertical="top" wrapText="1"/>
    </xf>
    <xf numFmtId="170" fontId="1" fillId="0" borderId="1" xfId="0" applyNumberFormat="1" applyFont="1" applyFill="1" applyBorder="1" applyAlignment="1">
      <alignment horizontal="right" vertical="top" wrapText="1"/>
    </xf>
    <xf numFmtId="169" fontId="1" fillId="0" borderId="1" xfId="0" applyNumberFormat="1" applyFont="1" applyFill="1" applyBorder="1" applyAlignment="1">
      <alignment horizontal="right" vertical="top" wrapText="1"/>
    </xf>
    <xf numFmtId="167" fontId="1" fillId="0" borderId="1" xfId="0" applyNumberFormat="1" applyFont="1" applyFill="1" applyBorder="1" applyAlignment="1">
      <alignment horizontal="right" vertical="top" wrapText="1"/>
    </xf>
    <xf numFmtId="0" fontId="16" fillId="0" borderId="4" xfId="0" applyFont="1" applyFill="1" applyBorder="1" applyAlignment="1">
      <alignment horizontal="left" vertical="top" wrapText="1"/>
    </xf>
    <xf numFmtId="0" fontId="1" fillId="0" borderId="8"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0" fontId="1" fillId="0" borderId="11" xfId="0" applyNumberFormat="1" applyFont="1" applyFill="1" applyBorder="1" applyAlignment="1">
      <alignment horizontal="right" vertical="top" wrapText="1"/>
    </xf>
    <xf numFmtId="0" fontId="1" fillId="0" borderId="12" xfId="0" applyNumberFormat="1" applyFont="1" applyFill="1" applyBorder="1" applyAlignment="1">
      <alignment horizontal="right" vertical="top" wrapText="1"/>
    </xf>
    <xf numFmtId="0" fontId="16" fillId="0" borderId="18" xfId="0" applyFont="1" applyFill="1" applyBorder="1" applyAlignment="1">
      <alignment horizontal="lef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right" vertical="top" wrapText="1"/>
    </xf>
    <xf numFmtId="0" fontId="16" fillId="0" borderId="15" xfId="0" applyFont="1" applyFill="1" applyBorder="1" applyAlignment="1">
      <alignment horizontal="right" vertical="top" wrapText="1"/>
    </xf>
    <xf numFmtId="0" fontId="1" fillId="0" borderId="3" xfId="0" applyNumberFormat="1" applyFont="1" applyFill="1" applyBorder="1" applyAlignment="1">
      <alignment horizontal="right" vertical="top" wrapText="1"/>
    </xf>
    <xf numFmtId="169" fontId="1" fillId="0" borderId="3" xfId="0" applyNumberFormat="1" applyFont="1" applyFill="1" applyBorder="1" applyAlignment="1">
      <alignment horizontal="right" vertical="top" wrapText="1"/>
    </xf>
    <xf numFmtId="0" fontId="1" fillId="0" borderId="7" xfId="0" applyNumberFormat="1" applyFont="1" applyFill="1" applyBorder="1" applyAlignment="1">
      <alignment horizontal="right" vertical="top" wrapText="1"/>
    </xf>
    <xf numFmtId="0" fontId="1" fillId="0" borderId="4" xfId="0" applyNumberFormat="1" applyFont="1" applyFill="1" applyBorder="1" applyAlignment="1">
      <alignment horizontal="right" vertical="top" wrapText="1"/>
    </xf>
    <xf numFmtId="0" fontId="1" fillId="0" borderId="5" xfId="0" applyNumberFormat="1" applyFont="1" applyFill="1" applyBorder="1" applyAlignment="1">
      <alignment horizontal="right" vertical="top" wrapText="1"/>
    </xf>
    <xf numFmtId="170" fontId="1" fillId="0" borderId="5" xfId="0" applyNumberFormat="1" applyFont="1" applyFill="1" applyBorder="1" applyAlignment="1">
      <alignment horizontal="right" vertical="top" wrapText="1"/>
    </xf>
    <xf numFmtId="165" fontId="1" fillId="0" borderId="10" xfId="0" applyNumberFormat="1" applyFont="1" applyFill="1" applyBorder="1" applyAlignment="1">
      <alignment horizontal="right" vertical="top" wrapText="1"/>
    </xf>
    <xf numFmtId="9" fontId="1" fillId="0" borderId="5" xfId="3" applyFont="1" applyFill="1" applyBorder="1" applyAlignment="1"/>
    <xf numFmtId="9" fontId="1" fillId="0" borderId="1" xfId="3" applyFont="1" applyFill="1" applyBorder="1" applyAlignment="1"/>
    <xf numFmtId="9" fontId="1" fillId="0" borderId="8" xfId="3" applyFont="1" applyFill="1" applyBorder="1" applyAlignment="1"/>
    <xf numFmtId="168" fontId="1" fillId="0" borderId="5" xfId="3" applyNumberFormat="1" applyFont="1" applyFill="1" applyBorder="1" applyAlignment="1"/>
    <xf numFmtId="168" fontId="1" fillId="0" borderId="1" xfId="3" applyNumberFormat="1" applyFont="1" applyFill="1" applyBorder="1" applyAlignment="1"/>
    <xf numFmtId="168" fontId="1" fillId="0" borderId="8" xfId="3" applyNumberFormat="1" applyFont="1" applyFill="1" applyBorder="1" applyAlignment="1"/>
    <xf numFmtId="43" fontId="1" fillId="0" borderId="10" xfId="1" applyFont="1" applyFill="1" applyBorder="1" applyAlignment="1"/>
    <xf numFmtId="43" fontId="1" fillId="0" borderId="11" xfId="1" applyFont="1" applyFill="1" applyBorder="1" applyAlignment="1"/>
    <xf numFmtId="43" fontId="1" fillId="0" borderId="12" xfId="1" applyFont="1" applyFill="1" applyBorder="1" applyAlignment="1"/>
    <xf numFmtId="0" fontId="0" fillId="0" borderId="0" xfId="0"/>
    <xf numFmtId="0" fontId="0" fillId="0" borderId="3" xfId="0" applyBorder="1"/>
    <xf numFmtId="0" fontId="0" fillId="0" borderId="4" xfId="0" applyBorder="1"/>
    <xf numFmtId="0" fontId="0" fillId="0" borderId="5" xfId="0" applyBorder="1"/>
    <xf numFmtId="0" fontId="0" fillId="0" borderId="7" xfId="0" applyBorder="1"/>
    <xf numFmtId="0" fontId="0" fillId="0" borderId="10" xfId="0" applyBorder="1"/>
    <xf numFmtId="0" fontId="0" fillId="0" borderId="4" xfId="0" applyBorder="1" applyAlignment="1">
      <alignment wrapText="1"/>
    </xf>
    <xf numFmtId="0" fontId="0" fillId="0" borderId="5" xfId="0" applyBorder="1" applyAlignment="1">
      <alignment wrapText="1"/>
    </xf>
    <xf numFmtId="0" fontId="0" fillId="0" borderId="10" xfId="0" applyBorder="1" applyAlignment="1">
      <alignment wrapText="1"/>
    </xf>
    <xf numFmtId="0" fontId="0" fillId="0" borderId="3" xfId="0" applyBorder="1" applyAlignment="1">
      <alignment wrapText="1"/>
    </xf>
    <xf numFmtId="0" fontId="0" fillId="0" borderId="7" xfId="0" applyBorder="1" applyAlignment="1">
      <alignment wrapText="1"/>
    </xf>
    <xf numFmtId="168" fontId="0" fillId="0" borderId="5" xfId="0" applyNumberFormat="1" applyBorder="1"/>
    <xf numFmtId="168" fontId="0" fillId="0" borderId="10" xfId="0" applyNumberFormat="1" applyBorder="1"/>
    <xf numFmtId="168" fontId="0" fillId="0" borderId="1" xfId="0" applyNumberFormat="1" applyBorder="1"/>
    <xf numFmtId="168" fontId="0" fillId="0" borderId="11" xfId="0" applyNumberFormat="1" applyBorder="1"/>
    <xf numFmtId="168" fontId="0" fillId="0" borderId="8" xfId="0" applyNumberFormat="1" applyBorder="1"/>
    <xf numFmtId="168" fontId="0" fillId="0" borderId="12" xfId="0" applyNumberFormat="1" applyBorder="1"/>
    <xf numFmtId="0" fontId="0" fillId="0" borderId="6" xfId="0" applyBorder="1"/>
    <xf numFmtId="0" fontId="0" fillId="0" borderId="21" xfId="0" applyBorder="1"/>
    <xf numFmtId="0" fontId="0" fillId="0" borderId="0" xfId="0" applyBorder="1" applyAlignment="1">
      <alignment wrapText="1"/>
    </xf>
    <xf numFmtId="9" fontId="20" fillId="0" borderId="0" xfId="3" applyFont="1"/>
    <xf numFmtId="44" fontId="0" fillId="0" borderId="1" xfId="2" applyFont="1" applyBorder="1" applyAlignment="1">
      <alignment wrapText="1"/>
    </xf>
    <xf numFmtId="44" fontId="0" fillId="0" borderId="8" xfId="2" applyFont="1" applyBorder="1" applyAlignment="1">
      <alignment wrapText="1"/>
    </xf>
    <xf numFmtId="43" fontId="0" fillId="0" borderId="1" xfId="1" applyFont="1" applyBorder="1" applyAlignment="1">
      <alignment wrapText="1"/>
    </xf>
    <xf numFmtId="43" fontId="0" fillId="0" borderId="8" xfId="1" applyFont="1" applyBorder="1" applyAlignment="1">
      <alignment wrapText="1"/>
    </xf>
    <xf numFmtId="168" fontId="0" fillId="0" borderId="1" xfId="2" applyNumberFormat="1" applyFont="1" applyBorder="1" applyAlignment="1">
      <alignment wrapText="1"/>
    </xf>
    <xf numFmtId="168" fontId="0" fillId="0" borderId="11" xfId="2" applyNumberFormat="1" applyFont="1" applyBorder="1" applyAlignment="1">
      <alignment wrapText="1"/>
    </xf>
    <xf numFmtId="168" fontId="0" fillId="0" borderId="8" xfId="2" applyNumberFormat="1" applyFont="1" applyBorder="1" applyAlignment="1">
      <alignment wrapText="1"/>
    </xf>
    <xf numFmtId="168" fontId="0" fillId="0" borderId="12" xfId="2" applyNumberFormat="1" applyFont="1" applyBorder="1" applyAlignment="1">
      <alignment wrapText="1"/>
    </xf>
    <xf numFmtId="9" fontId="0" fillId="0" borderId="4" xfId="3" applyFont="1" applyBorder="1"/>
    <xf numFmtId="9" fontId="0" fillId="0" borderId="3" xfId="3" applyFont="1" applyBorder="1"/>
    <xf numFmtId="9" fontId="0" fillId="0" borderId="7" xfId="3" applyFont="1" applyBorder="1"/>
    <xf numFmtId="44" fontId="0" fillId="0" borderId="1" xfId="2" applyFont="1" applyBorder="1"/>
    <xf numFmtId="44" fontId="0" fillId="0" borderId="11" xfId="2" applyFont="1" applyBorder="1"/>
    <xf numFmtId="44" fontId="0" fillId="0" borderId="2" xfId="2" applyFont="1" applyBorder="1"/>
    <xf numFmtId="44" fontId="0" fillId="0" borderId="8" xfId="2" applyFont="1" applyBorder="1"/>
    <xf numFmtId="44" fontId="0" fillId="0" borderId="12" xfId="2" applyFont="1" applyBorder="1"/>
    <xf numFmtId="44" fontId="0" fillId="0" borderId="10" xfId="2" applyFont="1" applyBorder="1"/>
    <xf numFmtId="44" fontId="0" fillId="0" borderId="0" xfId="2" applyFont="1"/>
    <xf numFmtId="9" fontId="0" fillId="0" borderId="1" xfId="3" applyFont="1" applyBorder="1"/>
    <xf numFmtId="9" fontId="0" fillId="0" borderId="11" xfId="3" applyFont="1" applyBorder="1"/>
    <xf numFmtId="168" fontId="0" fillId="0" borderId="1" xfId="2" applyNumberFormat="1" applyFont="1" applyBorder="1"/>
    <xf numFmtId="168" fontId="0" fillId="0" borderId="11" xfId="2" applyNumberFormat="1" applyFont="1" applyBorder="1"/>
    <xf numFmtId="43" fontId="0" fillId="0" borderId="1" xfId="1" applyFont="1" applyBorder="1"/>
    <xf numFmtId="43" fontId="0" fillId="0" borderId="11" xfId="1" applyFont="1" applyBorder="1"/>
    <xf numFmtId="9" fontId="0" fillId="0" borderId="12" xfId="3" applyFont="1" applyBorder="1"/>
    <xf numFmtId="9" fontId="20" fillId="0" borderId="14"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33F92B6E-F4A0-4917-90CD-FC769E6F2F3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1FBC664E-0448-4D8D-B330-EBECB5F02073}"/>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9E0D3C45-7D32-4587-9779-955323423C0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0E1AF35D-8669-4460-850B-BC6938AB06CA}"/>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3C7F48AB-67B8-4876-81E9-0032EE40C77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FC1AC5FB-497A-4BE5-97CC-2023C9EB4D1A}"/>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A82ADF4-607E-4E88-8353-A7583E1DAD82}"/>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58FB9439-C190-40FC-B312-251A21B4E424}"/>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05D065BA-150A-4681-BE37-89D2C2FF0318}"/>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5C13F280-B63D-4A6F-9D79-DDB93EA9BD0B}"/>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64C0432F-48DF-4B2D-BFA5-96338405AA3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E5DB6E64-45CE-4D96-954D-F59FADFA7C0F}"/>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FCA86B1B-7811-42CC-A253-6DB4EFA901D8}"/>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5852A-CB67-4124-9068-1EA7B542BCBC}">
  <sheetPr codeName="Sheet1"/>
  <dimension ref="C5:S44"/>
  <sheetViews>
    <sheetView showGridLines="0" tabSelected="1" workbookViewId="0"/>
  </sheetViews>
  <sheetFormatPr defaultRowHeight="13.2" x14ac:dyDescent="0.25"/>
  <cols>
    <col min="1" max="2" width="8.88671875" style="68"/>
    <col min="3" max="3" width="38" style="68" bestFit="1" customWidth="1"/>
    <col min="4" max="4" width="19.88671875" style="68" bestFit="1" customWidth="1"/>
    <col min="5" max="5" width="22.5546875" style="68" bestFit="1" customWidth="1"/>
    <col min="6" max="6" width="23.44140625" style="68" bestFit="1" customWidth="1"/>
    <col min="7" max="7" width="12.5546875" style="68" bestFit="1" customWidth="1"/>
    <col min="8" max="8" width="24.44140625" style="68" bestFit="1" customWidth="1"/>
    <col min="9" max="9" width="23" style="68" bestFit="1" customWidth="1"/>
    <col min="10" max="10" width="22.5546875" style="68" bestFit="1" customWidth="1"/>
    <col min="11" max="11" width="19.5546875" style="68" bestFit="1" customWidth="1"/>
    <col min="12" max="12" width="39" style="68" bestFit="1" customWidth="1"/>
    <col min="13" max="13" width="34.109375" style="68" bestFit="1" customWidth="1"/>
    <col min="14" max="14" width="26.33203125" style="68" bestFit="1" customWidth="1"/>
    <col min="15" max="15" width="8.88671875" style="68"/>
    <col min="16" max="16" width="28.5546875" style="68" bestFit="1" customWidth="1"/>
    <col min="17" max="16384" width="8.88671875" style="68"/>
  </cols>
  <sheetData>
    <row r="5" spans="3:19" ht="13.8" thickBot="1" x14ac:dyDescent="0.3"/>
    <row r="6" spans="3:19" x14ac:dyDescent="0.25">
      <c r="C6" s="74" t="s">
        <v>8</v>
      </c>
      <c r="D6" s="75" t="s">
        <v>9</v>
      </c>
      <c r="E6" s="75" t="s">
        <v>10</v>
      </c>
      <c r="F6" s="75" t="s">
        <v>11</v>
      </c>
      <c r="G6" s="75" t="s">
        <v>12</v>
      </c>
      <c r="H6" s="75" t="s">
        <v>15</v>
      </c>
      <c r="I6" s="75" t="s">
        <v>22</v>
      </c>
      <c r="J6" s="75" t="s">
        <v>23</v>
      </c>
      <c r="K6" s="75" t="s">
        <v>24</v>
      </c>
      <c r="L6" s="75" t="s">
        <v>55</v>
      </c>
      <c r="M6" s="75" t="s">
        <v>56</v>
      </c>
      <c r="N6" s="76" t="s">
        <v>57</v>
      </c>
      <c r="P6" s="70"/>
      <c r="Q6" s="71" t="s">
        <v>132</v>
      </c>
      <c r="R6" s="71" t="s">
        <v>133</v>
      </c>
      <c r="S6" s="73" t="s">
        <v>134</v>
      </c>
    </row>
    <row r="7" spans="3:19" x14ac:dyDescent="0.25">
      <c r="C7" s="77" t="s">
        <v>25</v>
      </c>
      <c r="D7" s="89">
        <v>0.04</v>
      </c>
      <c r="E7" s="91">
        <v>84.5</v>
      </c>
      <c r="F7" s="89">
        <v>3</v>
      </c>
      <c r="G7" s="89">
        <v>0.1</v>
      </c>
      <c r="H7" s="89">
        <v>3.1</v>
      </c>
      <c r="I7" s="89" t="s">
        <v>26</v>
      </c>
      <c r="J7" s="89" t="s">
        <v>26</v>
      </c>
      <c r="K7" s="89" t="s">
        <v>26</v>
      </c>
      <c r="L7" s="93" t="s">
        <v>26</v>
      </c>
      <c r="M7" s="93" t="s">
        <v>26</v>
      </c>
      <c r="N7" s="94" t="s">
        <v>26</v>
      </c>
      <c r="P7" s="69" t="s">
        <v>135</v>
      </c>
      <c r="Q7" s="107">
        <v>0.33333333333333331</v>
      </c>
      <c r="R7" s="107">
        <v>0.33333333333333331</v>
      </c>
      <c r="S7" s="108">
        <v>0.33333333333333331</v>
      </c>
    </row>
    <row r="8" spans="3:19" x14ac:dyDescent="0.25">
      <c r="C8" s="77" t="s">
        <v>27</v>
      </c>
      <c r="D8" s="89">
        <v>0.01</v>
      </c>
      <c r="E8" s="91">
        <v>1043.9000000000001</v>
      </c>
      <c r="F8" s="89">
        <v>12.7</v>
      </c>
      <c r="G8" s="89">
        <v>-0.1</v>
      </c>
      <c r="H8" s="89">
        <v>12.6</v>
      </c>
      <c r="I8" s="89" t="s">
        <v>26</v>
      </c>
      <c r="J8" s="89" t="s">
        <v>26</v>
      </c>
      <c r="K8" s="89" t="s">
        <v>26</v>
      </c>
      <c r="L8" s="93" t="s">
        <v>26</v>
      </c>
      <c r="M8" s="93" t="s">
        <v>26</v>
      </c>
      <c r="N8" s="94" t="s">
        <v>26</v>
      </c>
      <c r="P8" s="69" t="s">
        <v>136</v>
      </c>
      <c r="Q8" s="109" t="e">
        <f>INDEX(L24:L44,MATCH($L$22,$K$24:$K$44))</f>
        <v>#DIV/0!</v>
      </c>
      <c r="R8" s="109" t="e">
        <f>INDEX(M24:M44,MATCH($L$22,$K$24:$K$44))</f>
        <v>#DIV/0!</v>
      </c>
      <c r="S8" s="110" t="e">
        <f>INDEX(N24:N44,MATCH($L$22,$K$24:$K$44))</f>
        <v>#DIV/0!</v>
      </c>
    </row>
    <row r="9" spans="3:19" x14ac:dyDescent="0.25">
      <c r="C9" s="77" t="s">
        <v>28</v>
      </c>
      <c r="D9" s="89">
        <v>0.15</v>
      </c>
      <c r="E9" s="91">
        <v>11.6</v>
      </c>
      <c r="F9" s="89">
        <v>1.8</v>
      </c>
      <c r="G9" s="89">
        <v>0.4</v>
      </c>
      <c r="H9" s="89">
        <v>2.1</v>
      </c>
      <c r="I9" s="89" t="s">
        <v>26</v>
      </c>
      <c r="J9" s="89" t="s">
        <v>26</v>
      </c>
      <c r="K9" s="89" t="s">
        <v>26</v>
      </c>
      <c r="L9" s="93" t="s">
        <v>26</v>
      </c>
      <c r="M9" s="93" t="s">
        <v>26</v>
      </c>
      <c r="N9" s="94" t="s">
        <v>26</v>
      </c>
      <c r="P9" s="69" t="s">
        <v>137</v>
      </c>
      <c r="Q9" s="100" t="s">
        <v>26</v>
      </c>
      <c r="R9" s="100" t="s">
        <v>26</v>
      </c>
      <c r="S9" s="101" t="s">
        <v>26</v>
      </c>
    </row>
    <row r="10" spans="3:19" x14ac:dyDescent="0.25">
      <c r="C10" s="77" t="s">
        <v>29</v>
      </c>
      <c r="D10" s="89" t="s">
        <v>26</v>
      </c>
      <c r="E10" s="91">
        <v>41.3</v>
      </c>
      <c r="F10" s="89">
        <v>1.2</v>
      </c>
      <c r="G10" s="89">
        <v>3.4</v>
      </c>
      <c r="H10" s="89">
        <v>1.1000000000000001</v>
      </c>
      <c r="I10" s="89" t="s">
        <v>26</v>
      </c>
      <c r="J10" s="89" t="s">
        <v>26</v>
      </c>
      <c r="K10" s="89" t="s">
        <v>26</v>
      </c>
      <c r="L10" s="93" t="s">
        <v>26</v>
      </c>
      <c r="M10" s="93" t="s">
        <v>26</v>
      </c>
      <c r="N10" s="94" t="s">
        <v>26</v>
      </c>
      <c r="P10" s="69" t="s">
        <v>138</v>
      </c>
      <c r="Q10" s="100" t="e">
        <f>Q9*Q8</f>
        <v>#VALUE!</v>
      </c>
      <c r="R10" s="100" t="e">
        <f>R9*R8</f>
        <v>#VALUE!</v>
      </c>
      <c r="S10" s="101" t="e">
        <f>S12+S11</f>
        <v>#VALUE!</v>
      </c>
    </row>
    <row r="11" spans="3:19" x14ac:dyDescent="0.25">
      <c r="C11" s="77" t="s">
        <v>30</v>
      </c>
      <c r="D11" s="89" t="s">
        <v>26</v>
      </c>
      <c r="E11" s="91" t="s">
        <v>26</v>
      </c>
      <c r="F11" s="89" t="s">
        <v>26</v>
      </c>
      <c r="G11" s="89">
        <v>-714.3</v>
      </c>
      <c r="H11" s="89" t="s">
        <v>26</v>
      </c>
      <c r="I11" s="89" t="s">
        <v>26</v>
      </c>
      <c r="J11" s="89" t="s">
        <v>26</v>
      </c>
      <c r="K11" s="89" t="s">
        <v>26</v>
      </c>
      <c r="L11" s="93" t="s">
        <v>26</v>
      </c>
      <c r="M11" s="93" t="s">
        <v>26</v>
      </c>
      <c r="N11" s="94" t="s">
        <v>26</v>
      </c>
      <c r="P11" s="69" t="s">
        <v>139</v>
      </c>
      <c r="Q11" s="100" t="s">
        <v>26</v>
      </c>
      <c r="R11" s="100" t="s">
        <v>26</v>
      </c>
      <c r="S11" s="101" t="s">
        <v>26</v>
      </c>
    </row>
    <row r="12" spans="3:19" x14ac:dyDescent="0.25">
      <c r="C12" s="77" t="s">
        <v>31</v>
      </c>
      <c r="D12" s="89">
        <v>0.17</v>
      </c>
      <c r="E12" s="91">
        <v>22.1</v>
      </c>
      <c r="F12" s="89">
        <v>3.9</v>
      </c>
      <c r="G12" s="89">
        <v>-3.2</v>
      </c>
      <c r="H12" s="89">
        <v>1.8</v>
      </c>
      <c r="I12" s="89" t="s">
        <v>26</v>
      </c>
      <c r="J12" s="89" t="s">
        <v>26</v>
      </c>
      <c r="K12" s="89" t="s">
        <v>26</v>
      </c>
      <c r="L12" s="93" t="s">
        <v>26</v>
      </c>
      <c r="M12" s="93" t="s">
        <v>26</v>
      </c>
      <c r="N12" s="94" t="s">
        <v>26</v>
      </c>
      <c r="P12" s="69" t="s">
        <v>121</v>
      </c>
      <c r="Q12" s="100" t="e">
        <f>Q10-Q11</f>
        <v>#VALUE!</v>
      </c>
      <c r="R12" s="100" t="e">
        <f>R10-R11</f>
        <v>#VALUE!</v>
      </c>
      <c r="S12" s="101" t="e">
        <f>S13*S14</f>
        <v>#VALUE!</v>
      </c>
    </row>
    <row r="13" spans="3:19" x14ac:dyDescent="0.25">
      <c r="C13" s="77" t="s">
        <v>32</v>
      </c>
      <c r="D13" s="89" t="s">
        <v>26</v>
      </c>
      <c r="E13" s="91" t="s">
        <v>26</v>
      </c>
      <c r="F13" s="89" t="s">
        <v>26</v>
      </c>
      <c r="G13" s="89">
        <v>101.4</v>
      </c>
      <c r="H13" s="89" t="s">
        <v>26</v>
      </c>
      <c r="I13" s="89" t="s">
        <v>26</v>
      </c>
      <c r="J13" s="89" t="s">
        <v>26</v>
      </c>
      <c r="K13" s="89" t="s">
        <v>26</v>
      </c>
      <c r="L13" s="93" t="s">
        <v>26</v>
      </c>
      <c r="M13" s="93" t="s">
        <v>26</v>
      </c>
      <c r="N13" s="94" t="s">
        <v>26</v>
      </c>
      <c r="P13" s="69" t="s">
        <v>140</v>
      </c>
      <c r="Q13" s="111" t="s">
        <v>26</v>
      </c>
      <c r="R13" s="111" t="s">
        <v>26</v>
      </c>
      <c r="S13" s="112" t="s">
        <v>26</v>
      </c>
    </row>
    <row r="14" spans="3:19" ht="13.8" thickBot="1" x14ac:dyDescent="0.3">
      <c r="C14" s="77" t="s">
        <v>33</v>
      </c>
      <c r="D14" s="89">
        <v>0.84</v>
      </c>
      <c r="E14" s="91">
        <v>194.2</v>
      </c>
      <c r="F14" s="89">
        <v>163</v>
      </c>
      <c r="G14" s="89">
        <v>132.1</v>
      </c>
      <c r="H14" s="89">
        <v>300.5</v>
      </c>
      <c r="I14" s="89">
        <v>431.22</v>
      </c>
      <c r="J14" s="89">
        <v>147.56</v>
      </c>
      <c r="K14" s="89">
        <v>0.04</v>
      </c>
      <c r="L14" s="93">
        <v>0.7</v>
      </c>
      <c r="M14" s="93">
        <v>2.04</v>
      </c>
      <c r="N14" s="94">
        <v>22.33</v>
      </c>
      <c r="P14" s="86" t="s">
        <v>141</v>
      </c>
      <c r="Q14" s="102" t="e">
        <f>Q12/Q13</f>
        <v>#VALUE!</v>
      </c>
      <c r="R14" s="103" t="e">
        <f>R12/R13</f>
        <v>#VALUE!</v>
      </c>
      <c r="S14" s="104" t="e">
        <f>S8*S9</f>
        <v>#DIV/0!</v>
      </c>
    </row>
    <row r="15" spans="3:19" x14ac:dyDescent="0.25">
      <c r="C15" s="77" t="s">
        <v>34</v>
      </c>
      <c r="D15" s="89">
        <v>0</v>
      </c>
      <c r="E15" s="91">
        <v>2326.5</v>
      </c>
      <c r="F15" s="89">
        <v>3.6</v>
      </c>
      <c r="G15" s="89">
        <v>-0.1</v>
      </c>
      <c r="H15" s="89">
        <v>3.6</v>
      </c>
      <c r="I15" s="89" t="s">
        <v>26</v>
      </c>
      <c r="J15" s="89" t="s">
        <v>26</v>
      </c>
      <c r="K15" s="89" t="s">
        <v>26</v>
      </c>
      <c r="L15" s="93" t="s">
        <v>26</v>
      </c>
      <c r="M15" s="93" t="s">
        <v>26</v>
      </c>
      <c r="N15" s="94" t="s">
        <v>26</v>
      </c>
      <c r="P15" s="70" t="s">
        <v>142</v>
      </c>
      <c r="Q15" s="105" t="e">
        <f>SUMPRODUCT(Q14:S14,Q7:S7)</f>
        <v>#VALUE!</v>
      </c>
      <c r="R15" s="106"/>
      <c r="S15" s="106"/>
    </row>
    <row r="16" spans="3:19" x14ac:dyDescent="0.25">
      <c r="C16" s="77" t="s">
        <v>35</v>
      </c>
      <c r="D16" s="89">
        <v>0.34</v>
      </c>
      <c r="E16" s="91">
        <v>139.4</v>
      </c>
      <c r="F16" s="89">
        <v>47</v>
      </c>
      <c r="G16" s="89">
        <v>5.0999999999999996</v>
      </c>
      <c r="H16" s="89">
        <v>135.69999999999999</v>
      </c>
      <c r="I16" s="89">
        <v>175.65</v>
      </c>
      <c r="J16" s="89">
        <v>45.21</v>
      </c>
      <c r="K16" s="89">
        <v>0.09</v>
      </c>
      <c r="L16" s="93">
        <v>0.77</v>
      </c>
      <c r="M16" s="93">
        <v>3</v>
      </c>
      <c r="N16" s="94">
        <v>3.61</v>
      </c>
      <c r="P16" s="69" t="s">
        <v>143</v>
      </c>
      <c r="Q16" s="101" t="s">
        <v>26</v>
      </c>
      <c r="R16" s="106"/>
      <c r="S16" s="106"/>
    </row>
    <row r="17" spans="3:19" ht="13.8" thickBot="1" x14ac:dyDescent="0.3">
      <c r="C17" s="78" t="s">
        <v>36</v>
      </c>
      <c r="D17" s="90" t="s">
        <v>26</v>
      </c>
      <c r="E17" s="92" t="s">
        <v>26</v>
      </c>
      <c r="F17" s="90" t="s">
        <v>26</v>
      </c>
      <c r="G17" s="90" t="s">
        <v>26</v>
      </c>
      <c r="H17" s="90" t="s">
        <v>26</v>
      </c>
      <c r="I17" s="90" t="s">
        <v>26</v>
      </c>
      <c r="J17" s="90" t="s">
        <v>26</v>
      </c>
      <c r="K17" s="90" t="s">
        <v>26</v>
      </c>
      <c r="L17" s="95" t="s">
        <v>26</v>
      </c>
      <c r="M17" s="95" t="s">
        <v>26</v>
      </c>
      <c r="N17" s="96" t="s">
        <v>26</v>
      </c>
      <c r="P17" s="72" t="s">
        <v>144</v>
      </c>
      <c r="Q17" s="113" t="e">
        <f>Q15/Q16-1</f>
        <v>#VALUE!</v>
      </c>
      <c r="R17" s="106"/>
      <c r="S17" s="106"/>
    </row>
    <row r="20" spans="3:19" ht="39.6" x14ac:dyDescent="0.25">
      <c r="C20" s="87" t="s">
        <v>145</v>
      </c>
      <c r="D20" s="88" t="e">
        <f>Q17</f>
        <v>#VALUE!</v>
      </c>
    </row>
    <row r="21" spans="3:19" ht="13.8" thickBot="1" x14ac:dyDescent="0.3"/>
    <row r="22" spans="3:19" ht="13.8" thickBot="1" x14ac:dyDescent="0.3">
      <c r="K22" s="85" t="s">
        <v>131</v>
      </c>
      <c r="L22" s="114" t="e">
        <f>BENCHMARKING!D28</f>
        <v>#DIV/0!</v>
      </c>
    </row>
    <row r="23" spans="3:19" ht="13.8" thickBot="1" x14ac:dyDescent="0.3">
      <c r="K23" s="68" t="s">
        <v>130</v>
      </c>
    </row>
    <row r="24" spans="3:19" x14ac:dyDescent="0.25">
      <c r="K24" s="97">
        <v>0</v>
      </c>
      <c r="L24" s="79">
        <f>PERCENTILE(L7:L16,K24)</f>
        <v>0.7</v>
      </c>
      <c r="M24" s="79">
        <f>PERCENTILE(M7:M16,K24)</f>
        <v>2.04</v>
      </c>
      <c r="N24" s="80">
        <f>PERCENTILE(N7:N16,K24)</f>
        <v>3.61</v>
      </c>
    </row>
    <row r="25" spans="3:19" x14ac:dyDescent="0.25">
      <c r="K25" s="98">
        <v>0.05</v>
      </c>
      <c r="L25" s="81">
        <f>PERCENTILE(L7:L16,K25)</f>
        <v>0.70350000000000001</v>
      </c>
      <c r="M25" s="81">
        <f>PERCENTILE(M7:M16,K25)</f>
        <v>2.0880000000000001</v>
      </c>
      <c r="N25" s="82">
        <f>PERCENTILE(N7:N16,K25)</f>
        <v>4.5460000000000003</v>
      </c>
    </row>
    <row r="26" spans="3:19" x14ac:dyDescent="0.25">
      <c r="K26" s="98">
        <v>0.1</v>
      </c>
      <c r="L26" s="81">
        <f>PERCENTILE(L7:L16,K26)</f>
        <v>0.70699999999999996</v>
      </c>
      <c r="M26" s="81">
        <f>PERCENTILE(M7:M16,K26)</f>
        <v>2.1360000000000001</v>
      </c>
      <c r="N26" s="82">
        <f>PERCENTILE(N7:N16,K26)</f>
        <v>5.4820000000000011</v>
      </c>
    </row>
    <row r="27" spans="3:19" x14ac:dyDescent="0.25">
      <c r="K27" s="98">
        <v>0.15</v>
      </c>
      <c r="L27" s="81">
        <f>PERCENTILE(L7:L16,K27)</f>
        <v>0.71049999999999991</v>
      </c>
      <c r="M27" s="81">
        <f>PERCENTILE(M7:M16,K27)</f>
        <v>2.1840000000000002</v>
      </c>
      <c r="N27" s="82">
        <f>PERCENTILE(N7:N16,K27)</f>
        <v>6.4179999999999975</v>
      </c>
    </row>
    <row r="28" spans="3:19" x14ac:dyDescent="0.25">
      <c r="K28" s="98">
        <v>0.2</v>
      </c>
      <c r="L28" s="81">
        <f>PERCENTILE(L7:L16,K28)</f>
        <v>0.71399999999999997</v>
      </c>
      <c r="M28" s="81">
        <f>PERCENTILE(M7:M16,K28)</f>
        <v>2.2320000000000002</v>
      </c>
      <c r="N28" s="82">
        <f>PERCENTILE(N7:N16,K28)</f>
        <v>7.3539999999999992</v>
      </c>
    </row>
    <row r="29" spans="3:19" x14ac:dyDescent="0.25">
      <c r="K29" s="98">
        <v>0.25</v>
      </c>
      <c r="L29" s="81">
        <f>PERCENTILE(L7:L16,K29)</f>
        <v>0.71750000000000003</v>
      </c>
      <c r="M29" s="81">
        <f>PERCENTILE(M7:M16,K29)</f>
        <v>2.2800000000000002</v>
      </c>
      <c r="N29" s="82">
        <f>PERCENTILE(N7:N16,K29)</f>
        <v>8.2899999999999991</v>
      </c>
    </row>
    <row r="30" spans="3:19" x14ac:dyDescent="0.25">
      <c r="K30" s="98">
        <v>0.3</v>
      </c>
      <c r="L30" s="81">
        <f>PERCENTILE(L7:L16,K30)</f>
        <v>0.72099999999999997</v>
      </c>
      <c r="M30" s="81">
        <f>PERCENTILE(M7:M16,K30)</f>
        <v>2.3280000000000003</v>
      </c>
      <c r="N30" s="82">
        <f>PERCENTILE(N7:N16,K30)</f>
        <v>9.2260000000000009</v>
      </c>
    </row>
    <row r="31" spans="3:19" x14ac:dyDescent="0.25">
      <c r="K31" s="98">
        <v>0.35</v>
      </c>
      <c r="L31" s="81">
        <f>PERCENTILE(L7:L16,K31)</f>
        <v>0.72450000000000003</v>
      </c>
      <c r="M31" s="81">
        <f>PERCENTILE(M7:M16,K31)</f>
        <v>2.3760000000000003</v>
      </c>
      <c r="N31" s="82">
        <f>PERCENTILE(N7:N16,K31)</f>
        <v>10.162000000000001</v>
      </c>
    </row>
    <row r="32" spans="3:19" x14ac:dyDescent="0.25">
      <c r="K32" s="98">
        <v>0.4</v>
      </c>
      <c r="L32" s="81">
        <f>PERCENTILE(L7:L16,K32)</f>
        <v>0.72799999999999998</v>
      </c>
      <c r="M32" s="81">
        <f>PERCENTILE(M7:M16,K32)</f>
        <v>2.4239999999999999</v>
      </c>
      <c r="N32" s="82">
        <f>PERCENTILE(N7:N16,K32)</f>
        <v>11.097999999999997</v>
      </c>
    </row>
    <row r="33" spans="11:14" x14ac:dyDescent="0.25">
      <c r="K33" s="98">
        <v>0.45</v>
      </c>
      <c r="L33" s="81">
        <f>PERCENTILE(L7:L16,K33)</f>
        <v>0.73150000000000004</v>
      </c>
      <c r="M33" s="81">
        <f>PERCENTILE(M7:M16,K33)</f>
        <v>2.472</v>
      </c>
      <c r="N33" s="82">
        <f>PERCENTILE(N7:N16,K33)</f>
        <v>12.033999999999999</v>
      </c>
    </row>
    <row r="34" spans="11:14" x14ac:dyDescent="0.25">
      <c r="K34" s="98">
        <v>0.5</v>
      </c>
      <c r="L34" s="81">
        <f>PERCENTILE(L7:L16,K34)</f>
        <v>0.73499999999999999</v>
      </c>
      <c r="M34" s="81">
        <f>PERCENTILE(M7:M16,K34)</f>
        <v>2.52</v>
      </c>
      <c r="N34" s="82">
        <f>PERCENTILE(N7:N16,K34)</f>
        <v>12.969999999999999</v>
      </c>
    </row>
    <row r="35" spans="11:14" x14ac:dyDescent="0.25">
      <c r="K35" s="98">
        <v>0.55000000000000004</v>
      </c>
      <c r="L35" s="81">
        <f>PERCENTILE(L7:L16,K35)</f>
        <v>0.73849999999999993</v>
      </c>
      <c r="M35" s="81">
        <f>PERCENTILE(M7:M16,K35)</f>
        <v>2.5680000000000001</v>
      </c>
      <c r="N35" s="82">
        <f>PERCENTILE(N7:N16,K35)</f>
        <v>13.905999999999999</v>
      </c>
    </row>
    <row r="36" spans="11:14" x14ac:dyDescent="0.25">
      <c r="K36" s="98">
        <v>0.6</v>
      </c>
      <c r="L36" s="81">
        <f>PERCENTILE(L7:L16,K36)</f>
        <v>0.74199999999999999</v>
      </c>
      <c r="M36" s="81">
        <f>PERCENTILE(M7:M16,K36)</f>
        <v>2.6160000000000001</v>
      </c>
      <c r="N36" s="82">
        <f>PERCENTILE(N7:N16,K36)</f>
        <v>14.842000000000001</v>
      </c>
    </row>
    <row r="37" spans="11:14" x14ac:dyDescent="0.25">
      <c r="K37" s="98">
        <v>0.65</v>
      </c>
      <c r="L37" s="81">
        <f>PERCENTILE(L7:L16,K37)</f>
        <v>0.74549999999999994</v>
      </c>
      <c r="M37" s="81">
        <f>PERCENTILE(M7:M16,K37)</f>
        <v>2.6639999999999997</v>
      </c>
      <c r="N37" s="82">
        <f>PERCENTILE(N7:N16,K37)</f>
        <v>15.777999999999997</v>
      </c>
    </row>
    <row r="38" spans="11:14" x14ac:dyDescent="0.25">
      <c r="K38" s="98">
        <v>0.7</v>
      </c>
      <c r="L38" s="81">
        <f>PERCENTILE(L7:L16,K38)</f>
        <v>0.749</v>
      </c>
      <c r="M38" s="81">
        <f>PERCENTILE(M7:M16,K38)</f>
        <v>2.7119999999999997</v>
      </c>
      <c r="N38" s="82">
        <f>PERCENTILE(N7:N16,K38)</f>
        <v>16.713999999999999</v>
      </c>
    </row>
    <row r="39" spans="11:14" x14ac:dyDescent="0.25">
      <c r="K39" s="98">
        <v>0.75</v>
      </c>
      <c r="L39" s="81">
        <f>PERCENTILE(L7:L16,K39)</f>
        <v>0.75249999999999995</v>
      </c>
      <c r="M39" s="81">
        <f>PERCENTILE(M7:M16,K39)</f>
        <v>2.76</v>
      </c>
      <c r="N39" s="82">
        <f>PERCENTILE(N7:N16,K39)</f>
        <v>17.649999999999999</v>
      </c>
    </row>
    <row r="40" spans="11:14" x14ac:dyDescent="0.25">
      <c r="K40" s="98">
        <v>0.8</v>
      </c>
      <c r="L40" s="81">
        <f>PERCENTILE(L7:L16,K40)</f>
        <v>0.75600000000000001</v>
      </c>
      <c r="M40" s="81">
        <f>PERCENTILE(M7:M16,K40)</f>
        <v>2.8079999999999998</v>
      </c>
      <c r="N40" s="82">
        <f>PERCENTILE(N7:N16,K40)</f>
        <v>18.585999999999999</v>
      </c>
    </row>
    <row r="41" spans="11:14" x14ac:dyDescent="0.25">
      <c r="K41" s="98">
        <v>0.85</v>
      </c>
      <c r="L41" s="81">
        <f>PERCENTILE(L7:L16,K41)</f>
        <v>0.75950000000000006</v>
      </c>
      <c r="M41" s="81">
        <f>PERCENTILE(M7:M16,K41)</f>
        <v>2.8559999999999999</v>
      </c>
      <c r="N41" s="82">
        <f>PERCENTILE(N7:N16,K41)</f>
        <v>19.522000000000002</v>
      </c>
    </row>
    <row r="42" spans="11:14" x14ac:dyDescent="0.25">
      <c r="K42" s="98">
        <v>0.9</v>
      </c>
      <c r="L42" s="81">
        <f>PERCENTILE(L7:L16,K42)</f>
        <v>0.76300000000000001</v>
      </c>
      <c r="M42" s="81">
        <f>PERCENTILE(M7:M16,K42)</f>
        <v>2.9039999999999999</v>
      </c>
      <c r="N42" s="82">
        <f>PERCENTILE(N7:N16,K42)</f>
        <v>20.457999999999998</v>
      </c>
    </row>
    <row r="43" spans="11:14" x14ac:dyDescent="0.25">
      <c r="K43" s="98">
        <v>0.95</v>
      </c>
      <c r="L43" s="81">
        <f>PERCENTILE(L7:L16,K43)</f>
        <v>0.76649999999999996</v>
      </c>
      <c r="M43" s="81">
        <f>PERCENTILE(M7:M16,K43)</f>
        <v>2.952</v>
      </c>
      <c r="N43" s="82">
        <f>PERCENTILE(N7:N16,K43)</f>
        <v>21.393999999999998</v>
      </c>
    </row>
    <row r="44" spans="11:14" ht="13.8" thickBot="1" x14ac:dyDescent="0.3">
      <c r="K44" s="99">
        <v>1</v>
      </c>
      <c r="L44" s="83">
        <f>PERCENTILE(L7:L16,K44)</f>
        <v>0.77</v>
      </c>
      <c r="M44" s="83">
        <f>PERCENTILE(M7:M16,K44)</f>
        <v>3</v>
      </c>
      <c r="N44" s="84">
        <f>PERCENTILE(N7:N16,K44)</f>
        <v>22.33</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86385-6F0D-449F-8E19-51CB7FA58246}">
  <sheetPr codeName="Sheet2"/>
  <dimension ref="C5:O51"/>
  <sheetViews>
    <sheetView showGridLines="0" workbookViewId="0"/>
  </sheetViews>
  <sheetFormatPr defaultRowHeight="10.199999999999999" x14ac:dyDescent="0.2"/>
  <cols>
    <col min="1" max="2" width="8.88671875" style="29"/>
    <col min="3" max="3" width="13" style="29" bestFit="1" customWidth="1"/>
    <col min="4" max="4" width="8.109375" style="29" bestFit="1" customWidth="1"/>
    <col min="5" max="5" width="7.21875" style="29" bestFit="1" customWidth="1"/>
    <col min="6" max="6" width="7.44140625" style="29" bestFit="1" customWidth="1"/>
    <col min="7" max="7" width="7.21875" style="29" bestFit="1" customWidth="1"/>
    <col min="8" max="8" width="8.109375" style="29" bestFit="1" customWidth="1"/>
    <col min="9" max="9" width="7.77734375" style="29" bestFit="1" customWidth="1"/>
    <col min="10" max="10" width="7.88671875" style="29" bestFit="1" customWidth="1"/>
    <col min="11" max="11" width="7.77734375" style="29" bestFit="1" customWidth="1"/>
    <col min="12" max="12" width="8.109375" style="29" bestFit="1" customWidth="1"/>
    <col min="13" max="14" width="8.6640625" style="29" bestFit="1" customWidth="1"/>
    <col min="15" max="16384" width="8.88671875" style="29"/>
  </cols>
  <sheetData>
    <row r="5" spans="3:15" ht="10.8" thickBot="1" x14ac:dyDescent="0.25"/>
    <row r="6" spans="3:15" ht="51.6" thickBot="1" x14ac:dyDescent="0.25">
      <c r="C6" s="43" t="s">
        <v>8</v>
      </c>
      <c r="D6" s="50" t="s">
        <v>62</v>
      </c>
      <c r="E6" s="50" t="s">
        <v>63</v>
      </c>
      <c r="F6" s="50" t="s">
        <v>64</v>
      </c>
      <c r="G6" s="50" t="s">
        <v>65</v>
      </c>
      <c r="H6" s="50" t="s">
        <v>66</v>
      </c>
      <c r="I6" s="50" t="s">
        <v>67</v>
      </c>
      <c r="J6" s="50" t="s">
        <v>68</v>
      </c>
      <c r="K6" s="50" t="s">
        <v>69</v>
      </c>
      <c r="L6" s="50" t="s">
        <v>70</v>
      </c>
      <c r="M6" s="50" t="s">
        <v>71</v>
      </c>
      <c r="N6" s="50" t="s">
        <v>72</v>
      </c>
      <c r="O6" s="51" t="s">
        <v>73</v>
      </c>
    </row>
    <row r="7" spans="3:15" ht="40.799999999999997" x14ac:dyDescent="0.2">
      <c r="C7" s="48" t="s">
        <v>25</v>
      </c>
      <c r="D7" s="55" t="s">
        <v>26</v>
      </c>
      <c r="E7" s="56" t="s">
        <v>26</v>
      </c>
      <c r="F7" s="56" t="s">
        <v>26</v>
      </c>
      <c r="G7" s="56" t="s">
        <v>26</v>
      </c>
      <c r="H7" s="56" t="s">
        <v>26</v>
      </c>
      <c r="I7" s="56" t="s">
        <v>26</v>
      </c>
      <c r="J7" s="56" t="s">
        <v>26</v>
      </c>
      <c r="K7" s="56" t="s">
        <v>26</v>
      </c>
      <c r="L7" s="57">
        <v>1.7999999999999999E-2</v>
      </c>
      <c r="M7" s="56" t="s">
        <v>26</v>
      </c>
      <c r="N7" s="56" t="s">
        <v>26</v>
      </c>
      <c r="O7" s="58">
        <v>1.24</v>
      </c>
    </row>
    <row r="8" spans="3:15" ht="30.6" x14ac:dyDescent="0.2">
      <c r="C8" s="48" t="s">
        <v>27</v>
      </c>
      <c r="D8" s="52" t="s">
        <v>26</v>
      </c>
      <c r="E8" s="39" t="s">
        <v>26</v>
      </c>
      <c r="F8" s="39" t="s">
        <v>26</v>
      </c>
      <c r="G8" s="39" t="s">
        <v>26</v>
      </c>
      <c r="H8" s="39" t="s">
        <v>26</v>
      </c>
      <c r="I8" s="39" t="s">
        <v>26</v>
      </c>
      <c r="J8" s="39" t="s">
        <v>26</v>
      </c>
      <c r="K8" s="39" t="s">
        <v>26</v>
      </c>
      <c r="L8" s="39" t="s">
        <v>26</v>
      </c>
      <c r="M8" s="39" t="s">
        <v>26</v>
      </c>
      <c r="N8" s="39" t="s">
        <v>26</v>
      </c>
      <c r="O8" s="45">
        <v>0.98</v>
      </c>
    </row>
    <row r="9" spans="3:15" ht="30.6" x14ac:dyDescent="0.2">
      <c r="C9" s="48" t="s">
        <v>28</v>
      </c>
      <c r="D9" s="53">
        <v>-0.30199999999999999</v>
      </c>
      <c r="E9" s="41">
        <v>-0.59199999999999997</v>
      </c>
      <c r="F9" s="41">
        <v>-0.86699999999999999</v>
      </c>
      <c r="G9" s="40">
        <v>-0.97099999999999997</v>
      </c>
      <c r="H9" s="40">
        <v>-0.1255</v>
      </c>
      <c r="I9" s="39" t="s">
        <v>26</v>
      </c>
      <c r="J9" s="39" t="s">
        <v>26</v>
      </c>
      <c r="K9" s="39" t="s">
        <v>26</v>
      </c>
      <c r="L9" s="40">
        <v>0.3674</v>
      </c>
      <c r="M9" s="39" t="s">
        <v>74</v>
      </c>
      <c r="N9" s="39" t="s">
        <v>26</v>
      </c>
      <c r="O9" s="45">
        <v>0.57999999999999996</v>
      </c>
    </row>
    <row r="10" spans="3:15" ht="30.6" x14ac:dyDescent="0.2">
      <c r="C10" s="48" t="s">
        <v>29</v>
      </c>
      <c r="D10" s="53">
        <v>-2.3E-2</v>
      </c>
      <c r="E10" s="41">
        <v>3.3000000000000002E-2</v>
      </c>
      <c r="F10" s="41">
        <v>-4.1000000000000002E-2</v>
      </c>
      <c r="G10" s="40">
        <v>-7.1599999999999997E-2</v>
      </c>
      <c r="H10" s="40">
        <v>0.77669999999999995</v>
      </c>
      <c r="I10" s="39" t="s">
        <v>26</v>
      </c>
      <c r="J10" s="39" t="s">
        <v>26</v>
      </c>
      <c r="K10" s="39" t="s">
        <v>26</v>
      </c>
      <c r="L10" s="40">
        <v>0.40899999999999997</v>
      </c>
      <c r="M10" s="42">
        <v>8.1999999999999993</v>
      </c>
      <c r="N10" s="39" t="s">
        <v>26</v>
      </c>
      <c r="O10" s="45">
        <v>0.85</v>
      </c>
    </row>
    <row r="11" spans="3:15" ht="20.399999999999999" x14ac:dyDescent="0.2">
      <c r="C11" s="48" t="s">
        <v>30</v>
      </c>
      <c r="D11" s="53">
        <v>0.64200000000000002</v>
      </c>
      <c r="E11" s="41">
        <v>0.51200000000000001</v>
      </c>
      <c r="F11" s="41">
        <v>0.47499999999999998</v>
      </c>
      <c r="G11" s="40">
        <v>0.54600000000000004</v>
      </c>
      <c r="H11" s="40">
        <v>-0.29980000000000001</v>
      </c>
      <c r="I11" s="40">
        <v>-0.4</v>
      </c>
      <c r="J11" s="40">
        <v>-0.41349999999999998</v>
      </c>
      <c r="K11" s="40">
        <v>-0.2195</v>
      </c>
      <c r="L11" s="39" t="s">
        <v>26</v>
      </c>
      <c r="M11" s="39" t="s">
        <v>26</v>
      </c>
      <c r="N11" s="39" t="s">
        <v>26</v>
      </c>
      <c r="O11" s="46" t="s">
        <v>26</v>
      </c>
    </row>
    <row r="12" spans="3:15" ht="30.6" x14ac:dyDescent="0.2">
      <c r="C12" s="48" t="s">
        <v>31</v>
      </c>
      <c r="D12" s="53">
        <v>0.33</v>
      </c>
      <c r="E12" s="41">
        <v>-1.548</v>
      </c>
      <c r="F12" s="41">
        <v>-2.0070000000000001</v>
      </c>
      <c r="G12" s="40">
        <v>-2.2997999999999998</v>
      </c>
      <c r="H12" s="40">
        <v>1.3248</v>
      </c>
      <c r="I12" s="39" t="s">
        <v>26</v>
      </c>
      <c r="J12" s="39" t="s">
        <v>26</v>
      </c>
      <c r="K12" s="39" t="s">
        <v>26</v>
      </c>
      <c r="L12" s="40">
        <v>4.4999999999999998E-2</v>
      </c>
      <c r="M12" s="39" t="s">
        <v>74</v>
      </c>
      <c r="N12" s="39" t="s">
        <v>26</v>
      </c>
      <c r="O12" s="45">
        <v>0.27</v>
      </c>
    </row>
    <row r="13" spans="3:15" ht="20.399999999999999" x14ac:dyDescent="0.2">
      <c r="C13" s="48" t="s">
        <v>32</v>
      </c>
      <c r="D13" s="53">
        <v>-0.59599999999999997</v>
      </c>
      <c r="E13" s="41">
        <v>-0.97599999999999998</v>
      </c>
      <c r="F13" s="41">
        <v>-1.649</v>
      </c>
      <c r="G13" s="40">
        <v>-2.9397000000000002</v>
      </c>
      <c r="H13" s="40">
        <v>-0.86609999999999998</v>
      </c>
      <c r="I13" s="39" t="s">
        <v>26</v>
      </c>
      <c r="J13" s="39" t="s">
        <v>26</v>
      </c>
      <c r="K13" s="39" t="s">
        <v>26</v>
      </c>
      <c r="L13" s="40">
        <v>2.4169</v>
      </c>
      <c r="M13" s="39" t="s">
        <v>74</v>
      </c>
      <c r="N13" s="39" t="s">
        <v>26</v>
      </c>
      <c r="O13" s="46" t="s">
        <v>26</v>
      </c>
    </row>
    <row r="14" spans="3:15" ht="30.6" x14ac:dyDescent="0.2">
      <c r="C14" s="48" t="s">
        <v>33</v>
      </c>
      <c r="D14" s="53">
        <v>0.217</v>
      </c>
      <c r="E14" s="41">
        <v>0.34</v>
      </c>
      <c r="F14" s="41">
        <v>0.221</v>
      </c>
      <c r="G14" s="40">
        <v>3.8999999999999998E-3</v>
      </c>
      <c r="H14" s="40">
        <v>8.9399999999999993E-2</v>
      </c>
      <c r="I14" s="40">
        <v>-4.3299999999999998E-2</v>
      </c>
      <c r="J14" s="40">
        <v>0.39689999999999998</v>
      </c>
      <c r="K14" s="40">
        <v>-0.98809999999999998</v>
      </c>
      <c r="L14" s="40">
        <v>0.37719999999999998</v>
      </c>
      <c r="M14" s="42">
        <v>1.4</v>
      </c>
      <c r="N14" s="39" t="s">
        <v>26</v>
      </c>
      <c r="O14" s="45">
        <v>1.23</v>
      </c>
    </row>
    <row r="15" spans="3:15" ht="20.399999999999999" x14ac:dyDescent="0.2">
      <c r="C15" s="48" t="s">
        <v>34</v>
      </c>
      <c r="D15" s="52" t="s">
        <v>26</v>
      </c>
      <c r="E15" s="39" t="s">
        <v>26</v>
      </c>
      <c r="F15" s="39" t="s">
        <v>26</v>
      </c>
      <c r="G15" s="39" t="s">
        <v>26</v>
      </c>
      <c r="H15" s="39" t="s">
        <v>26</v>
      </c>
      <c r="I15" s="39" t="s">
        <v>26</v>
      </c>
      <c r="J15" s="39" t="s">
        <v>26</v>
      </c>
      <c r="K15" s="39" t="s">
        <v>26</v>
      </c>
      <c r="L15" s="39" t="s">
        <v>26</v>
      </c>
      <c r="M15" s="39" t="s">
        <v>26</v>
      </c>
      <c r="N15" s="39" t="s">
        <v>26</v>
      </c>
      <c r="O15" s="45">
        <v>1.1200000000000001</v>
      </c>
    </row>
    <row r="16" spans="3:15" ht="30.6" x14ac:dyDescent="0.2">
      <c r="C16" s="48" t="s">
        <v>35</v>
      </c>
      <c r="D16" s="53">
        <v>0.23599999999999999</v>
      </c>
      <c r="E16" s="41">
        <v>0.20399999999999999</v>
      </c>
      <c r="F16" s="41">
        <v>0.16900000000000001</v>
      </c>
      <c r="G16" s="40">
        <v>5.3900000000000003E-2</v>
      </c>
      <c r="H16" s="40">
        <v>-6.4000000000000001E-2</v>
      </c>
      <c r="I16" s="40">
        <v>-0.2465</v>
      </c>
      <c r="J16" s="40">
        <v>-0.27739999999999998</v>
      </c>
      <c r="K16" s="40">
        <v>-0.31080000000000002</v>
      </c>
      <c r="L16" s="40">
        <v>5.6099999999999997E-2</v>
      </c>
      <c r="M16" s="42">
        <v>0.3</v>
      </c>
      <c r="N16" s="39" t="s">
        <v>26</v>
      </c>
      <c r="O16" s="45">
        <v>1.1299999999999999</v>
      </c>
    </row>
    <row r="17" spans="3:15" ht="31.2" thickBot="1" x14ac:dyDescent="0.25">
      <c r="C17" s="49" t="s">
        <v>36</v>
      </c>
      <c r="D17" s="54" t="s">
        <v>26</v>
      </c>
      <c r="E17" s="44" t="s">
        <v>26</v>
      </c>
      <c r="F17" s="44" t="s">
        <v>26</v>
      </c>
      <c r="G17" s="44" t="s">
        <v>26</v>
      </c>
      <c r="H17" s="44" t="s">
        <v>26</v>
      </c>
      <c r="I17" s="44" t="s">
        <v>26</v>
      </c>
      <c r="J17" s="44" t="s">
        <v>26</v>
      </c>
      <c r="K17" s="44" t="s">
        <v>26</v>
      </c>
      <c r="L17" s="44" t="s">
        <v>26</v>
      </c>
      <c r="M17" s="44" t="s">
        <v>26</v>
      </c>
      <c r="N17" s="44" t="s">
        <v>26</v>
      </c>
      <c r="O17" s="47" t="s">
        <v>26</v>
      </c>
    </row>
    <row r="27" spans="3:15" ht="10.8" thickBot="1" x14ac:dyDescent="0.25"/>
    <row r="28" spans="3:15" ht="10.8" thickBot="1" x14ac:dyDescent="0.25">
      <c r="C28" s="37" t="s">
        <v>128</v>
      </c>
      <c r="D28" s="35" t="e">
        <f>AVERAGE(D29:O29)</f>
        <v>#DIV/0!</v>
      </c>
    </row>
    <row r="29" spans="3:15" ht="10.8" thickBot="1" x14ac:dyDescent="0.25">
      <c r="C29" s="38" t="s">
        <v>129</v>
      </c>
      <c r="D29" s="36" t="str">
        <f>IFERROR(INDEX(C31:C51,MATCH(D17,D31:D51)),"NA")</f>
        <v>NA</v>
      </c>
      <c r="E29" s="33" t="str">
        <f>IFERROR(INDEX(C31:C51,MATCH(E17,E31:E51)),"NA")</f>
        <v>NA</v>
      </c>
      <c r="F29" s="33" t="str">
        <f>IFERROR(INDEX(C31:C51,MATCH(F17,F31:F51)),"NA")</f>
        <v>NA</v>
      </c>
      <c r="G29" s="33" t="str">
        <f>IFERROR(INDEX(C31:C51,MATCH(G17,G31:G51)),"NA")</f>
        <v>NA</v>
      </c>
      <c r="H29" s="33" t="str">
        <f>IFERROR(INDEX(C31:C51,MATCH(H17,H31:H51)),"NA")</f>
        <v>NA</v>
      </c>
      <c r="I29" s="33" t="str">
        <f>IFERROR(INDEX(C31:C51,MATCH(I17,I31:I51)),"NA")</f>
        <v>NA</v>
      </c>
      <c r="J29" s="33" t="str">
        <f>IFERROR(INDEX(C31:C51,MATCH(J17,J31:J51)),"NA")</f>
        <v>NA</v>
      </c>
      <c r="K29" s="33" t="str">
        <f>IFERROR(INDEX(C31:C51,MATCH(K17,K31:K51)),"NA")</f>
        <v>NA</v>
      </c>
      <c r="L29" s="33" t="str">
        <f>IFERROR(INDEX(C31:C51,MATCH(L17,L31:L51)),"NA")</f>
        <v>NA</v>
      </c>
      <c r="M29" s="33" t="str">
        <f>IFERROR((1-INDEX(C31:C51,MATCH(M17,M31:M51))),"NA")</f>
        <v>NA</v>
      </c>
      <c r="N29" s="33" t="str">
        <f>IFERROR(INDEX(C31:C51,MATCH(N17,N31:N51)),"NA")</f>
        <v>NA</v>
      </c>
      <c r="O29" s="34" t="str">
        <f>IFERROR((1-INDEX(C31:C51,MATCH(O17,O31:O51))),"NA")</f>
        <v>NA</v>
      </c>
    </row>
    <row r="30" spans="3:15" ht="10.8" thickBot="1" x14ac:dyDescent="0.25">
      <c r="C30" s="29" t="s">
        <v>130</v>
      </c>
    </row>
    <row r="31" spans="3:15" x14ac:dyDescent="0.2">
      <c r="C31" s="31">
        <v>0</v>
      </c>
      <c r="D31" s="59">
        <f>PERCENTILE(D7:D16,C31)</f>
        <v>-0.59599999999999997</v>
      </c>
      <c r="E31" s="59">
        <f>PERCENTILE(E7:E16,C31)</f>
        <v>-1.548</v>
      </c>
      <c r="F31" s="59">
        <f>PERCENTILE(F7:F16,C31)</f>
        <v>-2.0070000000000001</v>
      </c>
      <c r="G31" s="59">
        <f>PERCENTILE(G7:G16,C31)</f>
        <v>-2.9397000000000002</v>
      </c>
      <c r="H31" s="59">
        <f>PERCENTILE(H7:H16,C31)</f>
        <v>-0.86609999999999998</v>
      </c>
      <c r="I31" s="59">
        <f>PERCENTILE(I7:I16,C31)</f>
        <v>-0.4</v>
      </c>
      <c r="J31" s="59">
        <f>PERCENTILE(J7:J16,C31)</f>
        <v>-0.41349999999999998</v>
      </c>
      <c r="K31" s="59">
        <f>PERCENTILE(K7:K16,C31)</f>
        <v>-0.98809999999999998</v>
      </c>
      <c r="L31" s="59">
        <f>PERCENTILE(L7:L16,C31)</f>
        <v>1.7999999999999999E-2</v>
      </c>
      <c r="M31" s="62">
        <f>PERCENTILE(M7:M16,C31)</f>
        <v>0.3</v>
      </c>
      <c r="N31" s="59" t="e">
        <f>PERCENTILE(N7:N16,C31)</f>
        <v>#NUM!</v>
      </c>
      <c r="O31" s="65">
        <f>PERCENTILE(O7:O16,C31)</f>
        <v>0.27</v>
      </c>
    </row>
    <row r="32" spans="3:15" x14ac:dyDescent="0.2">
      <c r="C32" s="30">
        <v>0.05</v>
      </c>
      <c r="D32" s="60">
        <f>PERCENTILE(D7:D16,C32)</f>
        <v>-0.50779999999999992</v>
      </c>
      <c r="E32" s="60">
        <f>PERCENTILE(E7:E16,C32)</f>
        <v>-1.3764000000000001</v>
      </c>
      <c r="F32" s="60">
        <f>PERCENTILE(F7:F16,C32)</f>
        <v>-1.8996</v>
      </c>
      <c r="G32" s="60">
        <f>PERCENTILE(G7:G16,C32)</f>
        <v>-2.7477300000000002</v>
      </c>
      <c r="H32" s="60">
        <f>PERCENTILE(H7:H16,C32)</f>
        <v>-0.69621</v>
      </c>
      <c r="I32" s="60">
        <f>PERCENTILE(I7:I16,C32)</f>
        <v>-0.38464999999999999</v>
      </c>
      <c r="J32" s="60">
        <f>PERCENTILE(J7:J16,C32)</f>
        <v>-0.39988999999999997</v>
      </c>
      <c r="K32" s="60">
        <f>PERCENTILE(K7:K16,C32)</f>
        <v>-0.92036999999999991</v>
      </c>
      <c r="L32" s="60">
        <f>PERCENTILE(L7:L16,C32)</f>
        <v>2.6099999999999998E-2</v>
      </c>
      <c r="M32" s="63">
        <f>PERCENTILE(M7:M16,C32)</f>
        <v>0.41000000000000009</v>
      </c>
      <c r="N32" s="60" t="e">
        <f>PERCENTILE(N7:N16,C32)</f>
        <v>#NUM!</v>
      </c>
      <c r="O32" s="66">
        <f>PERCENTILE(O7:O16,C32)</f>
        <v>0.37850000000000006</v>
      </c>
    </row>
    <row r="33" spans="3:15" x14ac:dyDescent="0.2">
      <c r="C33" s="30">
        <v>0.1</v>
      </c>
      <c r="D33" s="60">
        <f>PERCENTILE(D7:D16,C33)</f>
        <v>-0.41959999999999997</v>
      </c>
      <c r="E33" s="60">
        <f>PERCENTILE(E7:E16,C33)</f>
        <v>-1.2047999999999999</v>
      </c>
      <c r="F33" s="60">
        <f>PERCENTILE(F7:F16,C33)</f>
        <v>-1.7922</v>
      </c>
      <c r="G33" s="60">
        <f>PERCENTILE(G7:G16,C33)</f>
        <v>-2.5557599999999998</v>
      </c>
      <c r="H33" s="60">
        <f>PERCENTILE(H7:H16,C33)</f>
        <v>-0.5263199999999999</v>
      </c>
      <c r="I33" s="60">
        <f>PERCENTILE(I7:I16,C33)</f>
        <v>-0.36930000000000002</v>
      </c>
      <c r="J33" s="60">
        <f>PERCENTILE(J7:J16,C33)</f>
        <v>-0.38627999999999996</v>
      </c>
      <c r="K33" s="60">
        <f>PERCENTILE(K7:K16,C33)</f>
        <v>-0.85264000000000006</v>
      </c>
      <c r="L33" s="60">
        <f>PERCENTILE(L7:L16,C33)</f>
        <v>3.4200000000000001E-2</v>
      </c>
      <c r="M33" s="63">
        <f>PERCENTILE(M7:M16,C33)</f>
        <v>0.51999999999999991</v>
      </c>
      <c r="N33" s="60" t="e">
        <f>PERCENTILE(N7:N16,C33)</f>
        <v>#NUM!</v>
      </c>
      <c r="O33" s="66">
        <f>PERCENTILE(O7:O16,C33)</f>
        <v>0.48700000000000004</v>
      </c>
    </row>
    <row r="34" spans="3:15" x14ac:dyDescent="0.2">
      <c r="C34" s="30">
        <v>0.15</v>
      </c>
      <c r="D34" s="60">
        <f>PERCENTILE(D7:D16,C34)</f>
        <v>-0.33140000000000003</v>
      </c>
      <c r="E34" s="60">
        <f>PERCENTILE(E7:E16,C34)</f>
        <v>-1.0331999999999999</v>
      </c>
      <c r="F34" s="60">
        <f>PERCENTILE(F7:F16,C34)</f>
        <v>-1.6848000000000001</v>
      </c>
      <c r="G34" s="60">
        <f>PERCENTILE(G7:G16,C34)</f>
        <v>-2.3637899999999998</v>
      </c>
      <c r="H34" s="60">
        <f>PERCENTILE(H7:H16,C34)</f>
        <v>-0.35643000000000002</v>
      </c>
      <c r="I34" s="60">
        <f>PERCENTILE(I7:I16,C34)</f>
        <v>-0.35394999999999999</v>
      </c>
      <c r="J34" s="60">
        <f>PERCENTILE(J7:J16,C34)</f>
        <v>-0.37266999999999995</v>
      </c>
      <c r="K34" s="60">
        <f>PERCENTILE(K7:K16,C34)</f>
        <v>-0.78491</v>
      </c>
      <c r="L34" s="60">
        <f>PERCENTILE(L7:L16,C34)</f>
        <v>4.2299999999999997E-2</v>
      </c>
      <c r="M34" s="63">
        <f>PERCENTILE(M7:M16,C34)</f>
        <v>0.63</v>
      </c>
      <c r="N34" s="60" t="e">
        <f>PERCENTILE(N7:N16,C34)</f>
        <v>#NUM!</v>
      </c>
      <c r="O34" s="66">
        <f>PERCENTILE(O7:O16,C34)</f>
        <v>0.59349999999999992</v>
      </c>
    </row>
    <row r="35" spans="3:15" x14ac:dyDescent="0.2">
      <c r="C35" s="30">
        <v>0.2</v>
      </c>
      <c r="D35" s="60">
        <f>PERCENTILE(D7:D16,C35)</f>
        <v>-0.24619999999999995</v>
      </c>
      <c r="E35" s="60">
        <f>PERCENTILE(E7:E16,C35)</f>
        <v>-0.89919999999999989</v>
      </c>
      <c r="F35" s="60">
        <f>PERCENTILE(F7:F16,C35)</f>
        <v>-1.4925999999999999</v>
      </c>
      <c r="G35" s="60">
        <f>PERCENTILE(G7:G16,C35)</f>
        <v>-2.0340399999999996</v>
      </c>
      <c r="H35" s="60">
        <f>PERCENTILE(H7:H16,C35)</f>
        <v>-0.26493999999999995</v>
      </c>
      <c r="I35" s="60">
        <f>PERCENTILE(I7:I16,C35)</f>
        <v>-0.33860000000000001</v>
      </c>
      <c r="J35" s="60">
        <f>PERCENTILE(J7:J16,C35)</f>
        <v>-0.35905999999999999</v>
      </c>
      <c r="K35" s="60">
        <f>PERCENTILE(K7:K16,C35)</f>
        <v>-0.71718000000000004</v>
      </c>
      <c r="L35" s="60">
        <f>PERCENTILE(L7:L16,C35)</f>
        <v>4.7219999999999998E-2</v>
      </c>
      <c r="M35" s="63">
        <f>PERCENTILE(M7:M16,C35)</f>
        <v>0.73999999999999977</v>
      </c>
      <c r="N35" s="60" t="e">
        <f>PERCENTILE(N7:N16,C35)</f>
        <v>#NUM!</v>
      </c>
      <c r="O35" s="66">
        <f>PERCENTILE(O7:O16,C35)</f>
        <v>0.68800000000000006</v>
      </c>
    </row>
    <row r="36" spans="3:15" x14ac:dyDescent="0.2">
      <c r="C36" s="30">
        <v>0.25</v>
      </c>
      <c r="D36" s="60">
        <f>PERCENTILE(D7:D16,C36)</f>
        <v>-0.16250000000000001</v>
      </c>
      <c r="E36" s="60">
        <f>PERCENTILE(E7:E16,C36)</f>
        <v>-0.78400000000000003</v>
      </c>
      <c r="F36" s="60">
        <f>PERCENTILE(F7:F16,C36)</f>
        <v>-1.258</v>
      </c>
      <c r="G36" s="60">
        <f>PERCENTILE(G7:G16,C36)</f>
        <v>-1.6354</v>
      </c>
      <c r="H36" s="60">
        <f>PERCENTILE(H7:H16,C36)</f>
        <v>-0.21265000000000001</v>
      </c>
      <c r="I36" s="60">
        <f>PERCENTILE(I7:I16,C36)</f>
        <v>-0.32325000000000004</v>
      </c>
      <c r="J36" s="60">
        <f>PERCENTILE(J7:J16,C36)</f>
        <v>-0.34544999999999998</v>
      </c>
      <c r="K36" s="60">
        <f>PERCENTILE(K7:K16,C36)</f>
        <v>-0.64944999999999997</v>
      </c>
      <c r="L36" s="60">
        <f>PERCENTILE(L7:L16,C36)</f>
        <v>5.0549999999999998E-2</v>
      </c>
      <c r="M36" s="63">
        <f>PERCENTILE(M7:M16,C36)</f>
        <v>0.84999999999999987</v>
      </c>
      <c r="N36" s="60" t="e">
        <f>PERCENTILE(N7:N16,C36)</f>
        <v>#NUM!</v>
      </c>
      <c r="O36" s="66">
        <f>PERCENTILE(O7:O16,C36)</f>
        <v>0.78249999999999997</v>
      </c>
    </row>
    <row r="37" spans="3:15" x14ac:dyDescent="0.2">
      <c r="C37" s="30">
        <v>0.3</v>
      </c>
      <c r="D37" s="60">
        <f>PERCENTILE(D7:D16,C37)</f>
        <v>-7.8800000000000064E-2</v>
      </c>
      <c r="E37" s="60">
        <f>PERCENTILE(E7:E16,C37)</f>
        <v>-0.66880000000000006</v>
      </c>
      <c r="F37" s="60">
        <f>PERCENTILE(F7:F16,C37)</f>
        <v>-1.0234000000000001</v>
      </c>
      <c r="G37" s="60">
        <f>PERCENTILE(G7:G16,C37)</f>
        <v>-1.2367600000000003</v>
      </c>
      <c r="H37" s="60">
        <f>PERCENTILE(H7:H16,C37)</f>
        <v>-0.16036000000000003</v>
      </c>
      <c r="I37" s="60">
        <f>PERCENTILE(I7:I16,C37)</f>
        <v>-0.30790000000000001</v>
      </c>
      <c r="J37" s="60">
        <f>PERCENTILE(J7:J16,C37)</f>
        <v>-0.33183999999999997</v>
      </c>
      <c r="K37" s="60">
        <f>PERCENTILE(K7:K16,C37)</f>
        <v>-0.5817199999999999</v>
      </c>
      <c r="L37" s="60">
        <f>PERCENTILE(L7:L16,C37)</f>
        <v>5.3879999999999997E-2</v>
      </c>
      <c r="M37" s="63">
        <f>PERCENTILE(M7:M16,C37)</f>
        <v>0.96</v>
      </c>
      <c r="N37" s="60" t="e">
        <f>PERCENTILE(N7:N16,C37)</f>
        <v>#NUM!</v>
      </c>
      <c r="O37" s="66">
        <f>PERCENTILE(O7:O16,C37)</f>
        <v>0.86299999999999999</v>
      </c>
    </row>
    <row r="38" spans="3:15" x14ac:dyDescent="0.2">
      <c r="C38" s="30">
        <v>0.35</v>
      </c>
      <c r="D38" s="60">
        <f>PERCENTILE(D7:D16,C38)</f>
        <v>9.9999999999991415E-4</v>
      </c>
      <c r="E38" s="60">
        <f>PERCENTILE(E7:E16,C38)</f>
        <v>-0.52950000000000019</v>
      </c>
      <c r="F38" s="60">
        <f>PERCENTILE(F7:F16,C38)</f>
        <v>-0.78440000000000032</v>
      </c>
      <c r="G38" s="60">
        <f>PERCENTILE(G7:G16,C38)</f>
        <v>-0.88106000000000029</v>
      </c>
      <c r="H38" s="60">
        <f>PERCENTILE(H7:H16,C38)</f>
        <v>-0.11935000000000003</v>
      </c>
      <c r="I38" s="60">
        <f>PERCENTILE(I7:I16,C38)</f>
        <v>-0.29254999999999998</v>
      </c>
      <c r="J38" s="60">
        <f>PERCENTILE(J7:J16,C38)</f>
        <v>-0.31823000000000001</v>
      </c>
      <c r="K38" s="60">
        <f>PERCENTILE(K7:K16,C38)</f>
        <v>-0.51398999999999995</v>
      </c>
      <c r="L38" s="60">
        <f>PERCENTILE(L7:L16,C38)</f>
        <v>8.7229999999999891E-2</v>
      </c>
      <c r="M38" s="63">
        <f>PERCENTILE(M7:M16,C38)</f>
        <v>1.0699999999999998</v>
      </c>
      <c r="N38" s="60" t="e">
        <f>PERCENTILE(N7:N16,C38)</f>
        <v>#NUM!</v>
      </c>
      <c r="O38" s="66">
        <f>PERCENTILE(O7:O16,C38)</f>
        <v>0.90849999999999997</v>
      </c>
    </row>
    <row r="39" spans="3:15" x14ac:dyDescent="0.2">
      <c r="C39" s="30">
        <v>0.4</v>
      </c>
      <c r="D39" s="60">
        <f>PERCENTILE(D7:D16,C39)</f>
        <v>7.3000000000000093E-2</v>
      </c>
      <c r="E39" s="60">
        <f>PERCENTILE(E7:E16,C39)</f>
        <v>-0.34199999999999975</v>
      </c>
      <c r="F39" s="60">
        <f>PERCENTILE(F7:F16,C39)</f>
        <v>-0.53659999999999974</v>
      </c>
      <c r="G39" s="60">
        <f>PERCENTILE(G7:G16,C39)</f>
        <v>-0.61123999999999967</v>
      </c>
      <c r="H39" s="60">
        <f>PERCENTILE(H7:H16,C39)</f>
        <v>-0.10089999999999998</v>
      </c>
      <c r="I39" s="60">
        <f>PERCENTILE(I7:I16,C39)</f>
        <v>-0.2772</v>
      </c>
      <c r="J39" s="60">
        <f>PERCENTILE(J7:J16,C39)</f>
        <v>-0.30462</v>
      </c>
      <c r="K39" s="60">
        <f>PERCENTILE(K7:K16,C39)</f>
        <v>-0.44625999999999999</v>
      </c>
      <c r="L39" s="60">
        <f>PERCENTILE(L7:L16,C39)</f>
        <v>0.18062000000000011</v>
      </c>
      <c r="M39" s="63">
        <f>PERCENTILE(M7:M16,C39)</f>
        <v>1.18</v>
      </c>
      <c r="N39" s="60" t="e">
        <f>PERCENTILE(N7:N16,C39)</f>
        <v>#NUM!</v>
      </c>
      <c r="O39" s="66">
        <f>PERCENTILE(O7:O16,C39)</f>
        <v>0.95399999999999996</v>
      </c>
    </row>
    <row r="40" spans="3:15" x14ac:dyDescent="0.2">
      <c r="C40" s="30">
        <v>0.45</v>
      </c>
      <c r="D40" s="60">
        <f>PERCENTILE(D7:D16,C40)</f>
        <v>0.14500000000000005</v>
      </c>
      <c r="E40" s="60">
        <f>PERCENTILE(E7:E16,C40)</f>
        <v>-0.15449999999999986</v>
      </c>
      <c r="F40" s="60">
        <f>PERCENTILE(F7:F16,C40)</f>
        <v>-0.28879999999999983</v>
      </c>
      <c r="G40" s="60">
        <f>PERCENTILE(G7:G16,C40)</f>
        <v>-0.34141999999999983</v>
      </c>
      <c r="H40" s="60">
        <f>PERCENTILE(H7:H16,C40)</f>
        <v>-8.2449999999999996E-2</v>
      </c>
      <c r="I40" s="60">
        <f>PERCENTILE(I7:I16,C40)</f>
        <v>-0.26185000000000003</v>
      </c>
      <c r="J40" s="60">
        <f>PERCENTILE(J7:J16,C40)</f>
        <v>-0.29100999999999999</v>
      </c>
      <c r="K40" s="60">
        <f>PERCENTILE(K7:K16,C40)</f>
        <v>-0.37853000000000003</v>
      </c>
      <c r="L40" s="60">
        <f>PERCENTILE(L7:L16,C40)</f>
        <v>0.27401000000000009</v>
      </c>
      <c r="M40" s="63">
        <f>PERCENTILE(M7:M16,C40)</f>
        <v>1.2899999999999998</v>
      </c>
      <c r="N40" s="60" t="e">
        <f>PERCENTILE(N7:N16,C40)</f>
        <v>#NUM!</v>
      </c>
      <c r="O40" s="66">
        <f>PERCENTILE(O7:O16,C40)</f>
        <v>1.0010000000000001</v>
      </c>
    </row>
    <row r="41" spans="3:15" x14ac:dyDescent="0.2">
      <c r="C41" s="30">
        <v>0.5</v>
      </c>
      <c r="D41" s="60">
        <f>PERCENTILE(D7:D16,C41)</f>
        <v>0.217</v>
      </c>
      <c r="E41" s="60">
        <f>PERCENTILE(E7:E16,C41)</f>
        <v>3.3000000000000002E-2</v>
      </c>
      <c r="F41" s="60">
        <f>PERCENTILE(F7:F16,C41)</f>
        <v>-4.1000000000000002E-2</v>
      </c>
      <c r="G41" s="60">
        <f>PERCENTILE(G7:G16,C41)</f>
        <v>-7.1599999999999997E-2</v>
      </c>
      <c r="H41" s="60">
        <f>PERCENTILE(H7:H16,C41)</f>
        <v>-6.4000000000000001E-2</v>
      </c>
      <c r="I41" s="60">
        <f>PERCENTILE(I7:I16,C41)</f>
        <v>-0.2465</v>
      </c>
      <c r="J41" s="60">
        <f>PERCENTILE(J7:J16,C41)</f>
        <v>-0.27739999999999998</v>
      </c>
      <c r="K41" s="60">
        <f>PERCENTILE(K7:K16,C41)</f>
        <v>-0.31080000000000002</v>
      </c>
      <c r="L41" s="60">
        <f>PERCENTILE(L7:L16,C41)</f>
        <v>0.3674</v>
      </c>
      <c r="M41" s="63">
        <f>PERCENTILE(M7:M16,C41)</f>
        <v>1.4</v>
      </c>
      <c r="N41" s="60" t="e">
        <f>PERCENTILE(N7:N16,C41)</f>
        <v>#NUM!</v>
      </c>
      <c r="O41" s="66">
        <f>PERCENTILE(O7:O16,C41)</f>
        <v>1.05</v>
      </c>
    </row>
    <row r="42" spans="3:15" x14ac:dyDescent="0.2">
      <c r="C42" s="30">
        <v>0.55000000000000004</v>
      </c>
      <c r="D42" s="60">
        <f>PERCENTILE(D7:D16,C42)</f>
        <v>0.22270000000000001</v>
      </c>
      <c r="E42" s="60">
        <f>PERCENTILE(E7:E16,C42)</f>
        <v>8.4300000000000125E-2</v>
      </c>
      <c r="F42" s="60">
        <f>PERCENTILE(F7:F16,C42)</f>
        <v>2.2000000000000151E-2</v>
      </c>
      <c r="G42" s="60">
        <f>PERCENTILE(G7:G16,C42)</f>
        <v>-4.8949999999999945E-2</v>
      </c>
      <c r="H42" s="60">
        <f>PERCENTILE(H7:H16,C42)</f>
        <v>-1.7979999999999899E-2</v>
      </c>
      <c r="I42" s="60">
        <f>PERCENTILE(I7:I16,C42)</f>
        <v>-0.22617999999999999</v>
      </c>
      <c r="J42" s="60">
        <f>PERCENTILE(J7:J16,C42)</f>
        <v>-0.20996999999999993</v>
      </c>
      <c r="K42" s="60">
        <f>PERCENTILE(K7:K16,C42)</f>
        <v>-0.30166999999999999</v>
      </c>
      <c r="L42" s="60">
        <f>PERCENTILE(L7:L16,C42)</f>
        <v>0.37034</v>
      </c>
      <c r="M42" s="63">
        <f>PERCENTILE(M7:M16,C42)</f>
        <v>2.0800000000000005</v>
      </c>
      <c r="N42" s="60" t="e">
        <f>PERCENTILE(N7:N16,C42)</f>
        <v>#NUM!</v>
      </c>
      <c r="O42" s="66">
        <f>PERCENTILE(O7:O16,C42)</f>
        <v>1.0990000000000002</v>
      </c>
    </row>
    <row r="43" spans="3:15" x14ac:dyDescent="0.2">
      <c r="C43" s="30">
        <v>0.6</v>
      </c>
      <c r="D43" s="60">
        <f>PERCENTILE(D7:D16,C43)</f>
        <v>0.22839999999999999</v>
      </c>
      <c r="E43" s="60">
        <f>PERCENTILE(E7:E16,C43)</f>
        <v>0.13559999999999994</v>
      </c>
      <c r="F43" s="60">
        <f>PERCENTILE(F7:F16,C43)</f>
        <v>8.4999999999999937E-2</v>
      </c>
      <c r="G43" s="60">
        <f>PERCENTILE(G7:G16,C43)</f>
        <v>-2.6300000000000025E-2</v>
      </c>
      <c r="H43" s="60">
        <f>PERCENTILE(H7:H16,C43)</f>
        <v>2.8039999999999926E-2</v>
      </c>
      <c r="I43" s="60">
        <f>PERCENTILE(I7:I16,C43)</f>
        <v>-0.20585999999999996</v>
      </c>
      <c r="J43" s="60">
        <f>PERCENTILE(J7:J16,C43)</f>
        <v>-0.14253999999999989</v>
      </c>
      <c r="K43" s="60">
        <f>PERCENTILE(K7:K16,C43)</f>
        <v>-0.29254000000000002</v>
      </c>
      <c r="L43" s="60">
        <f>PERCENTILE(L7:L16,C43)</f>
        <v>0.37328</v>
      </c>
      <c r="M43" s="63">
        <f>PERCENTILE(M7:M16,C43)</f>
        <v>2.7600000000000007</v>
      </c>
      <c r="N43" s="60" t="e">
        <f>PERCENTILE(N7:N16,C43)</f>
        <v>#NUM!</v>
      </c>
      <c r="O43" s="66">
        <f>PERCENTILE(O7:O16,C43)</f>
        <v>1.1220000000000001</v>
      </c>
    </row>
    <row r="44" spans="3:15" x14ac:dyDescent="0.2">
      <c r="C44" s="30">
        <v>0.65</v>
      </c>
      <c r="D44" s="60">
        <f>PERCENTILE(D7:D16,C44)</f>
        <v>0.2341</v>
      </c>
      <c r="E44" s="60">
        <f>PERCENTILE(E7:E16,C44)</f>
        <v>0.18690000000000004</v>
      </c>
      <c r="F44" s="60">
        <f>PERCENTILE(F7:F16,C44)</f>
        <v>0.14800000000000008</v>
      </c>
      <c r="G44" s="60">
        <f>PERCENTILE(G7:G16,C44)</f>
        <v>-3.6499999999999727E-3</v>
      </c>
      <c r="H44" s="60">
        <f>PERCENTILE(H7:H16,C44)</f>
        <v>7.4060000000000042E-2</v>
      </c>
      <c r="I44" s="60">
        <f>PERCENTILE(I7:I16,C44)</f>
        <v>-0.18554000000000004</v>
      </c>
      <c r="J44" s="60">
        <f>PERCENTILE(J7:J16,C44)</f>
        <v>-7.5110000000000121E-2</v>
      </c>
      <c r="K44" s="60">
        <f>PERCENTILE(K7:K16,C44)</f>
        <v>-0.28341000000000005</v>
      </c>
      <c r="L44" s="60">
        <f>PERCENTILE(L7:L16,C44)</f>
        <v>0.37622</v>
      </c>
      <c r="M44" s="63">
        <f>PERCENTILE(M7:M16,C44)</f>
        <v>3.4399999999999982</v>
      </c>
      <c r="N44" s="60" t="e">
        <f>PERCENTILE(N7:N16,C44)</f>
        <v>#NUM!</v>
      </c>
      <c r="O44" s="66">
        <f>PERCENTILE(O7:O16,C44)</f>
        <v>1.1254999999999999</v>
      </c>
    </row>
    <row r="45" spans="3:15" x14ac:dyDescent="0.2">
      <c r="C45" s="30">
        <v>0.7</v>
      </c>
      <c r="D45" s="60">
        <f>PERCENTILE(D7:D16,C45)</f>
        <v>0.25479999999999992</v>
      </c>
      <c r="E45" s="60">
        <f>PERCENTILE(E7:E16,C45)</f>
        <v>0.23119999999999991</v>
      </c>
      <c r="F45" s="60">
        <f>PERCENTILE(F7:F16,C45)</f>
        <v>0.17939999999999998</v>
      </c>
      <c r="G45" s="60">
        <f>PERCENTILE(G7:G16,C45)</f>
        <v>1.3899999999999964E-2</v>
      </c>
      <c r="H45" s="60">
        <f>PERCENTILE(H7:H16,C45)</f>
        <v>0.22685999999999951</v>
      </c>
      <c r="I45" s="60">
        <f>PERCENTILE(I7:I16,C45)</f>
        <v>-0.16522000000000003</v>
      </c>
      <c r="J45" s="60">
        <f>PERCENTILE(J7:J16,C45)</f>
        <v>-7.6800000000000757E-3</v>
      </c>
      <c r="K45" s="60">
        <f>PERCENTILE(K7:K16,C45)</f>
        <v>-0.27428000000000002</v>
      </c>
      <c r="L45" s="60">
        <f>PERCENTILE(L7:L16,C45)</f>
        <v>0.38355999999999996</v>
      </c>
      <c r="M45" s="63">
        <f>PERCENTILE(M7:M16,C45)</f>
        <v>4.1199999999999992</v>
      </c>
      <c r="N45" s="60" t="e">
        <f>PERCENTILE(N7:N16,C45)</f>
        <v>#NUM!</v>
      </c>
      <c r="O45" s="66">
        <f>PERCENTILE(O7:O16,C45)</f>
        <v>1.129</v>
      </c>
    </row>
    <row r="46" spans="3:15" x14ac:dyDescent="0.2">
      <c r="C46" s="30">
        <v>0.75</v>
      </c>
      <c r="D46" s="60">
        <f>PERCENTILE(D7:D16,C46)</f>
        <v>0.28300000000000003</v>
      </c>
      <c r="E46" s="60">
        <f>PERCENTILE(E7:E16,C46)</f>
        <v>0.27200000000000002</v>
      </c>
      <c r="F46" s="60">
        <f>PERCENTILE(F7:F16,C46)</f>
        <v>0.19500000000000001</v>
      </c>
      <c r="G46" s="60">
        <f>PERCENTILE(G7:G16,C46)</f>
        <v>2.8900000000000002E-2</v>
      </c>
      <c r="H46" s="60">
        <f>PERCENTILE(H7:H16,C46)</f>
        <v>0.43304999999999993</v>
      </c>
      <c r="I46" s="60">
        <f>PERCENTILE(I7:I16,C46)</f>
        <v>-0.1449</v>
      </c>
      <c r="J46" s="60">
        <f>PERCENTILE(J7:J16,C46)</f>
        <v>5.974999999999997E-2</v>
      </c>
      <c r="K46" s="60">
        <f>PERCENTILE(K7:K16,C46)</f>
        <v>-0.26515</v>
      </c>
      <c r="L46" s="60">
        <f>PERCENTILE(L7:L16,C46)</f>
        <v>0.3931</v>
      </c>
      <c r="M46" s="63">
        <f>PERCENTILE(M7:M16,C46)</f>
        <v>4.7999999999999989</v>
      </c>
      <c r="N46" s="60" t="e">
        <f>PERCENTILE(N7:N16,C46)</f>
        <v>#NUM!</v>
      </c>
      <c r="O46" s="66">
        <f>PERCENTILE(O7:O16,C46)</f>
        <v>1.1549999999999998</v>
      </c>
    </row>
    <row r="47" spans="3:15" x14ac:dyDescent="0.2">
      <c r="C47" s="30">
        <v>0.8</v>
      </c>
      <c r="D47" s="60">
        <f>PERCENTILE(D7:D16,C47)</f>
        <v>0.31120000000000009</v>
      </c>
      <c r="E47" s="60">
        <f>PERCENTILE(E7:E16,C47)</f>
        <v>0.31280000000000013</v>
      </c>
      <c r="F47" s="60">
        <f>PERCENTILE(F7:F16,C47)</f>
        <v>0.21060000000000004</v>
      </c>
      <c r="G47" s="60">
        <f>PERCENTILE(G7:G16,C47)</f>
        <v>4.3900000000000036E-2</v>
      </c>
      <c r="H47" s="60">
        <f>PERCENTILE(H7:H16,C47)</f>
        <v>0.63924000000000047</v>
      </c>
      <c r="I47" s="60">
        <f>PERCENTILE(I7:I16,C47)</f>
        <v>-0.12457999999999998</v>
      </c>
      <c r="J47" s="60">
        <f>PERCENTILE(J7:J16,C47)</f>
        <v>0.12718000000000002</v>
      </c>
      <c r="K47" s="60">
        <f>PERCENTILE(K7:K16,C47)</f>
        <v>-0.25602000000000003</v>
      </c>
      <c r="L47" s="60">
        <f>PERCENTILE(L7:L16,C47)</f>
        <v>0.40264</v>
      </c>
      <c r="M47" s="63">
        <f>PERCENTILE(M7:M16,C47)</f>
        <v>5.48</v>
      </c>
      <c r="N47" s="60" t="e">
        <f>PERCENTILE(N7:N16,C47)</f>
        <v>#NUM!</v>
      </c>
      <c r="O47" s="66">
        <f>PERCENTILE(O7:O16,C47)</f>
        <v>1.19</v>
      </c>
    </row>
    <row r="48" spans="3:15" x14ac:dyDescent="0.2">
      <c r="C48" s="30">
        <v>0.85</v>
      </c>
      <c r="D48" s="60">
        <f>PERCENTILE(D7:D16,C48)</f>
        <v>0.36119999999999991</v>
      </c>
      <c r="E48" s="60">
        <f>PERCENTILE(E7:E16,C48)</f>
        <v>0.35719999999999996</v>
      </c>
      <c r="F48" s="60">
        <f>PERCENTILE(F7:F16,C48)</f>
        <v>0.2463999999999999</v>
      </c>
      <c r="G48" s="60">
        <f>PERCENTILE(G7:G16,C48)</f>
        <v>0.10310999999999984</v>
      </c>
      <c r="H48" s="60">
        <f>PERCENTILE(H7:H16,C48)</f>
        <v>0.83150999999999975</v>
      </c>
      <c r="I48" s="60">
        <f>PERCENTILE(I7:I16,C48)</f>
        <v>-0.10425999999999996</v>
      </c>
      <c r="J48" s="60">
        <f>PERCENTILE(J7:J16,C48)</f>
        <v>0.19461000000000006</v>
      </c>
      <c r="K48" s="60">
        <f>PERCENTILE(K7:K16,C48)</f>
        <v>-0.24689</v>
      </c>
      <c r="L48" s="60">
        <f>PERCENTILE(L7:L16,C48)</f>
        <v>0.60978999999999928</v>
      </c>
      <c r="M48" s="63">
        <f>PERCENTILE(M7:M16,C48)</f>
        <v>6.16</v>
      </c>
      <c r="N48" s="60" t="e">
        <f>PERCENTILE(N7:N16,C48)</f>
        <v>#NUM!</v>
      </c>
      <c r="O48" s="66">
        <f>PERCENTILE(O7:O16,C48)</f>
        <v>1.2250000000000001</v>
      </c>
    </row>
    <row r="49" spans="3:15" x14ac:dyDescent="0.2">
      <c r="C49" s="30">
        <v>0.9</v>
      </c>
      <c r="D49" s="60">
        <f>PERCENTILE(D7:D16,C49)</f>
        <v>0.45480000000000009</v>
      </c>
      <c r="E49" s="60">
        <f>PERCENTILE(E7:E16,C49)</f>
        <v>0.40880000000000005</v>
      </c>
      <c r="F49" s="60">
        <f>PERCENTILE(F7:F16,C49)</f>
        <v>0.32260000000000011</v>
      </c>
      <c r="G49" s="60">
        <f>PERCENTILE(G7:G16,C49)</f>
        <v>0.25074000000000018</v>
      </c>
      <c r="H49" s="60">
        <f>PERCENTILE(H7:H16,C49)</f>
        <v>0.99594000000000016</v>
      </c>
      <c r="I49" s="60">
        <f>PERCENTILE(I7:I16,C49)</f>
        <v>-8.3940000000000042E-2</v>
      </c>
      <c r="J49" s="60">
        <f>PERCENTILE(J7:J16,C49)</f>
        <v>0.26203999999999983</v>
      </c>
      <c r="K49" s="60">
        <f>PERCENTILE(K7:K16,C49)</f>
        <v>-0.23776000000000003</v>
      </c>
      <c r="L49" s="60">
        <f>PERCENTILE(L7:L16,C49)</f>
        <v>1.2121600000000008</v>
      </c>
      <c r="M49" s="63">
        <f>PERCENTILE(M7:M16,C49)</f>
        <v>6.8399999999999981</v>
      </c>
      <c r="N49" s="60" t="e">
        <f>PERCENTILE(N7:N16,C49)</f>
        <v>#NUM!</v>
      </c>
      <c r="O49" s="66">
        <f>PERCENTILE(O7:O16,C49)</f>
        <v>1.2329999999999999</v>
      </c>
    </row>
    <row r="50" spans="3:15" x14ac:dyDescent="0.2">
      <c r="C50" s="30">
        <v>0.95</v>
      </c>
      <c r="D50" s="60">
        <f>PERCENTILE(D7:D16,C50)</f>
        <v>0.54839999999999978</v>
      </c>
      <c r="E50" s="60">
        <f>PERCENTILE(E7:E16,C50)</f>
        <v>0.46039999999999992</v>
      </c>
      <c r="F50" s="60">
        <f>PERCENTILE(F7:F16,C50)</f>
        <v>0.39879999999999982</v>
      </c>
      <c r="G50" s="60">
        <f>PERCENTILE(G7:G16,C50)</f>
        <v>0.39836999999999967</v>
      </c>
      <c r="H50" s="60">
        <f>PERCENTILE(H7:H16,C50)</f>
        <v>1.1603699999999995</v>
      </c>
      <c r="I50" s="60">
        <f>PERCENTILE(I7:I16,C50)</f>
        <v>-6.362000000000001E-2</v>
      </c>
      <c r="J50" s="60">
        <f>PERCENTILE(J7:J16,C50)</f>
        <v>0.32946999999999982</v>
      </c>
      <c r="K50" s="60">
        <f>PERCENTILE(K7:K16,C50)</f>
        <v>-0.22863</v>
      </c>
      <c r="L50" s="60">
        <f>PERCENTILE(L7:L16,C50)</f>
        <v>1.8145299999999989</v>
      </c>
      <c r="M50" s="63">
        <f>PERCENTILE(M7:M16,C50)</f>
        <v>7.5199999999999978</v>
      </c>
      <c r="N50" s="60" t="e">
        <f>PERCENTILE(N7:N16,C50)</f>
        <v>#NUM!</v>
      </c>
      <c r="O50" s="66">
        <f>PERCENTILE(O7:O16,C50)</f>
        <v>1.2364999999999999</v>
      </c>
    </row>
    <row r="51" spans="3:15" ht="10.8" thickBot="1" x14ac:dyDescent="0.25">
      <c r="C51" s="32">
        <v>1</v>
      </c>
      <c r="D51" s="61">
        <f>PERCENTILE(D7:D16,C51)</f>
        <v>0.64200000000000002</v>
      </c>
      <c r="E51" s="61">
        <f>PERCENTILE(E7:E16,C51)</f>
        <v>0.51200000000000001</v>
      </c>
      <c r="F51" s="61">
        <f>PERCENTILE(F7:F16,C51)</f>
        <v>0.47499999999999998</v>
      </c>
      <c r="G51" s="61">
        <f>PERCENTILE(G7:G16,C51)</f>
        <v>0.54600000000000004</v>
      </c>
      <c r="H51" s="61">
        <f>PERCENTILE(H7:H16,C51)</f>
        <v>1.3248</v>
      </c>
      <c r="I51" s="61">
        <f>PERCENTILE(I7:I16,C51)</f>
        <v>-4.3299999999999998E-2</v>
      </c>
      <c r="J51" s="61">
        <f>PERCENTILE(J7:J16,C51)</f>
        <v>0.39689999999999998</v>
      </c>
      <c r="K51" s="61">
        <f>PERCENTILE(K7:K16,C51)</f>
        <v>-0.2195</v>
      </c>
      <c r="L51" s="61">
        <f>PERCENTILE(L7:L16,C51)</f>
        <v>2.4169</v>
      </c>
      <c r="M51" s="64">
        <f>PERCENTILE(M7:M16,C51)</f>
        <v>8.1999999999999993</v>
      </c>
      <c r="N51" s="61" t="e">
        <f>PERCENTILE(N7:N16,C51)</f>
        <v>#NUM!</v>
      </c>
      <c r="O51" s="67">
        <f>PERCENTILE(O7:O16,C51)</f>
        <v>1.24</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A2DA5-2F9A-4FD9-B3D0-86F434971D31}">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x14ac:dyDescent="0.2">
      <c r="A8" s="3" t="s">
        <v>2</v>
      </c>
      <c r="B8" s="4" t="s">
        <v>3</v>
      </c>
    </row>
    <row r="9" spans="1:255" x14ac:dyDescent="0.2">
      <c r="A9" s="3" t="s">
        <v>4</v>
      </c>
      <c r="B9" s="4" t="s">
        <v>5</v>
      </c>
    </row>
    <row r="10" spans="1:255" x14ac:dyDescent="0.2">
      <c r="A10" s="3" t="s">
        <v>6</v>
      </c>
      <c r="B10" s="5">
        <v>45044</v>
      </c>
    </row>
    <row r="11" spans="1:255" x14ac:dyDescent="0.2">
      <c r="A11" s="6"/>
    </row>
    <row r="13" spans="1:255" x14ac:dyDescent="0.2">
      <c r="A13" s="2" t="s">
        <v>7</v>
      </c>
      <c r="B13" s="2"/>
      <c r="C13" s="2"/>
      <c r="D13" s="2"/>
      <c r="E13" s="2"/>
      <c r="F13" s="2"/>
      <c r="G13" s="2"/>
      <c r="H13" s="2"/>
      <c r="I13" s="2"/>
      <c r="J13" s="2"/>
      <c r="K13" s="2"/>
      <c r="L13" s="2"/>
      <c r="M13" s="2"/>
      <c r="N13" s="2"/>
      <c r="O13" s="2"/>
      <c r="P13" s="2"/>
      <c r="Q13" s="2"/>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0.04</v>
      </c>
      <c r="C15" s="14">
        <v>84.5</v>
      </c>
      <c r="D15" s="14">
        <v>3</v>
      </c>
      <c r="E15" s="14">
        <v>0.1</v>
      </c>
      <c r="F15" s="13" t="s">
        <v>26</v>
      </c>
      <c r="G15" s="13" t="s">
        <v>26</v>
      </c>
      <c r="H15" s="14">
        <v>3.1</v>
      </c>
      <c r="I15" s="12">
        <v>-0.03</v>
      </c>
      <c r="J15" s="16">
        <v>44985</v>
      </c>
      <c r="K15" s="13" t="s">
        <v>26</v>
      </c>
      <c r="L15" s="13" t="s">
        <v>26</v>
      </c>
      <c r="M15" s="14">
        <v>-0.4</v>
      </c>
      <c r="N15" s="12">
        <v>0</v>
      </c>
      <c r="O15" s="13" t="s">
        <v>26</v>
      </c>
      <c r="P15" s="13" t="s">
        <v>26</v>
      </c>
      <c r="Q15" s="13" t="s">
        <v>26</v>
      </c>
    </row>
    <row r="16" spans="1:255" ht="12" customHeight="1" x14ac:dyDescent="0.2">
      <c r="A16" s="7" t="s">
        <v>27</v>
      </c>
      <c r="B16" s="12">
        <v>0.01</v>
      </c>
      <c r="C16" s="14">
        <v>1043.9000000000001</v>
      </c>
      <c r="D16" s="14">
        <v>12.7</v>
      </c>
      <c r="E16" s="14">
        <v>-0.1</v>
      </c>
      <c r="F16" s="13" t="s">
        <v>26</v>
      </c>
      <c r="G16" s="13" t="s">
        <v>26</v>
      </c>
      <c r="H16" s="14">
        <v>12.6</v>
      </c>
      <c r="I16" s="12">
        <v>0</v>
      </c>
      <c r="J16" s="16">
        <v>45014</v>
      </c>
      <c r="K16" s="13" t="s">
        <v>26</v>
      </c>
      <c r="L16" s="14">
        <v>-0.6</v>
      </c>
      <c r="M16" s="14">
        <v>-1.1000000000000001</v>
      </c>
      <c r="N16" s="12">
        <v>0</v>
      </c>
      <c r="O16" s="13" t="s">
        <v>26</v>
      </c>
      <c r="P16" s="13" t="s">
        <v>26</v>
      </c>
      <c r="Q16" s="13" t="s">
        <v>26</v>
      </c>
    </row>
    <row r="17" spans="1:17" ht="12" customHeight="1" x14ac:dyDescent="0.2">
      <c r="A17" s="7" t="s">
        <v>28</v>
      </c>
      <c r="B17" s="12">
        <v>0.15</v>
      </c>
      <c r="C17" s="14">
        <v>11.6</v>
      </c>
      <c r="D17" s="14">
        <v>1.8</v>
      </c>
      <c r="E17" s="14">
        <v>0.4</v>
      </c>
      <c r="F17" s="13" t="s">
        <v>26</v>
      </c>
      <c r="G17" s="13" t="s">
        <v>26</v>
      </c>
      <c r="H17" s="14">
        <v>2.1</v>
      </c>
      <c r="I17" s="12">
        <v>0.01</v>
      </c>
      <c r="J17" s="16">
        <v>44980</v>
      </c>
      <c r="K17" s="14">
        <v>0.2</v>
      </c>
      <c r="L17" s="14">
        <v>-0.1</v>
      </c>
      <c r="M17" s="14">
        <v>-0.2</v>
      </c>
      <c r="N17" s="12">
        <v>-0.02</v>
      </c>
      <c r="O17" s="13" t="s">
        <v>26</v>
      </c>
      <c r="P17" s="13" t="s">
        <v>26</v>
      </c>
      <c r="Q17" s="13" t="s">
        <v>26</v>
      </c>
    </row>
    <row r="18" spans="1:17" ht="12" customHeight="1" x14ac:dyDescent="0.2">
      <c r="A18" s="7" t="s">
        <v>29</v>
      </c>
      <c r="B18" s="13" t="s">
        <v>26</v>
      </c>
      <c r="C18" s="14">
        <v>41.3</v>
      </c>
      <c r="D18" s="14">
        <v>1.2</v>
      </c>
      <c r="E18" s="14">
        <v>3.4</v>
      </c>
      <c r="F18" s="13" t="s">
        <v>26</v>
      </c>
      <c r="G18" s="12">
        <v>-3.37</v>
      </c>
      <c r="H18" s="14">
        <v>1.1000000000000001</v>
      </c>
      <c r="I18" s="12">
        <v>0.41</v>
      </c>
      <c r="J18" s="16">
        <v>44811</v>
      </c>
      <c r="K18" s="14">
        <v>11.4</v>
      </c>
      <c r="L18" s="14">
        <v>0.4</v>
      </c>
      <c r="M18" s="14">
        <v>-0.5</v>
      </c>
      <c r="N18" s="12">
        <v>-0.04</v>
      </c>
      <c r="O18" s="13" t="s">
        <v>26</v>
      </c>
      <c r="P18" s="13" t="s">
        <v>26</v>
      </c>
      <c r="Q18" s="13" t="s">
        <v>26</v>
      </c>
    </row>
    <row r="19" spans="1:17" ht="12" customHeight="1" x14ac:dyDescent="0.2">
      <c r="A19" s="7" t="s">
        <v>30</v>
      </c>
      <c r="B19" s="13" t="s">
        <v>26</v>
      </c>
      <c r="C19" s="13" t="s">
        <v>26</v>
      </c>
      <c r="D19" s="13" t="s">
        <v>26</v>
      </c>
      <c r="E19" s="14">
        <v>-714.3</v>
      </c>
      <c r="F19" s="13" t="s">
        <v>26</v>
      </c>
      <c r="G19" s="13" t="s">
        <v>26</v>
      </c>
      <c r="H19" s="13" t="s">
        <v>26</v>
      </c>
      <c r="I19" s="12">
        <v>903.3</v>
      </c>
      <c r="J19" s="16">
        <v>44425</v>
      </c>
      <c r="K19" s="14">
        <v>310.7</v>
      </c>
      <c r="L19" s="14">
        <v>159.19999999999999</v>
      </c>
      <c r="M19" s="14">
        <v>147.6</v>
      </c>
      <c r="N19" s="12">
        <v>212.05</v>
      </c>
      <c r="O19" s="13" t="s">
        <v>26</v>
      </c>
      <c r="P19" s="13" t="s">
        <v>26</v>
      </c>
      <c r="Q19" s="13" t="s">
        <v>26</v>
      </c>
    </row>
    <row r="20" spans="1:17" ht="12" customHeight="1" x14ac:dyDescent="0.2">
      <c r="A20" s="7" t="s">
        <v>31</v>
      </c>
      <c r="B20" s="12">
        <v>0.17</v>
      </c>
      <c r="C20" s="14">
        <v>22.1</v>
      </c>
      <c r="D20" s="14">
        <v>3.9</v>
      </c>
      <c r="E20" s="14">
        <v>-3.2</v>
      </c>
      <c r="F20" s="13" t="s">
        <v>26</v>
      </c>
      <c r="G20" s="12">
        <v>1.1000000000000001</v>
      </c>
      <c r="H20" s="14">
        <v>1.8</v>
      </c>
      <c r="I20" s="12">
        <v>0.11</v>
      </c>
      <c r="J20" s="16">
        <v>45015</v>
      </c>
      <c r="K20" s="14">
        <v>1.5</v>
      </c>
      <c r="L20" s="14">
        <v>-2.2999999999999998</v>
      </c>
      <c r="M20" s="14">
        <v>-3</v>
      </c>
      <c r="N20" s="12">
        <v>-0.15</v>
      </c>
      <c r="O20" s="13" t="s">
        <v>26</v>
      </c>
      <c r="P20" s="13" t="s">
        <v>26</v>
      </c>
      <c r="Q20" s="13" t="s">
        <v>26</v>
      </c>
    </row>
    <row r="21" spans="1:17" ht="12" customHeight="1" x14ac:dyDescent="0.2">
      <c r="A21" s="7" t="s">
        <v>32</v>
      </c>
      <c r="B21" s="13" t="s">
        <v>26</v>
      </c>
      <c r="C21" s="13" t="s">
        <v>26</v>
      </c>
      <c r="D21" s="13" t="s">
        <v>26</v>
      </c>
      <c r="E21" s="14">
        <v>101.4</v>
      </c>
      <c r="F21" s="13" t="s">
        <v>26</v>
      </c>
      <c r="G21" s="12">
        <v>-69.73</v>
      </c>
      <c r="H21" s="13" t="s">
        <v>26</v>
      </c>
      <c r="I21" s="12">
        <v>0.01</v>
      </c>
      <c r="J21" s="16">
        <v>44796</v>
      </c>
      <c r="K21" s="14">
        <v>4.5999999999999996</v>
      </c>
      <c r="L21" s="14">
        <v>-4.5</v>
      </c>
      <c r="M21" s="14">
        <v>-7.5</v>
      </c>
      <c r="N21" s="12">
        <v>-0.02</v>
      </c>
      <c r="O21" s="13" t="s">
        <v>26</v>
      </c>
      <c r="P21" s="13" t="s">
        <v>26</v>
      </c>
      <c r="Q21" s="13" t="s">
        <v>26</v>
      </c>
    </row>
    <row r="22" spans="1:17" ht="12" customHeight="1" x14ac:dyDescent="0.2">
      <c r="A22" s="7" t="s">
        <v>33</v>
      </c>
      <c r="B22" s="12">
        <v>0.84</v>
      </c>
      <c r="C22" s="14">
        <v>194.2</v>
      </c>
      <c r="D22" s="14">
        <v>163</v>
      </c>
      <c r="E22" s="14">
        <v>132.1</v>
      </c>
      <c r="F22" s="13" t="s">
        <v>26</v>
      </c>
      <c r="G22" s="12">
        <v>0.5</v>
      </c>
      <c r="H22" s="14">
        <v>300.5</v>
      </c>
      <c r="I22" s="12">
        <v>2.23</v>
      </c>
      <c r="J22" s="16">
        <v>44978</v>
      </c>
      <c r="K22" s="14">
        <v>532.6</v>
      </c>
      <c r="L22" s="14">
        <v>181.2</v>
      </c>
      <c r="M22" s="14">
        <v>117.9</v>
      </c>
      <c r="N22" s="12">
        <v>0.01</v>
      </c>
      <c r="O22" s="12">
        <v>431.22</v>
      </c>
      <c r="P22" s="12">
        <v>147.56</v>
      </c>
      <c r="Q22" s="12">
        <v>0.04</v>
      </c>
    </row>
    <row r="23" spans="1:17" ht="12" customHeight="1" x14ac:dyDescent="0.2">
      <c r="A23" s="7" t="s">
        <v>34</v>
      </c>
      <c r="B23" s="12">
        <v>0</v>
      </c>
      <c r="C23" s="14">
        <v>2326.5</v>
      </c>
      <c r="D23" s="14">
        <v>3.6</v>
      </c>
      <c r="E23" s="14">
        <v>-0.1</v>
      </c>
      <c r="F23" s="13" t="s">
        <v>26</v>
      </c>
      <c r="G23" s="13" t="s">
        <v>26</v>
      </c>
      <c r="H23" s="14">
        <v>3.6</v>
      </c>
      <c r="I23" s="13" t="s">
        <v>26</v>
      </c>
      <c r="J23" s="16">
        <v>44865</v>
      </c>
      <c r="K23" s="13" t="s">
        <v>26</v>
      </c>
      <c r="L23" s="14">
        <v>7.5</v>
      </c>
      <c r="M23" s="14">
        <v>-8.6</v>
      </c>
      <c r="N23" s="13" t="s">
        <v>26</v>
      </c>
      <c r="O23" s="13" t="s">
        <v>26</v>
      </c>
      <c r="P23" s="13" t="s">
        <v>26</v>
      </c>
      <c r="Q23" s="13" t="s">
        <v>26</v>
      </c>
    </row>
    <row r="24" spans="1:17" ht="12" customHeight="1" x14ac:dyDescent="0.2">
      <c r="A24" s="7" t="s">
        <v>35</v>
      </c>
      <c r="B24" s="12">
        <v>0.34</v>
      </c>
      <c r="C24" s="14">
        <v>139.4</v>
      </c>
      <c r="D24" s="14">
        <v>47</v>
      </c>
      <c r="E24" s="14">
        <v>5.0999999999999996</v>
      </c>
      <c r="F24" s="13" t="s">
        <v>26</v>
      </c>
      <c r="G24" s="12">
        <v>80.430000000000007</v>
      </c>
      <c r="H24" s="14">
        <v>135.69999999999999</v>
      </c>
      <c r="I24" s="12">
        <v>1.01</v>
      </c>
      <c r="J24" s="16">
        <v>45001</v>
      </c>
      <c r="K24" s="14">
        <v>188.9</v>
      </c>
      <c r="L24" s="14">
        <v>38.6</v>
      </c>
      <c r="M24" s="14">
        <v>32</v>
      </c>
      <c r="N24" s="12">
        <v>7.0000000000000007E-2</v>
      </c>
      <c r="O24" s="12">
        <v>175.65</v>
      </c>
      <c r="P24" s="12">
        <v>45.21</v>
      </c>
      <c r="Q24" s="12">
        <v>0.09</v>
      </c>
    </row>
    <row r="25" spans="1:17" x14ac:dyDescent="0.2">
      <c r="A25" s="7" t="s">
        <v>36</v>
      </c>
      <c r="B25" s="13" t="s">
        <v>26</v>
      </c>
      <c r="C25" s="13" t="s">
        <v>26</v>
      </c>
      <c r="D25" s="13" t="s">
        <v>26</v>
      </c>
      <c r="E25" s="13" t="s">
        <v>26</v>
      </c>
      <c r="F25" s="13" t="s">
        <v>26</v>
      </c>
      <c r="G25" s="13" t="s">
        <v>26</v>
      </c>
      <c r="H25" s="13" t="s">
        <v>26</v>
      </c>
      <c r="I25" s="13" t="s">
        <v>26</v>
      </c>
      <c r="J25" s="17" t="s">
        <v>26</v>
      </c>
      <c r="K25" s="13" t="s">
        <v>26</v>
      </c>
      <c r="L25" s="13" t="s">
        <v>26</v>
      </c>
      <c r="M25" s="13" t="s">
        <v>26</v>
      </c>
      <c r="N25" s="13" t="s">
        <v>26</v>
      </c>
      <c r="O25" s="13" t="s">
        <v>26</v>
      </c>
      <c r="P25" s="13" t="s">
        <v>26</v>
      </c>
      <c r="Q25" s="13" t="s">
        <v>26</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0.84</v>
      </c>
      <c r="C28" s="14">
        <v>2326.5</v>
      </c>
      <c r="D28" s="14">
        <v>163</v>
      </c>
      <c r="E28" s="14">
        <v>132.1</v>
      </c>
      <c r="F28" s="13" t="s">
        <v>26</v>
      </c>
      <c r="G28" s="12">
        <v>80.430000000000007</v>
      </c>
      <c r="H28" s="14">
        <v>300.5</v>
      </c>
      <c r="I28" s="12">
        <v>903.3</v>
      </c>
      <c r="J28" s="17" t="s">
        <v>26</v>
      </c>
      <c r="K28" s="14">
        <v>532.6</v>
      </c>
      <c r="L28" s="14">
        <v>181.2</v>
      </c>
      <c r="M28" s="14">
        <v>147.6</v>
      </c>
      <c r="N28" s="12">
        <v>212.05</v>
      </c>
      <c r="O28" s="12">
        <v>431.22</v>
      </c>
      <c r="P28" s="12">
        <v>147.56</v>
      </c>
      <c r="Q28" s="12">
        <v>0.09</v>
      </c>
    </row>
    <row r="29" spans="1:17" x14ac:dyDescent="0.2">
      <c r="A29" s="7" t="s">
        <v>39</v>
      </c>
      <c r="B29" s="12">
        <v>0</v>
      </c>
      <c r="C29" s="14">
        <v>11.6</v>
      </c>
      <c r="D29" s="14">
        <v>1.2</v>
      </c>
      <c r="E29" s="14">
        <v>-714.3</v>
      </c>
      <c r="F29" s="13" t="s">
        <v>26</v>
      </c>
      <c r="G29" s="12">
        <v>-69.73</v>
      </c>
      <c r="H29" s="14">
        <v>1.1000000000000001</v>
      </c>
      <c r="I29" s="12">
        <v>-0.03</v>
      </c>
      <c r="J29" s="17" t="s">
        <v>26</v>
      </c>
      <c r="K29" s="14">
        <v>0.2</v>
      </c>
      <c r="L29" s="14">
        <v>-4.5</v>
      </c>
      <c r="M29" s="14">
        <v>-8.6</v>
      </c>
      <c r="N29" s="12">
        <v>-0.15</v>
      </c>
      <c r="O29" s="12">
        <v>175.65</v>
      </c>
      <c r="P29" s="12">
        <v>45.21</v>
      </c>
      <c r="Q29" s="12">
        <v>0.04</v>
      </c>
    </row>
    <row r="30" spans="1:17" x14ac:dyDescent="0.2">
      <c r="A30" s="7" t="s">
        <v>40</v>
      </c>
      <c r="B30" s="12">
        <v>0.22</v>
      </c>
      <c r="C30" s="14">
        <v>482.9</v>
      </c>
      <c r="D30" s="14">
        <v>29.5</v>
      </c>
      <c r="E30" s="14">
        <v>-47.5</v>
      </c>
      <c r="F30" s="13" t="s">
        <v>26</v>
      </c>
      <c r="G30" s="12">
        <v>1.79</v>
      </c>
      <c r="H30" s="14">
        <v>57.6</v>
      </c>
      <c r="I30" s="12">
        <v>100.78</v>
      </c>
      <c r="J30" s="17" t="s">
        <v>26</v>
      </c>
      <c r="K30" s="14">
        <v>150</v>
      </c>
      <c r="L30" s="14">
        <v>42.2</v>
      </c>
      <c r="M30" s="14">
        <v>27.6</v>
      </c>
      <c r="N30" s="12">
        <v>23.54</v>
      </c>
      <c r="O30" s="12">
        <v>303.43</v>
      </c>
      <c r="P30" s="12">
        <v>96.39</v>
      </c>
      <c r="Q30" s="12">
        <v>7.0000000000000007E-2</v>
      </c>
    </row>
    <row r="31" spans="1:17" x14ac:dyDescent="0.2">
      <c r="A31" s="7" t="s">
        <v>41</v>
      </c>
      <c r="B31" s="12">
        <v>0.15</v>
      </c>
      <c r="C31" s="14">
        <v>111.9</v>
      </c>
      <c r="D31" s="14">
        <v>3.7</v>
      </c>
      <c r="E31" s="14">
        <v>0.2</v>
      </c>
      <c r="F31" s="13" t="s">
        <v>26</v>
      </c>
      <c r="G31" s="12">
        <v>0.5</v>
      </c>
      <c r="H31" s="14">
        <v>3.3</v>
      </c>
      <c r="I31" s="12">
        <v>0.11</v>
      </c>
      <c r="J31" s="17" t="s">
        <v>26</v>
      </c>
      <c r="K31" s="14">
        <v>11.4</v>
      </c>
      <c r="L31" s="14">
        <v>0.4</v>
      </c>
      <c r="M31" s="14">
        <v>-0.4</v>
      </c>
      <c r="N31" s="12">
        <v>0</v>
      </c>
      <c r="O31" s="12">
        <v>303.43</v>
      </c>
      <c r="P31" s="12">
        <v>96.39</v>
      </c>
      <c r="Q31" s="12">
        <v>7.0000000000000007E-2</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587AC-27CB-4874-8BEA-D2B66DE42DE6}">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x14ac:dyDescent="0.2">
      <c r="A8" s="3" t="s">
        <v>47</v>
      </c>
      <c r="B8" s="4" t="s">
        <v>3</v>
      </c>
    </row>
    <row r="9" spans="1:255" x14ac:dyDescent="0.2">
      <c r="A9" s="3" t="s">
        <v>48</v>
      </c>
      <c r="B9" s="4" t="s">
        <v>5</v>
      </c>
    </row>
    <row r="10" spans="1:255" x14ac:dyDescent="0.2">
      <c r="A10" s="3" t="s">
        <v>49</v>
      </c>
      <c r="B10" s="5">
        <v>45044</v>
      </c>
    </row>
    <row r="11" spans="1:255" x14ac:dyDescent="0.2">
      <c r="A11" s="6"/>
    </row>
    <row r="13" spans="1:255" x14ac:dyDescent="0.2">
      <c r="A13" s="2" t="s">
        <v>7</v>
      </c>
      <c r="B13" s="2"/>
      <c r="C13" s="2"/>
      <c r="D13" s="2"/>
      <c r="E13" s="2"/>
      <c r="F13" s="2"/>
      <c r="G13" s="2"/>
      <c r="H13" s="2"/>
      <c r="I13" s="2"/>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3" t="s">
        <v>26</v>
      </c>
      <c r="C15" s="13" t="s">
        <v>26</v>
      </c>
      <c r="D15" s="13" t="s">
        <v>26</v>
      </c>
      <c r="E15" s="13" t="s">
        <v>26</v>
      </c>
      <c r="F15" s="13" t="s">
        <v>26</v>
      </c>
      <c r="G15" s="13" t="s">
        <v>26</v>
      </c>
      <c r="H15" s="13" t="s">
        <v>26</v>
      </c>
      <c r="I15" s="13" t="s">
        <v>26</v>
      </c>
    </row>
    <row r="16" spans="1:255" ht="12" customHeight="1" x14ac:dyDescent="0.2">
      <c r="A16" s="7" t="s">
        <v>27</v>
      </c>
      <c r="B16" s="13" t="s">
        <v>26</v>
      </c>
      <c r="C16" s="13" t="s">
        <v>26</v>
      </c>
      <c r="D16" s="13" t="s">
        <v>26</v>
      </c>
      <c r="E16" s="13" t="s">
        <v>26</v>
      </c>
      <c r="F16" s="13" t="s">
        <v>26</v>
      </c>
      <c r="G16" s="13" t="s">
        <v>26</v>
      </c>
      <c r="H16" s="13" t="s">
        <v>26</v>
      </c>
      <c r="I16" s="13" t="s">
        <v>26</v>
      </c>
    </row>
    <row r="17" spans="1:9" ht="12" customHeight="1" x14ac:dyDescent="0.2">
      <c r="A17" s="7" t="s">
        <v>28</v>
      </c>
      <c r="B17" s="13" t="s">
        <v>26</v>
      </c>
      <c r="C17" s="13" t="s">
        <v>26</v>
      </c>
      <c r="D17" s="13" t="s">
        <v>26</v>
      </c>
      <c r="E17" s="13" t="s">
        <v>26</v>
      </c>
      <c r="F17" s="13" t="s">
        <v>26</v>
      </c>
      <c r="G17" s="13" t="s">
        <v>26</v>
      </c>
      <c r="H17" s="13" t="s">
        <v>26</v>
      </c>
      <c r="I17" s="13" t="s">
        <v>26</v>
      </c>
    </row>
    <row r="18" spans="1:9" ht="12" customHeight="1" x14ac:dyDescent="0.2">
      <c r="A18" s="7" t="s">
        <v>29</v>
      </c>
      <c r="B18" s="13" t="s">
        <v>26</v>
      </c>
      <c r="C18" s="13" t="s">
        <v>26</v>
      </c>
      <c r="D18" s="13" t="s">
        <v>26</v>
      </c>
      <c r="E18" s="13" t="s">
        <v>26</v>
      </c>
      <c r="F18" s="13" t="s">
        <v>26</v>
      </c>
      <c r="G18" s="13" t="s">
        <v>26</v>
      </c>
      <c r="H18" s="13" t="s">
        <v>26</v>
      </c>
      <c r="I18" s="13" t="s">
        <v>26</v>
      </c>
    </row>
    <row r="19" spans="1:9" ht="12" customHeight="1" x14ac:dyDescent="0.2">
      <c r="A19" s="7" t="s">
        <v>30</v>
      </c>
      <c r="B19" s="13" t="s">
        <v>26</v>
      </c>
      <c r="C19" s="13" t="s">
        <v>26</v>
      </c>
      <c r="D19" s="13" t="s">
        <v>26</v>
      </c>
      <c r="E19" s="13" t="s">
        <v>26</v>
      </c>
      <c r="F19" s="13" t="s">
        <v>26</v>
      </c>
      <c r="G19" s="13" t="s">
        <v>26</v>
      </c>
      <c r="H19" s="13" t="s">
        <v>26</v>
      </c>
      <c r="I19" s="13" t="s">
        <v>26</v>
      </c>
    </row>
    <row r="20" spans="1:9" ht="12" customHeight="1" x14ac:dyDescent="0.2">
      <c r="A20" s="7" t="s">
        <v>31</v>
      </c>
      <c r="B20" s="13" t="s">
        <v>26</v>
      </c>
      <c r="C20" s="13" t="s">
        <v>26</v>
      </c>
      <c r="D20" s="13" t="s">
        <v>26</v>
      </c>
      <c r="E20" s="13" t="s">
        <v>26</v>
      </c>
      <c r="F20" s="13" t="s">
        <v>26</v>
      </c>
      <c r="G20" s="13" t="s">
        <v>26</v>
      </c>
      <c r="H20" s="13" t="s">
        <v>26</v>
      </c>
      <c r="I20" s="13" t="s">
        <v>26</v>
      </c>
    </row>
    <row r="21" spans="1:9" ht="12" customHeight="1" x14ac:dyDescent="0.2">
      <c r="A21" s="7" t="s">
        <v>32</v>
      </c>
      <c r="B21" s="13" t="s">
        <v>26</v>
      </c>
      <c r="C21" s="13" t="s">
        <v>26</v>
      </c>
      <c r="D21" s="13" t="s">
        <v>26</v>
      </c>
      <c r="E21" s="13" t="s">
        <v>26</v>
      </c>
      <c r="F21" s="13" t="s">
        <v>26</v>
      </c>
      <c r="G21" s="13" t="s">
        <v>26</v>
      </c>
      <c r="H21" s="13" t="s">
        <v>26</v>
      </c>
      <c r="I21" s="13" t="s">
        <v>26</v>
      </c>
    </row>
    <row r="22" spans="1:9" ht="12" customHeight="1" x14ac:dyDescent="0.2">
      <c r="A22" s="7" t="s">
        <v>33</v>
      </c>
      <c r="B22" s="13" t="s">
        <v>26</v>
      </c>
      <c r="C22" s="13" t="s">
        <v>26</v>
      </c>
      <c r="D22" s="13" t="s">
        <v>26</v>
      </c>
      <c r="E22" s="13" t="s">
        <v>26</v>
      </c>
      <c r="F22" s="13" t="s">
        <v>26</v>
      </c>
      <c r="G22" s="19">
        <v>0.7</v>
      </c>
      <c r="H22" s="19">
        <v>2.04</v>
      </c>
      <c r="I22" s="19">
        <v>22.33</v>
      </c>
    </row>
    <row r="23" spans="1:9" ht="12" customHeight="1" x14ac:dyDescent="0.2">
      <c r="A23" s="7" t="s">
        <v>34</v>
      </c>
      <c r="B23" s="13" t="s">
        <v>26</v>
      </c>
      <c r="C23" s="13" t="s">
        <v>26</v>
      </c>
      <c r="D23" s="13" t="s">
        <v>26</v>
      </c>
      <c r="E23" s="13" t="s">
        <v>26</v>
      </c>
      <c r="F23" s="13" t="s">
        <v>26</v>
      </c>
      <c r="G23" s="13" t="s">
        <v>26</v>
      </c>
      <c r="H23" s="13" t="s">
        <v>26</v>
      </c>
      <c r="I23" s="13" t="s">
        <v>26</v>
      </c>
    </row>
    <row r="24" spans="1:9" ht="12" customHeight="1" x14ac:dyDescent="0.2">
      <c r="A24" s="7" t="s">
        <v>35</v>
      </c>
      <c r="B24" s="13" t="s">
        <v>26</v>
      </c>
      <c r="C24" s="13" t="s">
        <v>26</v>
      </c>
      <c r="D24" s="13" t="s">
        <v>26</v>
      </c>
      <c r="E24" s="13" t="s">
        <v>26</v>
      </c>
      <c r="F24" s="13" t="s">
        <v>26</v>
      </c>
      <c r="G24" s="19">
        <v>0.77</v>
      </c>
      <c r="H24" s="19">
        <v>3</v>
      </c>
      <c r="I24" s="19">
        <v>3.61</v>
      </c>
    </row>
    <row r="25" spans="1:9" x14ac:dyDescent="0.2">
      <c r="A25" s="7" t="s">
        <v>36</v>
      </c>
      <c r="B25" s="13" t="s">
        <v>26</v>
      </c>
      <c r="C25" s="13" t="s">
        <v>26</v>
      </c>
      <c r="D25" s="13" t="s">
        <v>26</v>
      </c>
      <c r="E25" s="13" t="s">
        <v>26</v>
      </c>
      <c r="F25" s="13" t="s">
        <v>26</v>
      </c>
      <c r="G25" s="13" t="s">
        <v>26</v>
      </c>
      <c r="H25" s="13" t="s">
        <v>26</v>
      </c>
      <c r="I25" s="13" t="s">
        <v>26</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3" t="s">
        <v>26</v>
      </c>
      <c r="C28" s="13" t="s">
        <v>26</v>
      </c>
      <c r="D28" s="13" t="s">
        <v>26</v>
      </c>
      <c r="E28" s="13" t="s">
        <v>26</v>
      </c>
      <c r="F28" s="13" t="s">
        <v>26</v>
      </c>
      <c r="G28" s="19">
        <v>0.77</v>
      </c>
      <c r="H28" s="19">
        <v>3</v>
      </c>
      <c r="I28" s="19">
        <v>22.33</v>
      </c>
    </row>
    <row r="29" spans="1:9" x14ac:dyDescent="0.2">
      <c r="A29" s="7" t="s">
        <v>39</v>
      </c>
      <c r="B29" s="13" t="s">
        <v>26</v>
      </c>
      <c r="C29" s="13" t="s">
        <v>26</v>
      </c>
      <c r="D29" s="13" t="s">
        <v>26</v>
      </c>
      <c r="E29" s="13" t="s">
        <v>26</v>
      </c>
      <c r="F29" s="13" t="s">
        <v>26</v>
      </c>
      <c r="G29" s="19">
        <v>0.7</v>
      </c>
      <c r="H29" s="19">
        <v>2.04</v>
      </c>
      <c r="I29" s="19">
        <v>3.61</v>
      </c>
    </row>
    <row r="30" spans="1:9" x14ac:dyDescent="0.2">
      <c r="A30" s="7" t="s">
        <v>40</v>
      </c>
      <c r="B30" s="13" t="s">
        <v>26</v>
      </c>
      <c r="C30" s="13" t="s">
        <v>26</v>
      </c>
      <c r="D30" s="13" t="s">
        <v>26</v>
      </c>
      <c r="E30" s="13" t="s">
        <v>26</v>
      </c>
      <c r="F30" s="13" t="s">
        <v>26</v>
      </c>
      <c r="G30" s="19">
        <v>0.73</v>
      </c>
      <c r="H30" s="19">
        <v>2.52</v>
      </c>
      <c r="I30" s="19">
        <v>12.97</v>
      </c>
    </row>
    <row r="31" spans="1:9" x14ac:dyDescent="0.2">
      <c r="A31" s="7" t="s">
        <v>41</v>
      </c>
      <c r="B31" s="13" t="s">
        <v>26</v>
      </c>
      <c r="C31" s="13" t="s">
        <v>26</v>
      </c>
      <c r="D31" s="13" t="s">
        <v>26</v>
      </c>
      <c r="E31" s="13" t="s">
        <v>26</v>
      </c>
      <c r="F31" s="13" t="s">
        <v>26</v>
      </c>
      <c r="G31" s="19">
        <v>0.73</v>
      </c>
      <c r="H31" s="19">
        <v>2.52</v>
      </c>
      <c r="I31" s="19">
        <v>12.97</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E7CA6-3A1D-45FB-AB8D-F26C171BE75D}">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x14ac:dyDescent="0.2">
      <c r="A8" s="3" t="s">
        <v>59</v>
      </c>
      <c r="B8" s="4" t="s">
        <v>3</v>
      </c>
    </row>
    <row r="9" spans="1:255" x14ac:dyDescent="0.2">
      <c r="A9" s="3" t="s">
        <v>60</v>
      </c>
      <c r="B9" s="4" t="s">
        <v>5</v>
      </c>
    </row>
    <row r="10" spans="1:255" x14ac:dyDescent="0.2">
      <c r="A10" s="3" t="s">
        <v>61</v>
      </c>
      <c r="B10" s="5">
        <v>45044</v>
      </c>
    </row>
    <row r="11" spans="1:255" x14ac:dyDescent="0.2">
      <c r="A11" s="6"/>
    </row>
    <row r="13" spans="1:255" x14ac:dyDescent="0.2">
      <c r="A13" s="2" t="s">
        <v>7</v>
      </c>
      <c r="B13" s="2"/>
      <c r="C13" s="2"/>
      <c r="D13" s="2"/>
      <c r="E13" s="2"/>
      <c r="F13" s="2"/>
      <c r="G13" s="2"/>
      <c r="H13" s="2"/>
      <c r="I13" s="2"/>
      <c r="J13" s="2"/>
      <c r="K13" s="2"/>
      <c r="L13" s="2"/>
      <c r="M13" s="2"/>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13" t="s">
        <v>26</v>
      </c>
      <c r="C15" s="13" t="s">
        <v>26</v>
      </c>
      <c r="D15" s="13" t="s">
        <v>26</v>
      </c>
      <c r="E15" s="13" t="s">
        <v>26</v>
      </c>
      <c r="F15" s="13" t="s">
        <v>26</v>
      </c>
      <c r="G15" s="13" t="s">
        <v>26</v>
      </c>
      <c r="H15" s="13" t="s">
        <v>26</v>
      </c>
      <c r="I15" s="13" t="s">
        <v>26</v>
      </c>
      <c r="J15" s="21">
        <v>1.7999999999999999E-2</v>
      </c>
      <c r="K15" s="13" t="s">
        <v>26</v>
      </c>
      <c r="L15" s="13" t="s">
        <v>26</v>
      </c>
      <c r="M15" s="12">
        <v>1.24</v>
      </c>
    </row>
    <row r="16" spans="1:255" ht="12" customHeight="1" x14ac:dyDescent="0.2">
      <c r="A16" s="7" t="s">
        <v>27</v>
      </c>
      <c r="B16" s="13" t="s">
        <v>26</v>
      </c>
      <c r="C16" s="13" t="s">
        <v>26</v>
      </c>
      <c r="D16" s="13" t="s">
        <v>26</v>
      </c>
      <c r="E16" s="13" t="s">
        <v>26</v>
      </c>
      <c r="F16" s="13" t="s">
        <v>26</v>
      </c>
      <c r="G16" s="13" t="s">
        <v>26</v>
      </c>
      <c r="H16" s="13" t="s">
        <v>26</v>
      </c>
      <c r="I16" s="13" t="s">
        <v>26</v>
      </c>
      <c r="J16" s="13" t="s">
        <v>26</v>
      </c>
      <c r="K16" s="13" t="s">
        <v>26</v>
      </c>
      <c r="L16" s="13" t="s">
        <v>26</v>
      </c>
      <c r="M16" s="12">
        <v>0.98</v>
      </c>
    </row>
    <row r="17" spans="1:13" ht="12" customHeight="1" x14ac:dyDescent="0.2">
      <c r="A17" s="7" t="s">
        <v>28</v>
      </c>
      <c r="B17" s="20">
        <v>-0.30199999999999999</v>
      </c>
      <c r="C17" s="20">
        <v>-0.59199999999999997</v>
      </c>
      <c r="D17" s="20">
        <v>-0.86699999999999999</v>
      </c>
      <c r="E17" s="21">
        <v>-0.97099999999999997</v>
      </c>
      <c r="F17" s="21">
        <v>-0.1255</v>
      </c>
      <c r="G17" s="13" t="s">
        <v>26</v>
      </c>
      <c r="H17" s="13" t="s">
        <v>26</v>
      </c>
      <c r="I17" s="13" t="s">
        <v>26</v>
      </c>
      <c r="J17" s="21">
        <v>0.3674</v>
      </c>
      <c r="K17" s="13" t="s">
        <v>74</v>
      </c>
      <c r="L17" s="13" t="s">
        <v>26</v>
      </c>
      <c r="M17" s="12">
        <v>0.57999999999999996</v>
      </c>
    </row>
    <row r="18" spans="1:13" ht="12" customHeight="1" x14ac:dyDescent="0.2">
      <c r="A18" s="7" t="s">
        <v>29</v>
      </c>
      <c r="B18" s="20">
        <v>-2.3E-2</v>
      </c>
      <c r="C18" s="20">
        <v>3.3000000000000002E-2</v>
      </c>
      <c r="D18" s="20">
        <v>-4.1000000000000002E-2</v>
      </c>
      <c r="E18" s="21">
        <v>-7.1599999999999997E-2</v>
      </c>
      <c r="F18" s="21">
        <v>0.77669999999999995</v>
      </c>
      <c r="G18" s="13" t="s">
        <v>26</v>
      </c>
      <c r="H18" s="13" t="s">
        <v>26</v>
      </c>
      <c r="I18" s="13" t="s">
        <v>26</v>
      </c>
      <c r="J18" s="21">
        <v>0.40899999999999997</v>
      </c>
      <c r="K18" s="22">
        <v>8.1999999999999993</v>
      </c>
      <c r="L18" s="13" t="s">
        <v>26</v>
      </c>
      <c r="M18" s="12">
        <v>0.85</v>
      </c>
    </row>
    <row r="19" spans="1:13" ht="12" customHeight="1" x14ac:dyDescent="0.2">
      <c r="A19" s="7" t="s">
        <v>30</v>
      </c>
      <c r="B19" s="20">
        <v>0.64200000000000002</v>
      </c>
      <c r="C19" s="20">
        <v>0.51200000000000001</v>
      </c>
      <c r="D19" s="20">
        <v>0.47499999999999998</v>
      </c>
      <c r="E19" s="21">
        <v>0.54600000000000004</v>
      </c>
      <c r="F19" s="21">
        <v>-0.29980000000000001</v>
      </c>
      <c r="G19" s="21">
        <v>-0.4</v>
      </c>
      <c r="H19" s="21">
        <v>-0.41349999999999998</v>
      </c>
      <c r="I19" s="21">
        <v>-0.2195</v>
      </c>
      <c r="J19" s="13" t="s">
        <v>26</v>
      </c>
      <c r="K19" s="13" t="s">
        <v>26</v>
      </c>
      <c r="L19" s="13" t="s">
        <v>26</v>
      </c>
      <c r="M19" s="13" t="s">
        <v>26</v>
      </c>
    </row>
    <row r="20" spans="1:13" ht="12" customHeight="1" x14ac:dyDescent="0.2">
      <c r="A20" s="7" t="s">
        <v>31</v>
      </c>
      <c r="B20" s="20">
        <v>0.33</v>
      </c>
      <c r="C20" s="20">
        <v>-1.548</v>
      </c>
      <c r="D20" s="20">
        <v>-2.0070000000000001</v>
      </c>
      <c r="E20" s="21">
        <v>-2.2997999999999998</v>
      </c>
      <c r="F20" s="21">
        <v>1.3248</v>
      </c>
      <c r="G20" s="13" t="s">
        <v>26</v>
      </c>
      <c r="H20" s="13" t="s">
        <v>26</v>
      </c>
      <c r="I20" s="13" t="s">
        <v>26</v>
      </c>
      <c r="J20" s="21">
        <v>4.4999999999999998E-2</v>
      </c>
      <c r="K20" s="13" t="s">
        <v>74</v>
      </c>
      <c r="L20" s="13" t="s">
        <v>26</v>
      </c>
      <c r="M20" s="12">
        <v>0.27</v>
      </c>
    </row>
    <row r="21" spans="1:13" ht="12" customHeight="1" x14ac:dyDescent="0.2">
      <c r="A21" s="7" t="s">
        <v>32</v>
      </c>
      <c r="B21" s="20">
        <v>-0.59599999999999997</v>
      </c>
      <c r="C21" s="20">
        <v>-0.97599999999999998</v>
      </c>
      <c r="D21" s="20">
        <v>-1.649</v>
      </c>
      <c r="E21" s="21">
        <v>-2.9397000000000002</v>
      </c>
      <c r="F21" s="21">
        <v>-0.86609999999999998</v>
      </c>
      <c r="G21" s="13" t="s">
        <v>26</v>
      </c>
      <c r="H21" s="13" t="s">
        <v>26</v>
      </c>
      <c r="I21" s="13" t="s">
        <v>26</v>
      </c>
      <c r="J21" s="21">
        <v>2.4169</v>
      </c>
      <c r="K21" s="13" t="s">
        <v>74</v>
      </c>
      <c r="L21" s="13" t="s">
        <v>26</v>
      </c>
      <c r="M21" s="13" t="s">
        <v>26</v>
      </c>
    </row>
    <row r="22" spans="1:13" ht="12" customHeight="1" x14ac:dyDescent="0.2">
      <c r="A22" s="7" t="s">
        <v>33</v>
      </c>
      <c r="B22" s="20">
        <v>0.217</v>
      </c>
      <c r="C22" s="20">
        <v>0.34</v>
      </c>
      <c r="D22" s="20">
        <v>0.221</v>
      </c>
      <c r="E22" s="21">
        <v>3.8999999999999998E-3</v>
      </c>
      <c r="F22" s="21">
        <v>8.9399999999999993E-2</v>
      </c>
      <c r="G22" s="21">
        <v>-4.3299999999999998E-2</v>
      </c>
      <c r="H22" s="21">
        <v>0.39689999999999998</v>
      </c>
      <c r="I22" s="21">
        <v>-0.98809999999999998</v>
      </c>
      <c r="J22" s="21">
        <v>0.37719999999999998</v>
      </c>
      <c r="K22" s="22">
        <v>1.4</v>
      </c>
      <c r="L22" s="13" t="s">
        <v>26</v>
      </c>
      <c r="M22" s="12">
        <v>1.23</v>
      </c>
    </row>
    <row r="23" spans="1:13" ht="12" customHeight="1" x14ac:dyDescent="0.2">
      <c r="A23" s="7" t="s">
        <v>34</v>
      </c>
      <c r="B23" s="13" t="s">
        <v>26</v>
      </c>
      <c r="C23" s="13" t="s">
        <v>26</v>
      </c>
      <c r="D23" s="13" t="s">
        <v>26</v>
      </c>
      <c r="E23" s="13" t="s">
        <v>26</v>
      </c>
      <c r="F23" s="13" t="s">
        <v>26</v>
      </c>
      <c r="G23" s="13" t="s">
        <v>26</v>
      </c>
      <c r="H23" s="13" t="s">
        <v>26</v>
      </c>
      <c r="I23" s="13" t="s">
        <v>26</v>
      </c>
      <c r="J23" s="13" t="s">
        <v>26</v>
      </c>
      <c r="K23" s="13" t="s">
        <v>26</v>
      </c>
      <c r="L23" s="13" t="s">
        <v>26</v>
      </c>
      <c r="M23" s="12">
        <v>1.1200000000000001</v>
      </c>
    </row>
    <row r="24" spans="1:13" ht="12" customHeight="1" x14ac:dyDescent="0.2">
      <c r="A24" s="7" t="s">
        <v>35</v>
      </c>
      <c r="B24" s="20">
        <v>0.23599999999999999</v>
      </c>
      <c r="C24" s="20">
        <v>0.20399999999999999</v>
      </c>
      <c r="D24" s="20">
        <v>0.16900000000000001</v>
      </c>
      <c r="E24" s="21">
        <v>5.3900000000000003E-2</v>
      </c>
      <c r="F24" s="21">
        <v>-6.4000000000000001E-2</v>
      </c>
      <c r="G24" s="21">
        <v>-0.2465</v>
      </c>
      <c r="H24" s="21">
        <v>-0.27739999999999998</v>
      </c>
      <c r="I24" s="21">
        <v>-0.31080000000000002</v>
      </c>
      <c r="J24" s="21">
        <v>5.6099999999999997E-2</v>
      </c>
      <c r="K24" s="22">
        <v>0.3</v>
      </c>
      <c r="L24" s="13" t="s">
        <v>26</v>
      </c>
      <c r="M24" s="12">
        <v>1.1299999999999999</v>
      </c>
    </row>
    <row r="25" spans="1:13" x14ac:dyDescent="0.2">
      <c r="A25" s="7" t="s">
        <v>36</v>
      </c>
      <c r="B25" s="13" t="s">
        <v>26</v>
      </c>
      <c r="C25" s="13" t="s">
        <v>26</v>
      </c>
      <c r="D25" s="13" t="s">
        <v>26</v>
      </c>
      <c r="E25" s="13" t="s">
        <v>26</v>
      </c>
      <c r="F25" s="13" t="s">
        <v>26</v>
      </c>
      <c r="G25" s="13" t="s">
        <v>26</v>
      </c>
      <c r="H25" s="13" t="s">
        <v>26</v>
      </c>
      <c r="I25" s="13" t="s">
        <v>26</v>
      </c>
      <c r="J25" s="13" t="s">
        <v>26</v>
      </c>
      <c r="K25" s="13" t="s">
        <v>26</v>
      </c>
      <c r="L25" s="13" t="s">
        <v>26</v>
      </c>
      <c r="M25" s="13" t="s">
        <v>26</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0.64200000000000002</v>
      </c>
      <c r="C28" s="20">
        <v>0.51200000000000001</v>
      </c>
      <c r="D28" s="20">
        <v>0.47499999999999998</v>
      </c>
      <c r="E28" s="21">
        <v>0.54600000000000004</v>
      </c>
      <c r="F28" s="21">
        <v>1.3248</v>
      </c>
      <c r="G28" s="21">
        <v>-4.3299999999999998E-2</v>
      </c>
      <c r="H28" s="21">
        <v>0.39689999999999998</v>
      </c>
      <c r="I28" s="21">
        <v>-0.2195</v>
      </c>
      <c r="J28" s="21">
        <v>2.4169</v>
      </c>
      <c r="K28" s="22">
        <v>8.1999999999999993</v>
      </c>
      <c r="L28" s="13" t="s">
        <v>26</v>
      </c>
      <c r="M28" s="12">
        <v>1.24</v>
      </c>
    </row>
    <row r="29" spans="1:13" x14ac:dyDescent="0.2">
      <c r="A29" s="7" t="s">
        <v>39</v>
      </c>
      <c r="B29" s="20">
        <v>-0.59599999999999997</v>
      </c>
      <c r="C29" s="20">
        <v>-1.548</v>
      </c>
      <c r="D29" s="20">
        <v>-2.0070000000000001</v>
      </c>
      <c r="E29" s="21">
        <v>-2.9397000000000002</v>
      </c>
      <c r="F29" s="21">
        <v>-0.86609999999999998</v>
      </c>
      <c r="G29" s="21">
        <v>-0.4</v>
      </c>
      <c r="H29" s="21">
        <v>-0.41349999999999998</v>
      </c>
      <c r="I29" s="21">
        <v>-0.98809999999999998</v>
      </c>
      <c r="J29" s="21">
        <v>1.7999999999999999E-2</v>
      </c>
      <c r="K29" s="22">
        <v>0.3</v>
      </c>
      <c r="L29" s="13" t="s">
        <v>26</v>
      </c>
      <c r="M29" s="12">
        <v>0.27</v>
      </c>
    </row>
    <row r="30" spans="1:13" x14ac:dyDescent="0.2">
      <c r="A30" s="7" t="s">
        <v>40</v>
      </c>
      <c r="B30" s="20">
        <v>7.1999999999999995E-2</v>
      </c>
      <c r="C30" s="20">
        <v>-0.28899999999999998</v>
      </c>
      <c r="D30" s="20">
        <v>-0.52800000000000002</v>
      </c>
      <c r="E30" s="21">
        <v>-0.81120000000000003</v>
      </c>
      <c r="F30" s="21">
        <v>0.11940000000000001</v>
      </c>
      <c r="G30" s="21">
        <v>-0.22989999999999999</v>
      </c>
      <c r="H30" s="21">
        <v>-9.8000000000000004E-2</v>
      </c>
      <c r="I30" s="21">
        <v>-0.50609999999999999</v>
      </c>
      <c r="J30" s="21">
        <v>0.52710000000000001</v>
      </c>
      <c r="K30" s="22">
        <v>3.3</v>
      </c>
      <c r="L30" s="13" t="s">
        <v>26</v>
      </c>
      <c r="M30" s="12">
        <v>0.93</v>
      </c>
    </row>
    <row r="31" spans="1:13" x14ac:dyDescent="0.2">
      <c r="A31" s="7" t="s">
        <v>41</v>
      </c>
      <c r="B31" s="20">
        <v>0.217</v>
      </c>
      <c r="C31" s="20">
        <v>3.3000000000000002E-2</v>
      </c>
      <c r="D31" s="20">
        <v>-4.1000000000000002E-2</v>
      </c>
      <c r="E31" s="21">
        <v>-7.1599999999999997E-2</v>
      </c>
      <c r="F31" s="21">
        <v>-6.4000000000000001E-2</v>
      </c>
      <c r="G31" s="21">
        <v>-0.2465</v>
      </c>
      <c r="H31" s="21">
        <v>-0.27739999999999998</v>
      </c>
      <c r="I31" s="21">
        <v>-0.31080000000000002</v>
      </c>
      <c r="J31" s="21">
        <v>0.3674</v>
      </c>
      <c r="K31" s="22">
        <v>1.4</v>
      </c>
      <c r="L31" s="13" t="s">
        <v>26</v>
      </c>
      <c r="M31" s="12">
        <v>1.05</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02771-FB0A-4480-B799-25A105FC3FC9}">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75</v>
      </c>
    </row>
    <row r="7" spans="1:255" x14ac:dyDescent="0.2">
      <c r="A7" s="2" t="s">
        <v>1</v>
      </c>
      <c r="B7" s="2"/>
      <c r="C7" s="2"/>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x14ac:dyDescent="0.2">
      <c r="A8" s="3" t="s">
        <v>76</v>
      </c>
      <c r="B8" s="4" t="s">
        <v>3</v>
      </c>
    </row>
    <row r="9" spans="1:255" x14ac:dyDescent="0.2">
      <c r="A9" s="3" t="s">
        <v>77</v>
      </c>
      <c r="B9" s="4" t="s">
        <v>5</v>
      </c>
    </row>
    <row r="10" spans="1:255" x14ac:dyDescent="0.2">
      <c r="A10" s="3" t="s">
        <v>78</v>
      </c>
      <c r="B10" s="5">
        <v>45044</v>
      </c>
    </row>
    <row r="11" spans="1:255" x14ac:dyDescent="0.2">
      <c r="A11" s="6"/>
    </row>
    <row r="13" spans="1:255" x14ac:dyDescent="0.2">
      <c r="A13" s="2" t="s">
        <v>7</v>
      </c>
      <c r="B13" s="2"/>
      <c r="C13" s="2"/>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x14ac:dyDescent="0.2">
      <c r="A25" s="8"/>
      <c r="B25" s="8"/>
      <c r="C25" s="8"/>
    </row>
    <row r="26" spans="1:3"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142A2-017E-4CB5-BC51-73D2EC2A423E}">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103</v>
      </c>
    </row>
    <row r="7" spans="1:255" x14ac:dyDescent="0.2">
      <c r="A7" s="2" t="s">
        <v>1</v>
      </c>
      <c r="B7" s="2"/>
      <c r="C7" s="2"/>
      <c r="D7" s="2"/>
      <c r="E7" s="2"/>
      <c r="F7" s="2"/>
      <c r="G7" s="2"/>
      <c r="H7" s="2"/>
      <c r="I7" s="2"/>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x14ac:dyDescent="0.2">
      <c r="A8" s="3" t="s">
        <v>104</v>
      </c>
      <c r="B8" s="4" t="s">
        <v>3</v>
      </c>
    </row>
    <row r="9" spans="1:255" x14ac:dyDescent="0.2">
      <c r="A9" s="3" t="s">
        <v>105</v>
      </c>
      <c r="B9" s="4" t="s">
        <v>5</v>
      </c>
    </row>
    <row r="10" spans="1:255" x14ac:dyDescent="0.2">
      <c r="A10" s="3" t="s">
        <v>106</v>
      </c>
      <c r="B10" s="5">
        <v>45044</v>
      </c>
    </row>
    <row r="11" spans="1:255" x14ac:dyDescent="0.2">
      <c r="A11" s="6"/>
    </row>
    <row r="13" spans="1:255" x14ac:dyDescent="0.2">
      <c r="A13" s="2" t="s">
        <v>7</v>
      </c>
      <c r="B13" s="2"/>
      <c r="C13" s="2"/>
      <c r="D13" s="2"/>
      <c r="E13" s="2"/>
      <c r="F13" s="2"/>
      <c r="G13" s="2"/>
      <c r="H13" s="2"/>
      <c r="I13" s="2"/>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t="s">
        <v>26</v>
      </c>
      <c r="C15" s="13" t="s">
        <v>26</v>
      </c>
      <c r="D15" s="13" t="s">
        <v>26</v>
      </c>
      <c r="E15" s="13" t="s">
        <v>26</v>
      </c>
      <c r="F15" s="13" t="s">
        <v>26</v>
      </c>
      <c r="G15" s="13" t="s">
        <v>26</v>
      </c>
      <c r="H15" s="13" t="s">
        <v>26</v>
      </c>
      <c r="I15" s="13" t="s">
        <v>26</v>
      </c>
    </row>
    <row r="16" spans="1:255" x14ac:dyDescent="0.2">
      <c r="A16" s="8"/>
      <c r="B16" s="8"/>
      <c r="C16" s="8"/>
      <c r="D16" s="8"/>
      <c r="E16" s="8"/>
      <c r="F16" s="8"/>
      <c r="G16" s="8"/>
      <c r="H16" s="8"/>
      <c r="I16" s="8"/>
    </row>
    <row r="17" spans="1:9" x14ac:dyDescent="0.2">
      <c r="A17" s="9"/>
      <c r="B17" s="9" t="s">
        <v>108</v>
      </c>
      <c r="C17" s="9" t="s">
        <v>108</v>
      </c>
      <c r="D17" s="9" t="s">
        <v>108</v>
      </c>
      <c r="E17" s="9" t="s">
        <v>109</v>
      </c>
      <c r="F17" s="9" t="s">
        <v>108</v>
      </c>
      <c r="G17" s="9" t="s">
        <v>108</v>
      </c>
      <c r="H17" s="9" t="s">
        <v>110</v>
      </c>
      <c r="I17" s="9" t="s">
        <v>108</v>
      </c>
    </row>
    <row r="18" spans="1:9" ht="20.399999999999999" x14ac:dyDescent="0.2">
      <c r="A18" s="9"/>
      <c r="B18" s="11" t="s">
        <v>50</v>
      </c>
      <c r="C18" s="11" t="s">
        <v>51</v>
      </c>
      <c r="D18" s="11" t="s">
        <v>52</v>
      </c>
      <c r="E18" s="11" t="s">
        <v>55</v>
      </c>
      <c r="F18" s="11" t="s">
        <v>56</v>
      </c>
      <c r="G18" s="11" t="s">
        <v>53</v>
      </c>
      <c r="H18" s="11" t="s">
        <v>57</v>
      </c>
      <c r="I18" s="11" t="s">
        <v>54</v>
      </c>
    </row>
    <row r="19" spans="1:9" x14ac:dyDescent="0.2">
      <c r="A19" s="9" t="s">
        <v>38</v>
      </c>
      <c r="B19" s="13" t="s">
        <v>74</v>
      </c>
      <c r="C19" s="13" t="s">
        <v>74</v>
      </c>
      <c r="D19" s="13" t="s">
        <v>74</v>
      </c>
      <c r="E19" s="19">
        <v>0.77</v>
      </c>
      <c r="F19" s="19">
        <v>3</v>
      </c>
      <c r="G19" s="13" t="s">
        <v>74</v>
      </c>
      <c r="H19" s="19">
        <v>22.33</v>
      </c>
      <c r="I19" s="13" t="s">
        <v>74</v>
      </c>
    </row>
    <row r="20" spans="1:9" x14ac:dyDescent="0.2">
      <c r="A20" s="9" t="s">
        <v>39</v>
      </c>
      <c r="B20" s="13" t="s">
        <v>74</v>
      </c>
      <c r="C20" s="13" t="s">
        <v>74</v>
      </c>
      <c r="D20" s="13" t="s">
        <v>74</v>
      </c>
      <c r="E20" s="19">
        <v>0.7</v>
      </c>
      <c r="F20" s="19">
        <v>2.04</v>
      </c>
      <c r="G20" s="13" t="s">
        <v>74</v>
      </c>
      <c r="H20" s="19">
        <v>3.61</v>
      </c>
      <c r="I20" s="13" t="s">
        <v>74</v>
      </c>
    </row>
    <row r="21" spans="1:9" x14ac:dyDescent="0.2">
      <c r="A21" s="9" t="s">
        <v>40</v>
      </c>
      <c r="B21" s="13" t="s">
        <v>74</v>
      </c>
      <c r="C21" s="13" t="s">
        <v>74</v>
      </c>
      <c r="D21" s="13" t="s">
        <v>74</v>
      </c>
      <c r="E21" s="19">
        <v>0.73</v>
      </c>
      <c r="F21" s="19">
        <v>2.52</v>
      </c>
      <c r="G21" s="13" t="s">
        <v>74</v>
      </c>
      <c r="H21" s="19">
        <v>12.97</v>
      </c>
      <c r="I21" s="13" t="s">
        <v>74</v>
      </c>
    </row>
    <row r="22" spans="1:9" x14ac:dyDescent="0.2">
      <c r="A22" s="9" t="s">
        <v>41</v>
      </c>
      <c r="B22" s="13" t="s">
        <v>74</v>
      </c>
      <c r="C22" s="13" t="s">
        <v>74</v>
      </c>
      <c r="D22" s="13" t="s">
        <v>74</v>
      </c>
      <c r="E22" s="19">
        <v>0.73</v>
      </c>
      <c r="F22" s="19">
        <v>2.52</v>
      </c>
      <c r="G22" s="13" t="s">
        <v>74</v>
      </c>
      <c r="H22" s="19">
        <v>12.97</v>
      </c>
      <c r="I22" s="13" t="s">
        <v>74</v>
      </c>
    </row>
    <row r="23" spans="1:9" x14ac:dyDescent="0.2">
      <c r="A23" s="8"/>
      <c r="B23" s="8"/>
      <c r="C23" s="8"/>
      <c r="D23" s="8"/>
      <c r="E23" s="8"/>
      <c r="F23" s="8"/>
      <c r="G23" s="8"/>
      <c r="H23" s="8"/>
      <c r="I23" s="8"/>
    </row>
    <row r="24" spans="1:9" x14ac:dyDescent="0.2">
      <c r="A24" s="9" t="s">
        <v>111</v>
      </c>
      <c r="B24" s="9"/>
      <c r="C24" s="9"/>
      <c r="D24" s="9"/>
      <c r="E24" s="9"/>
      <c r="F24" s="9"/>
      <c r="G24" s="9"/>
      <c r="H24" s="9"/>
      <c r="I24" s="9"/>
    </row>
    <row r="25" spans="1:9" x14ac:dyDescent="0.2">
      <c r="A25" s="7" t="s">
        <v>38</v>
      </c>
      <c r="B25" s="13" t="s">
        <v>112</v>
      </c>
      <c r="C25" s="13" t="s">
        <v>112</v>
      </c>
      <c r="D25" s="13" t="s">
        <v>112</v>
      </c>
      <c r="E25" s="13" t="s">
        <v>112</v>
      </c>
      <c r="F25" s="13" t="s">
        <v>112</v>
      </c>
      <c r="G25" s="8"/>
      <c r="H25" s="8"/>
      <c r="I25" s="8"/>
    </row>
    <row r="26" spans="1:9" x14ac:dyDescent="0.2">
      <c r="A26" s="7" t="s">
        <v>39</v>
      </c>
      <c r="B26" s="13" t="s">
        <v>112</v>
      </c>
      <c r="C26" s="13" t="s">
        <v>112</v>
      </c>
      <c r="D26" s="13" t="s">
        <v>112</v>
      </c>
      <c r="E26" s="13" t="s">
        <v>112</v>
      </c>
      <c r="F26" s="13" t="s">
        <v>112</v>
      </c>
      <c r="G26" s="8"/>
      <c r="H26" s="8"/>
      <c r="I26" s="8"/>
    </row>
    <row r="27" spans="1:9" x14ac:dyDescent="0.2">
      <c r="A27" s="7" t="s">
        <v>40</v>
      </c>
      <c r="B27" s="13" t="s">
        <v>112</v>
      </c>
      <c r="C27" s="13" t="s">
        <v>112</v>
      </c>
      <c r="D27" s="13" t="s">
        <v>112</v>
      </c>
      <c r="E27" s="13" t="s">
        <v>112</v>
      </c>
      <c r="F27" s="13" t="s">
        <v>112</v>
      </c>
      <c r="G27" s="8"/>
      <c r="H27" s="8"/>
      <c r="I27" s="8"/>
    </row>
    <row r="28" spans="1:9" x14ac:dyDescent="0.2">
      <c r="A28" s="7" t="s">
        <v>41</v>
      </c>
      <c r="B28" s="13" t="s">
        <v>112</v>
      </c>
      <c r="C28" s="13" t="s">
        <v>112</v>
      </c>
      <c r="D28" s="13" t="s">
        <v>112</v>
      </c>
      <c r="E28" s="13" t="s">
        <v>112</v>
      </c>
      <c r="F28" s="13" t="s">
        <v>112</v>
      </c>
      <c r="G28" s="8"/>
      <c r="H28" s="8"/>
      <c r="I28" s="8"/>
    </row>
    <row r="29" spans="1:9" x14ac:dyDescent="0.2">
      <c r="A29" s="8"/>
      <c r="B29" s="8"/>
      <c r="C29" s="8"/>
      <c r="D29" s="8"/>
      <c r="E29" s="8"/>
      <c r="F29" s="8"/>
      <c r="G29" s="8"/>
      <c r="H29" s="8"/>
      <c r="I29" s="8"/>
    </row>
    <row r="30" spans="1:9" ht="12" customHeight="1" x14ac:dyDescent="0.2">
      <c r="A30" s="9" t="s">
        <v>113</v>
      </c>
      <c r="B30" s="13" t="s">
        <v>26</v>
      </c>
      <c r="C30" s="13" t="s">
        <v>26</v>
      </c>
      <c r="D30" s="13" t="s">
        <v>26</v>
      </c>
      <c r="E30" s="13" t="s">
        <v>26</v>
      </c>
      <c r="F30" s="13" t="s">
        <v>26</v>
      </c>
      <c r="G30" s="8"/>
      <c r="H30" s="8"/>
      <c r="I30" s="8"/>
    </row>
    <row r="31" spans="1:9" ht="12" customHeight="1" x14ac:dyDescent="0.2">
      <c r="A31" s="9" t="s">
        <v>114</v>
      </c>
      <c r="B31" s="13" t="s">
        <v>26</v>
      </c>
      <c r="C31" s="13" t="s">
        <v>26</v>
      </c>
      <c r="D31" s="13" t="s">
        <v>26</v>
      </c>
      <c r="E31" s="13" t="s">
        <v>26</v>
      </c>
      <c r="F31" s="13" t="s">
        <v>26</v>
      </c>
      <c r="G31" s="8"/>
      <c r="H31" s="8"/>
      <c r="I31" s="8"/>
    </row>
    <row r="32" spans="1:9" ht="12" customHeight="1" x14ac:dyDescent="0.2">
      <c r="A32" s="9" t="s">
        <v>115</v>
      </c>
      <c r="B32" s="13" t="s">
        <v>26</v>
      </c>
      <c r="C32" s="13" t="s">
        <v>26</v>
      </c>
      <c r="D32" s="13" t="s">
        <v>26</v>
      </c>
      <c r="E32" s="13" t="s">
        <v>26</v>
      </c>
      <c r="F32" s="13" t="s">
        <v>26</v>
      </c>
      <c r="G32" s="8"/>
      <c r="H32" s="8"/>
      <c r="I32" s="8"/>
    </row>
    <row r="33" spans="1:9" ht="12" customHeight="1" x14ac:dyDescent="0.2">
      <c r="A33" s="9" t="s">
        <v>116</v>
      </c>
      <c r="B33" s="13" t="s">
        <v>26</v>
      </c>
      <c r="C33" s="13" t="s">
        <v>26</v>
      </c>
      <c r="D33" s="13" t="s">
        <v>26</v>
      </c>
      <c r="E33" s="13" t="s">
        <v>26</v>
      </c>
      <c r="F33" s="13" t="s">
        <v>26</v>
      </c>
      <c r="G33" s="8"/>
      <c r="H33" s="8"/>
      <c r="I33" s="8"/>
    </row>
    <row r="34" spans="1:9" x14ac:dyDescent="0.2">
      <c r="A34" s="8"/>
      <c r="B34" s="8"/>
      <c r="C34" s="8"/>
      <c r="D34" s="8"/>
      <c r="E34" s="8"/>
      <c r="F34" s="8"/>
      <c r="G34" s="8"/>
      <c r="H34" s="8"/>
      <c r="I34" s="8"/>
    </row>
    <row r="35" spans="1:9" x14ac:dyDescent="0.2">
      <c r="A35" s="9" t="s">
        <v>117</v>
      </c>
      <c r="B35" s="9"/>
      <c r="C35" s="9"/>
      <c r="D35" s="9"/>
      <c r="E35" s="9"/>
      <c r="F35" s="9"/>
      <c r="G35" s="9"/>
      <c r="H35" s="9"/>
      <c r="I35" s="9"/>
    </row>
    <row r="36" spans="1:9" x14ac:dyDescent="0.2">
      <c r="A36" s="7" t="s">
        <v>38</v>
      </c>
      <c r="B36" s="13" t="s">
        <v>112</v>
      </c>
      <c r="C36" s="13" t="s">
        <v>112</v>
      </c>
      <c r="D36" s="13" t="s">
        <v>112</v>
      </c>
      <c r="E36" s="13" t="s">
        <v>112</v>
      </c>
      <c r="F36" s="13" t="s">
        <v>112</v>
      </c>
      <c r="G36" s="13" t="s">
        <v>112</v>
      </c>
      <c r="H36" s="13" t="s">
        <v>112</v>
      </c>
      <c r="I36" s="13" t="s">
        <v>112</v>
      </c>
    </row>
    <row r="37" spans="1:9" x14ac:dyDescent="0.2">
      <c r="A37" s="7" t="s">
        <v>39</v>
      </c>
      <c r="B37" s="13" t="s">
        <v>112</v>
      </c>
      <c r="C37" s="13" t="s">
        <v>112</v>
      </c>
      <c r="D37" s="13" t="s">
        <v>112</v>
      </c>
      <c r="E37" s="13" t="s">
        <v>112</v>
      </c>
      <c r="F37" s="13" t="s">
        <v>112</v>
      </c>
      <c r="G37" s="13" t="s">
        <v>112</v>
      </c>
      <c r="H37" s="13" t="s">
        <v>112</v>
      </c>
      <c r="I37" s="13" t="s">
        <v>112</v>
      </c>
    </row>
    <row r="38" spans="1:9" x14ac:dyDescent="0.2">
      <c r="A38" s="7" t="s">
        <v>40</v>
      </c>
      <c r="B38" s="13" t="s">
        <v>112</v>
      </c>
      <c r="C38" s="13" t="s">
        <v>112</v>
      </c>
      <c r="D38" s="13" t="s">
        <v>112</v>
      </c>
      <c r="E38" s="13" t="s">
        <v>112</v>
      </c>
      <c r="F38" s="13" t="s">
        <v>112</v>
      </c>
      <c r="G38" s="13" t="s">
        <v>112</v>
      </c>
      <c r="H38" s="13" t="s">
        <v>112</v>
      </c>
      <c r="I38" s="13" t="s">
        <v>112</v>
      </c>
    </row>
    <row r="39" spans="1:9" x14ac:dyDescent="0.2">
      <c r="A39" s="7" t="s">
        <v>41</v>
      </c>
      <c r="B39" s="13" t="s">
        <v>112</v>
      </c>
      <c r="C39" s="13" t="s">
        <v>112</v>
      </c>
      <c r="D39" s="13" t="s">
        <v>112</v>
      </c>
      <c r="E39" s="13" t="s">
        <v>112</v>
      </c>
      <c r="F39" s="13" t="s">
        <v>112</v>
      </c>
      <c r="G39" s="13" t="s">
        <v>112</v>
      </c>
      <c r="H39" s="13" t="s">
        <v>112</v>
      </c>
      <c r="I39" s="13" t="s">
        <v>112</v>
      </c>
    </row>
    <row r="40" spans="1:9" x14ac:dyDescent="0.2">
      <c r="A40" s="8"/>
      <c r="B40" s="8"/>
      <c r="C40" s="8"/>
      <c r="D40" s="8"/>
      <c r="E40" s="8"/>
      <c r="F40" s="8"/>
      <c r="G40" s="8"/>
      <c r="H40" s="8"/>
      <c r="I40" s="8"/>
    </row>
    <row r="41" spans="1:9" ht="12" customHeight="1" x14ac:dyDescent="0.2">
      <c r="A41" s="9" t="s">
        <v>118</v>
      </c>
      <c r="B41" s="13" t="s">
        <v>26</v>
      </c>
      <c r="C41" s="13" t="s">
        <v>26</v>
      </c>
      <c r="D41" s="13" t="s">
        <v>26</v>
      </c>
      <c r="E41" s="13" t="s">
        <v>26</v>
      </c>
      <c r="F41" s="13" t="s">
        <v>26</v>
      </c>
      <c r="G41" s="13" t="s">
        <v>26</v>
      </c>
      <c r="H41" s="13" t="s">
        <v>26</v>
      </c>
      <c r="I41" s="13" t="s">
        <v>26</v>
      </c>
    </row>
    <row r="42" spans="1:9" x14ac:dyDescent="0.2">
      <c r="A42" s="8"/>
      <c r="B42" s="8"/>
      <c r="C42" s="8"/>
      <c r="D42" s="8"/>
      <c r="E42" s="8"/>
      <c r="F42" s="8"/>
      <c r="G42" s="8"/>
      <c r="H42" s="8"/>
      <c r="I42" s="8"/>
    </row>
    <row r="43" spans="1:9" x14ac:dyDescent="0.2">
      <c r="A43" s="9" t="s">
        <v>119</v>
      </c>
      <c r="B43" s="9"/>
      <c r="C43" s="9"/>
      <c r="D43" s="9"/>
      <c r="E43" s="9"/>
      <c r="F43" s="9"/>
      <c r="G43" s="9"/>
      <c r="H43" s="9"/>
      <c r="I43" s="9"/>
    </row>
    <row r="44" spans="1:9" x14ac:dyDescent="0.2">
      <c r="A44" s="7" t="s">
        <v>38</v>
      </c>
      <c r="B44" s="13" t="s">
        <v>112</v>
      </c>
      <c r="C44" s="13" t="s">
        <v>112</v>
      </c>
      <c r="D44" s="13" t="s">
        <v>112</v>
      </c>
      <c r="E44" s="13" t="s">
        <v>112</v>
      </c>
      <c r="F44" s="13" t="s">
        <v>112</v>
      </c>
      <c r="G44" s="13" t="s">
        <v>112</v>
      </c>
      <c r="H44" s="13" t="s">
        <v>112</v>
      </c>
      <c r="I44" s="13" t="s">
        <v>112</v>
      </c>
    </row>
    <row r="45" spans="1:9" x14ac:dyDescent="0.2">
      <c r="A45" s="7" t="s">
        <v>39</v>
      </c>
      <c r="B45" s="13" t="s">
        <v>112</v>
      </c>
      <c r="C45" s="13" t="s">
        <v>112</v>
      </c>
      <c r="D45" s="13" t="s">
        <v>112</v>
      </c>
      <c r="E45" s="13" t="s">
        <v>112</v>
      </c>
      <c r="F45" s="13" t="s">
        <v>112</v>
      </c>
      <c r="G45" s="13" t="s">
        <v>112</v>
      </c>
      <c r="H45" s="13" t="s">
        <v>112</v>
      </c>
      <c r="I45" s="13" t="s">
        <v>112</v>
      </c>
    </row>
    <row r="46" spans="1:9" x14ac:dyDescent="0.2">
      <c r="A46" s="7" t="s">
        <v>40</v>
      </c>
      <c r="B46" s="13" t="s">
        <v>112</v>
      </c>
      <c r="C46" s="13" t="s">
        <v>112</v>
      </c>
      <c r="D46" s="13" t="s">
        <v>112</v>
      </c>
      <c r="E46" s="13" t="s">
        <v>112</v>
      </c>
      <c r="F46" s="13" t="s">
        <v>112</v>
      </c>
      <c r="G46" s="13" t="s">
        <v>112</v>
      </c>
      <c r="H46" s="13" t="s">
        <v>112</v>
      </c>
      <c r="I46" s="13" t="s">
        <v>112</v>
      </c>
    </row>
    <row r="47" spans="1:9" x14ac:dyDescent="0.2">
      <c r="A47" s="7" t="s">
        <v>41</v>
      </c>
      <c r="B47" s="13" t="s">
        <v>112</v>
      </c>
      <c r="C47" s="13" t="s">
        <v>112</v>
      </c>
      <c r="D47" s="13" t="s">
        <v>112</v>
      </c>
      <c r="E47" s="13" t="s">
        <v>112</v>
      </c>
      <c r="F47" s="13" t="s">
        <v>112</v>
      </c>
      <c r="G47" s="13" t="s">
        <v>112</v>
      </c>
      <c r="H47" s="13" t="s">
        <v>112</v>
      </c>
      <c r="I47" s="13" t="s">
        <v>112</v>
      </c>
    </row>
    <row r="48" spans="1:9" x14ac:dyDescent="0.2">
      <c r="A48" s="8"/>
      <c r="B48" s="8"/>
      <c r="C48" s="8"/>
      <c r="D48" s="8"/>
      <c r="E48" s="8"/>
      <c r="F48" s="8"/>
      <c r="G48" s="8"/>
      <c r="H48" s="8"/>
      <c r="I48" s="8"/>
    </row>
    <row r="49" spans="1:9" ht="20.399999999999999" x14ac:dyDescent="0.2">
      <c r="A49" s="9" t="s">
        <v>120</v>
      </c>
      <c r="B49" s="11" t="s">
        <v>121</v>
      </c>
      <c r="C49" s="11" t="s">
        <v>122</v>
      </c>
      <c r="D49" s="9"/>
      <c r="E49" s="9"/>
      <c r="F49" s="9"/>
      <c r="G49" s="9"/>
      <c r="H49" s="9"/>
      <c r="I49" s="9"/>
    </row>
    <row r="50" spans="1:9" x14ac:dyDescent="0.2">
      <c r="A50" s="9" t="s">
        <v>38</v>
      </c>
      <c r="B50" s="24" t="s">
        <v>112</v>
      </c>
      <c r="C50" s="24" t="s">
        <v>112</v>
      </c>
      <c r="D50" s="8"/>
      <c r="E50" s="8"/>
      <c r="F50" s="8"/>
      <c r="G50" s="8"/>
      <c r="H50" s="8"/>
      <c r="I50" s="8"/>
    </row>
    <row r="51" spans="1:9" x14ac:dyDescent="0.2">
      <c r="A51" s="9" t="s">
        <v>39</v>
      </c>
      <c r="B51" s="24" t="s">
        <v>112</v>
      </c>
      <c r="C51" s="24" t="s">
        <v>112</v>
      </c>
      <c r="D51" s="8"/>
      <c r="E51" s="8"/>
      <c r="F51" s="8"/>
      <c r="G51" s="8"/>
      <c r="H51" s="8"/>
      <c r="I51" s="8"/>
    </row>
    <row r="52" spans="1:9" x14ac:dyDescent="0.2">
      <c r="A52" s="9" t="s">
        <v>40</v>
      </c>
      <c r="B52" s="24" t="s">
        <v>112</v>
      </c>
      <c r="C52" s="24" t="s">
        <v>112</v>
      </c>
      <c r="D52" s="8"/>
      <c r="E52" s="8"/>
      <c r="F52" s="8"/>
      <c r="G52" s="8"/>
      <c r="H52" s="8"/>
      <c r="I52" s="8"/>
    </row>
    <row r="53" spans="1:9" x14ac:dyDescent="0.2">
      <c r="A53" s="9" t="s">
        <v>41</v>
      </c>
      <c r="B53" s="24" t="s">
        <v>112</v>
      </c>
      <c r="C53" s="24" t="s">
        <v>112</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5A9CB-1612-4FDF-A369-8F946240A72C}">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123</v>
      </c>
    </row>
    <row r="7" spans="1:255" x14ac:dyDescent="0.2">
      <c r="A7" s="2" t="s">
        <v>1</v>
      </c>
      <c r="B7" s="2"/>
      <c r="C7" s="27"/>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x14ac:dyDescent="0.2">
      <c r="A8" s="3" t="s">
        <v>124</v>
      </c>
      <c r="B8" s="4" t="s">
        <v>3</v>
      </c>
    </row>
    <row r="9" spans="1:255" x14ac:dyDescent="0.2">
      <c r="A9" s="3" t="s">
        <v>125</v>
      </c>
      <c r="B9" s="4" t="s">
        <v>5</v>
      </c>
    </row>
    <row r="10" spans="1:255" x14ac:dyDescent="0.2">
      <c r="A10" s="3" t="s">
        <v>126</v>
      </c>
      <c r="B10" s="5">
        <v>45044</v>
      </c>
    </row>
    <row r="11" spans="1:255" x14ac:dyDescent="0.2">
      <c r="A11" s="6"/>
    </row>
    <row r="13" spans="1:255" x14ac:dyDescent="0.2">
      <c r="A13" s="2" t="s">
        <v>7</v>
      </c>
      <c r="B13" s="2"/>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x14ac:dyDescent="0.2">
      <c r="A14" s="25"/>
      <c r="B14" s="24"/>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F5E86-24FD-44F4-87F4-D7FF93C0D2F2}">
  <sheetPr codeName="Sheet9"/>
  <dimension ref="A5"/>
  <sheetViews>
    <sheetView workbookViewId="0"/>
  </sheetViews>
  <sheetFormatPr defaultRowHeight="10.199999999999999" x14ac:dyDescent="0.2"/>
  <sheetData>
    <row r="5" spans="1:1" ht="23.25" customHeight="1" x14ac:dyDescent="0.4">
      <c r="A5" s="28" t="s">
        <v>127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COMPCO</vt:lpstr>
      <vt:lpstr>BENCHMARKING</vt:lpstr>
      <vt:lpstr>Financial Data</vt:lpstr>
      <vt:lpstr>Trading Multiples</vt:lpstr>
      <vt:lpstr>Operating Statistics</vt:lpstr>
      <vt:lpstr>Business Description</vt:lpstr>
      <vt:lpstr>Implied Valuation</vt:lpstr>
      <vt:lpstr>Valuation Chart</vt:lpstr>
      <vt:lpstr>Evaluation Warning</vt:lpstr>
      <vt:lpstr>'Business Description'!Print_Titles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2023-04-28T06:30:38Z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