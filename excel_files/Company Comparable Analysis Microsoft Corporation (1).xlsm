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filterPrivacy="1" codeName="ThisWorkbook" defaultThemeVersion="166925"/>
  <xr:revisionPtr revIDLastSave="0" documentId="13_ncr:1_{C585F666-B05E-436A-9F08-5000F9C01638}" xr6:coauthVersionLast="47" xr6:coauthVersionMax="47" xr10:uidLastSave="{00000000-0000-0000-0000-000000000000}"/>
  <bookViews>
    <workbookView xWindow="8300" yWindow="120" windowWidth="10900" windowHeight="11420" xr2:uid="{00000000-000D-0000-FFFF-FFFF00000000}"/>
  </bookViews>
  <sheets>
    <sheet name="COMPCO" sheetId="11" r:id="rId1"/>
    <sheet name="BENCHMARKING" sheetId="10" r:id="rId2"/>
    <sheet name="Financial Data" sheetId="1" r:id="rId3"/>
    <sheet name="Trading Multiples" sheetId="2" r:id="rId4"/>
    <sheet name="Operating Statistics" sheetId="3" r:id="rId5"/>
    <sheet name="Business Description" sheetId="4" r:id="rId6"/>
    <sheet name="Implied Valuation" sheetId="5" r:id="rId7"/>
    <sheet name="Valuation Chart" sheetId="6" r:id="rId8"/>
    <sheet name="Credit Health Panel" sheetId="7" r:id="rId9"/>
    <sheet name="Disclaimer" sheetId="8" r:id="rId10"/>
    <sheet name="Evaluation Warning" sheetId="9" r:id="rId11"/>
  </sheets>
  <definedNames>
    <definedName name="_xlnm.Print_Titles" localSheetId="5">'Business Description'!$1:$3</definedName>
    <definedName name="_xlnm.Print_Titles" localSheetId="8">'Credit Health Panel'!$1:$3</definedName>
    <definedName name="_xlnm.Print_Titles" localSheetId="9">Disclaimer!$1:$3</definedName>
    <definedName name="_xlnm.Print_Titles" localSheetId="2">'Financial Data'!$1:$3</definedName>
    <definedName name="_xlnm.Print_Titles" localSheetId="6">'Implied Valuation'!$1:$3</definedName>
    <definedName name="_xlnm.Print_Titles" localSheetId="4">'Operating Statistics'!$1:$3</definedName>
    <definedName name="_xlnm.Print_Titles" localSheetId="3">'Trading Multiples'!$1:$3</definedName>
    <definedName name="_xlnm.Print_Titles" localSheetId="7">'Valuation Chart'!$1:$3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0" i="11" l="1"/>
  <c r="N44" i="11"/>
  <c r="N43" i="11"/>
  <c r="N42" i="11"/>
  <c r="N41" i="11"/>
  <c r="N40" i="11"/>
  <c r="N39" i="11"/>
  <c r="N38" i="11"/>
  <c r="N37" i="11"/>
  <c r="N36" i="11"/>
  <c r="N35" i="11"/>
  <c r="N34" i="11"/>
  <c r="N33" i="11"/>
  <c r="N32" i="11"/>
  <c r="N31" i="11"/>
  <c r="N30" i="11"/>
  <c r="N29" i="11"/>
  <c r="N28" i="11"/>
  <c r="N27" i="11"/>
  <c r="N26" i="11"/>
  <c r="N25" i="11"/>
  <c r="N24" i="11"/>
  <c r="M44" i="11"/>
  <c r="M43" i="11"/>
  <c r="M42" i="11"/>
  <c r="M41" i="11"/>
  <c r="M40" i="11"/>
  <c r="M39" i="11"/>
  <c r="M38" i="11"/>
  <c r="M37" i="11"/>
  <c r="M36" i="11"/>
  <c r="M35" i="11"/>
  <c r="M34" i="11"/>
  <c r="M33" i="11"/>
  <c r="M32" i="11"/>
  <c r="M31" i="11"/>
  <c r="M30" i="11"/>
  <c r="M29" i="11"/>
  <c r="M28" i="11"/>
  <c r="M27" i="11"/>
  <c r="M26" i="11"/>
  <c r="M25" i="11"/>
  <c r="M24" i="11"/>
  <c r="L44" i="11"/>
  <c r="L43" i="11"/>
  <c r="L42" i="11"/>
  <c r="L41" i="11"/>
  <c r="L40" i="11"/>
  <c r="L39" i="11"/>
  <c r="L38" i="11"/>
  <c r="L37" i="11"/>
  <c r="L36" i="11"/>
  <c r="L35" i="11"/>
  <c r="L34" i="11"/>
  <c r="L33" i="11"/>
  <c r="L32" i="11"/>
  <c r="L31" i="11"/>
  <c r="L30" i="11"/>
  <c r="L29" i="11"/>
  <c r="L28" i="11"/>
  <c r="L27" i="11"/>
  <c r="L26" i="11"/>
  <c r="L25" i="11"/>
  <c r="L24" i="11"/>
  <c r="L22" i="11"/>
  <c r="S8" i="11" s="1"/>
  <c r="S14" i="11" s="1"/>
  <c r="S12" i="11" s="1"/>
  <c r="S10" i="11" s="1"/>
  <c r="D28" i="10"/>
  <c r="O29" i="10"/>
  <c r="N29" i="10"/>
  <c r="M29" i="10"/>
  <c r="L29" i="10"/>
  <c r="K29" i="10"/>
  <c r="J29" i="10"/>
  <c r="I29" i="10"/>
  <c r="H29" i="10"/>
  <c r="G29" i="10"/>
  <c r="F29" i="10"/>
  <c r="E29" i="10"/>
  <c r="D29" i="10"/>
  <c r="O51" i="10"/>
  <c r="O50" i="10"/>
  <c r="O49" i="10"/>
  <c r="O48" i="10"/>
  <c r="O47" i="10"/>
  <c r="O46" i="10"/>
  <c r="O45" i="10"/>
  <c r="O44" i="10"/>
  <c r="O43" i="10"/>
  <c r="O42" i="10"/>
  <c r="O41" i="10"/>
  <c r="O40" i="10"/>
  <c r="O39" i="10"/>
  <c r="O38" i="10"/>
  <c r="O37" i="10"/>
  <c r="O36" i="10"/>
  <c r="O35" i="10"/>
  <c r="O34" i="10"/>
  <c r="O33" i="10"/>
  <c r="O32" i="10"/>
  <c r="O31" i="10"/>
  <c r="N51" i="10"/>
  <c r="N50" i="10"/>
  <c r="N49" i="10"/>
  <c r="N48" i="10"/>
  <c r="N47" i="10"/>
  <c r="N46" i="10"/>
  <c r="N45" i="10"/>
  <c r="N44" i="10"/>
  <c r="N43" i="10"/>
  <c r="N42" i="10"/>
  <c r="N41" i="10"/>
  <c r="N40" i="10"/>
  <c r="N39" i="10"/>
  <c r="N38" i="10"/>
  <c r="N37" i="10"/>
  <c r="N36" i="10"/>
  <c r="N35" i="10"/>
  <c r="N34" i="10"/>
  <c r="N33" i="10"/>
  <c r="N32" i="10"/>
  <c r="N31" i="10"/>
  <c r="M51" i="10"/>
  <c r="M50" i="10"/>
  <c r="M49" i="10"/>
  <c r="M48" i="10"/>
  <c r="M47" i="10"/>
  <c r="M46" i="10"/>
  <c r="M45" i="10"/>
  <c r="M44" i="10"/>
  <c r="M43" i="10"/>
  <c r="M42" i="10"/>
  <c r="M41" i="10"/>
  <c r="M40" i="10"/>
  <c r="M39" i="10"/>
  <c r="M38" i="10"/>
  <c r="M37" i="10"/>
  <c r="M36" i="10"/>
  <c r="M35" i="10"/>
  <c r="M34" i="10"/>
  <c r="M33" i="10"/>
  <c r="M32" i="10"/>
  <c r="M31" i="10"/>
  <c r="L51" i="10"/>
  <c r="L50" i="10"/>
  <c r="L49" i="10"/>
  <c r="L48" i="10"/>
  <c r="L47" i="10"/>
  <c r="L46" i="10"/>
  <c r="L45" i="10"/>
  <c r="L44" i="10"/>
  <c r="L43" i="10"/>
  <c r="L42" i="10"/>
  <c r="L41" i="10"/>
  <c r="L40" i="10"/>
  <c r="L39" i="10"/>
  <c r="L38" i="10"/>
  <c r="L37" i="10"/>
  <c r="L36" i="10"/>
  <c r="L35" i="10"/>
  <c r="L34" i="10"/>
  <c r="L33" i="10"/>
  <c r="L32" i="10"/>
  <c r="L31" i="10"/>
  <c r="K51" i="10"/>
  <c r="K50" i="10"/>
  <c r="K49" i="10"/>
  <c r="K48" i="10"/>
  <c r="K47" i="10"/>
  <c r="K46" i="10"/>
  <c r="K45" i="10"/>
  <c r="K44" i="10"/>
  <c r="K43" i="10"/>
  <c r="K42" i="10"/>
  <c r="K41" i="10"/>
  <c r="K40" i="10"/>
  <c r="K39" i="10"/>
  <c r="K38" i="10"/>
  <c r="K37" i="10"/>
  <c r="K36" i="10"/>
  <c r="K35" i="10"/>
  <c r="K34" i="10"/>
  <c r="K33" i="10"/>
  <c r="K32" i="10"/>
  <c r="K31" i="10"/>
  <c r="J51" i="10"/>
  <c r="J50" i="10"/>
  <c r="J49" i="10"/>
  <c r="J48" i="10"/>
  <c r="J47" i="10"/>
  <c r="J46" i="10"/>
  <c r="J45" i="10"/>
  <c r="J44" i="10"/>
  <c r="J43" i="10"/>
  <c r="J42" i="10"/>
  <c r="J41" i="10"/>
  <c r="J40" i="10"/>
  <c r="J39" i="10"/>
  <c r="J38" i="10"/>
  <c r="J37" i="10"/>
  <c r="J36" i="10"/>
  <c r="J35" i="10"/>
  <c r="J34" i="10"/>
  <c r="J33" i="10"/>
  <c r="J32" i="10"/>
  <c r="J31" i="10"/>
  <c r="I51" i="10"/>
  <c r="I50" i="10"/>
  <c r="I49" i="10"/>
  <c r="I48" i="10"/>
  <c r="I47" i="10"/>
  <c r="I46" i="10"/>
  <c r="I45" i="10"/>
  <c r="I44" i="10"/>
  <c r="I43" i="10"/>
  <c r="I42" i="10"/>
  <c r="I41" i="10"/>
  <c r="I40" i="10"/>
  <c r="I39" i="10"/>
  <c r="I38" i="10"/>
  <c r="I37" i="10"/>
  <c r="I36" i="10"/>
  <c r="I35" i="10"/>
  <c r="I34" i="10"/>
  <c r="I33" i="10"/>
  <c r="I32" i="10"/>
  <c r="I31" i="10"/>
  <c r="H51" i="10"/>
  <c r="H50" i="10"/>
  <c r="H49" i="10"/>
  <c r="H48" i="10"/>
  <c r="H47" i="10"/>
  <c r="H46" i="10"/>
  <c r="H45" i="10"/>
  <c r="H44" i="10"/>
  <c r="H43" i="10"/>
  <c r="H42" i="10"/>
  <c r="H41" i="10"/>
  <c r="H40" i="10"/>
  <c r="H39" i="10"/>
  <c r="H38" i="10"/>
  <c r="H37" i="10"/>
  <c r="H36" i="10"/>
  <c r="H35" i="10"/>
  <c r="H34" i="10"/>
  <c r="H33" i="10"/>
  <c r="H32" i="10"/>
  <c r="H31" i="10"/>
  <c r="G51" i="10"/>
  <c r="G50" i="10"/>
  <c r="G49" i="10"/>
  <c r="G48" i="10"/>
  <c r="G47" i="10"/>
  <c r="G46" i="10"/>
  <c r="G45" i="10"/>
  <c r="G44" i="10"/>
  <c r="G43" i="10"/>
  <c r="G42" i="10"/>
  <c r="G41" i="10"/>
  <c r="G40" i="10"/>
  <c r="G39" i="10"/>
  <c r="G38" i="10"/>
  <c r="G37" i="10"/>
  <c r="G36" i="10"/>
  <c r="G35" i="10"/>
  <c r="G34" i="10"/>
  <c r="G33" i="10"/>
  <c r="G32" i="10"/>
  <c r="G31" i="10"/>
  <c r="F51" i="10"/>
  <c r="F50" i="10"/>
  <c r="F49" i="10"/>
  <c r="F48" i="10"/>
  <c r="F47" i="10"/>
  <c r="F46" i="10"/>
  <c r="F45" i="10"/>
  <c r="F44" i="10"/>
  <c r="F43" i="10"/>
  <c r="F42" i="10"/>
  <c r="F41" i="10"/>
  <c r="F40" i="10"/>
  <c r="F39" i="10"/>
  <c r="F38" i="10"/>
  <c r="F37" i="10"/>
  <c r="F36" i="10"/>
  <c r="F35" i="10"/>
  <c r="F34" i="10"/>
  <c r="F33" i="10"/>
  <c r="F32" i="10"/>
  <c r="F31" i="10"/>
  <c r="E51" i="10"/>
  <c r="E50" i="10"/>
  <c r="E49" i="10"/>
  <c r="E48" i="10"/>
  <c r="E47" i="10"/>
  <c r="E46" i="10"/>
  <c r="E45" i="10"/>
  <c r="E44" i="10"/>
  <c r="E43" i="10"/>
  <c r="E42" i="10"/>
  <c r="E41" i="10"/>
  <c r="E40" i="10"/>
  <c r="E39" i="10"/>
  <c r="E38" i="10"/>
  <c r="E37" i="10"/>
  <c r="E36" i="10"/>
  <c r="E35" i="10"/>
  <c r="E34" i="10"/>
  <c r="E33" i="10"/>
  <c r="E32" i="10"/>
  <c r="E31" i="10"/>
  <c r="D51" i="10"/>
  <c r="D50" i="10"/>
  <c r="D49" i="10"/>
  <c r="D48" i="10"/>
  <c r="D47" i="10"/>
  <c r="D46" i="10"/>
  <c r="D45" i="10"/>
  <c r="D44" i="10"/>
  <c r="D43" i="10"/>
  <c r="D42" i="10"/>
  <c r="D41" i="10"/>
  <c r="D40" i="10"/>
  <c r="D39" i="10"/>
  <c r="D38" i="10"/>
  <c r="D37" i="10"/>
  <c r="D36" i="10"/>
  <c r="D35" i="10"/>
  <c r="D34" i="10"/>
  <c r="D33" i="10"/>
  <c r="D32" i="10"/>
  <c r="D31" i="10"/>
  <c r="Q8" i="11" l="1"/>
  <c r="Q10" i="11" s="1"/>
  <c r="Q12" i="11" s="1"/>
  <c r="Q14" i="11" s="1"/>
  <c r="Q15" i="11" s="1"/>
  <c r="Q17" i="11" s="1"/>
  <c r="R8" i="11"/>
  <c r="R10" i="11" s="1"/>
  <c r="R12" i="11" s="1"/>
  <c r="R14" i="11" s="1"/>
</calcChain>
</file>

<file path=xl/sharedStrings.xml><?xml version="1.0" encoding="utf-8"?>
<sst xmlns="http://schemas.openxmlformats.org/spreadsheetml/2006/main" count="663" uniqueCount="210">
  <si>
    <t>Microsoft Corporation (NasdaqGS:MSFT) &gt;  Quick Comparable Analysis &gt; Financial Data</t>
  </si>
  <si>
    <t>Details</t>
  </si>
  <si>
    <t>Template:</t>
  </si>
  <si>
    <t>Capital IQ Default Comps</t>
  </si>
  <si>
    <t>Currency:</t>
  </si>
  <si>
    <t>US Dollar</t>
  </si>
  <si>
    <t>As-Of Date:</t>
  </si>
  <si>
    <t>Company Comp Set</t>
  </si>
  <si>
    <t>Company Name</t>
  </si>
  <si>
    <t>Day Close Price Latest</t>
  </si>
  <si>
    <t>Shares Outstanding Latest</t>
  </si>
  <si>
    <t>Market Capitalization Latest</t>
  </si>
  <si>
    <t xml:space="preserve">LTM Net Debt </t>
  </si>
  <si>
    <t>LTM Total Pref. Equity</t>
  </si>
  <si>
    <t>LTM Minority Interest</t>
  </si>
  <si>
    <t>Total Enterprise Value Latest</t>
  </si>
  <si>
    <t xml:space="preserve">LTM Tangible Book Value/Share </t>
  </si>
  <si>
    <t xml:space="preserve">LTM Filing Date, Income Statement </t>
  </si>
  <si>
    <t xml:space="preserve">LTM Total Revenue </t>
  </si>
  <si>
    <t xml:space="preserve">LTM EBITDA </t>
  </si>
  <si>
    <t xml:space="preserve">LTM EBIT </t>
  </si>
  <si>
    <t xml:space="preserve">LTM Diluted EPS Excl. Extra Items </t>
  </si>
  <si>
    <t xml:space="preserve">NTM Revenue (Capital IQ) </t>
  </si>
  <si>
    <t xml:space="preserve">NTM EBITDA (Capital IQ) </t>
  </si>
  <si>
    <t xml:space="preserve">NTM EPS (Capital IQ) </t>
  </si>
  <si>
    <t>Salesforce, Inc. (NYSE:CRM)</t>
  </si>
  <si>
    <t>-</t>
  </si>
  <si>
    <t>Alphabet Inc. (NasdaqGS:GOOGL)</t>
  </si>
  <si>
    <t>Oracle Corporation (NYSE:ORCL)</t>
  </si>
  <si>
    <t>VMware, Inc. (NYSE:VMW)</t>
  </si>
  <si>
    <t>ServiceNow, Inc. (NYSE:NOW)</t>
  </si>
  <si>
    <t>Snowflake Inc. (NYSE:SNOW)</t>
  </si>
  <si>
    <t>Amazon.com, Inc. (NasdaqGS:AMZN)</t>
  </si>
  <si>
    <t>Adobe Inc. (NasdaqGS:ADBE)</t>
  </si>
  <si>
    <t>Workday, Inc. (NasdaqGS:WDAY)</t>
  </si>
  <si>
    <t>Splunk Inc. (NasdaqGS:SPLK)</t>
  </si>
  <si>
    <t>Microsoft Corporation (NasdaqGS:MSFT)</t>
  </si>
  <si>
    <t>Summary Statistics</t>
  </si>
  <si>
    <t>High</t>
  </si>
  <si>
    <t>Low</t>
  </si>
  <si>
    <t>Mean</t>
  </si>
  <si>
    <t>Median</t>
  </si>
  <si>
    <t>Displaying 11 Companies.</t>
  </si>
  <si>
    <t>Values converted at today's spot rate.</t>
  </si>
  <si>
    <t>Companies by default are sorted by S&amp;P Capital IQ’s proprietary relevancy score.</t>
  </si>
  <si>
    <t>Historical Equity Pricing Data supplied by Interactive Data Pricing and Reference Data LLC</t>
  </si>
  <si>
    <t>Microsoft Corporation (NasdaqGS:MSFT) &gt;  Quick Comparable Analysis &gt; Trading Multiples</t>
  </si>
  <si>
    <t>Template:</t>
  </si>
  <si>
    <t>Currency:</t>
  </si>
  <si>
    <t>As-Of Date:</t>
  </si>
  <si>
    <t>TEV/Total Revenues LTM - Latest</t>
  </si>
  <si>
    <t>TEV/EBITDA LTM - Latest</t>
  </si>
  <si>
    <t>TEV/EBIT LTM - Latest</t>
  </si>
  <si>
    <t>P/Diluted EPS Before Extra LTM - Latest</t>
  </si>
  <si>
    <t>P/TangBV LTM - Latest</t>
  </si>
  <si>
    <t xml:space="preserve">NTM TEV/Forward Total Revenue (Capital IQ) </t>
  </si>
  <si>
    <t xml:space="preserve">NTM TEV/Forward EBITDA (Capital IQ) </t>
  </si>
  <si>
    <t xml:space="preserve">NTM Forward P/E (Capital IQ) </t>
  </si>
  <si>
    <t>Microsoft Corporation (NasdaqGS:MSFT) &gt;  Quick Comparable Analysis &gt; Operating Statistics</t>
  </si>
  <si>
    <t>Template:</t>
  </si>
  <si>
    <t>Currency:</t>
  </si>
  <si>
    <t>As-Of Date:</t>
  </si>
  <si>
    <t xml:space="preserve">LTM Gross Margin % </t>
  </si>
  <si>
    <t xml:space="preserve">LTM EBITDA Margin % </t>
  </si>
  <si>
    <t xml:space="preserve">LTM EBIT Margin % </t>
  </si>
  <si>
    <t xml:space="preserve">LTM Net Income Margin % </t>
  </si>
  <si>
    <t xml:space="preserve">LTM Total Revenues, 1 Yr Growth % </t>
  </si>
  <si>
    <t xml:space="preserve">LTM EBITDA, 1 Yr Growth % </t>
  </si>
  <si>
    <t xml:space="preserve">LTM EBIT, 1 Yr Growth % </t>
  </si>
  <si>
    <t xml:space="preserve">LTM Net Income, 1 Yr Growth % </t>
  </si>
  <si>
    <t>LTM Total Debt/Capital %</t>
  </si>
  <si>
    <t xml:space="preserve">LTM Total Debt/EBITDA </t>
  </si>
  <si>
    <t xml:space="preserve">NTM LT EPS Growth Rate (Capital IQ) </t>
  </si>
  <si>
    <t>5 Year Beta</t>
  </si>
  <si>
    <t>NM</t>
  </si>
  <si>
    <t>Microsoft Corporation (NasdaqGS:MSFT) &gt;  Quick Comparable Analysis &gt; Business Description</t>
  </si>
  <si>
    <t>Template:</t>
  </si>
  <si>
    <t>Currency:</t>
  </si>
  <si>
    <t>As-Of Date:</t>
  </si>
  <si>
    <t>Business Description</t>
  </si>
  <si>
    <t>Headquarters</t>
  </si>
  <si>
    <t>Salesforce, Inc. provides Customer Relationship Management (CRM) technology that brings companies and customers together worldwide. The company’s service includes sales to store data, monitor leads and progress, forecast opportunities, gain insights through analytics and relationship intelligence, and deliver quotes, contracts, and invoices; and service that enables companies to deliver trusted and highly personalized customer service and support at scale. In addition, its platform offering comprise a flexible platform that enables companies of various sizes, locations, and industries to build business apps with drag-and-drop tools; online learning platform that allows anyone to learn in-demand Salesforce skills; and Slack, a system of engagement. The company’s marketing services enables companies to plan, personalize, and optimize customer marketing journey and real time personalization and optimization; and commerce services, which empowers shopping experience across various points of commerce, such as mobile, web, social, and stores and provides click-to-code tools that offers customers to build and deploy solutions. Further, its analytics offering includes Tableau, an end-to-end analytics solution for range of enterprise use cases and intelligent analytics with advanced AI models, spot trends, predict outcomes, timely recommendations, and take action from any device; and integration service including MuleSoft, an easy to connect data from any system to deliver connected experiences. Additionally, the company provides genie customer data cloud, a hyperscale real-time data platform that powers the customer 360 platform; vertical services to meet the needs of customers in industries, such as financial services, healthcare and life sciences, manufacturing and others; and offers salesforce easy for small and medium-sized businesses. Salesforce, Inc. was incorporated in 1999 and is headquartered in San Francisco, California.</t>
  </si>
  <si>
    <t>Salesforce Tower, 3rd Floor, 415 Mission Street, San Francisco, California, 94105, United States</t>
  </si>
  <si>
    <t>Alphabet Inc. offers various products and platforms in the United States, Europe, the Middle East, Africa, the Asia-Pacific, Canada, and Latin America. It operates through Google Services, Google Cloud, and Other Bets segments. The Google Services segment provides products and services, including ads, Android, Chrome, hardware, Gmail, Google Drive, Google Maps, Google Photos, Google Play, Search, and YouTube. It is also involved in the sale of apps and in-app purchases and digital content in the Google Play store; and Fitbit wearable devices, Google Nest home products, Pixel phones, and other devices, as well as in the provision of YouTube non-advertising services. The Google Cloud segment offers infrastructure, cybersecurity, data, analytics, AI, and machine learning, and other services; Google Workspace that include cloud-based collaboration tools for enterprises, such as Gmail, Docs, Drive, Calendar, and Meet; and other services for enterprise customers. The Other Bets segment sells health technology and internet services. The company was founded in 1998 and is headquartered in Mountain View, California.</t>
  </si>
  <si>
    <t>1600 Amphitheatre Parkway, Mountain View, California, 94043, United States</t>
  </si>
  <si>
    <t>Oracle Corporation offers products and services that address enterprise information technology environments worldwide. Its Oracle cloud software as a service offering include various cloud software applications, including Oracle Fusion cloud enterprise resource planning (ERP), Oracle Fusion cloud enterprise performance management, Oracle Fusion cloud supply chain and manufacturing management, Oracle Fusion cloud human capital management, Oracle Advertising, and NetSuite applications suite, as well as Oracle Fusion Sales, Service, and Marketing. The company also offers cloud-based industry solutions for various industries; Oracle application licenses; and Oracle license support services. In addition, it provides cloud and license business’ infrastructure technologies, such as the Oracle Database, an enterprise database; Java, a software development language; and middleware, including development tools and others. The company’s cloud and license business’ infrastructure technologies also comprise cloud-based compute, storage, and networking capabilities; and Oracle autonomous database, MySQL HeatWave, Internet-of-Things, digital assistant, and blockchain. Further, it provides hardware products and other hardware-related software offerings, including Oracle engineered systems, enterprise servers, storage solutions, industry-specific hardware, virtualization software, operating systems, management software, and related hardware services; and consulting and customer services. The company markets and sells its cloud, license, hardware, support, and services offerings directly to businesses in various industries, government agencies, and educational institutions, as well as through indirect channels. Oracle Corporation was founded in 1977 and is headquartered in Austin, Texas.</t>
  </si>
  <si>
    <t>2300 Oracle Way, Austin, Texas, 78741, United States</t>
  </si>
  <si>
    <t>VMware, Inc. provides software solutions in the areas of modern applications, cloud management and infrastructure, networking, security, and digital workspaces in the United States and internationally. It offers VMware multi-cloud solutions, including VMware vSphere, a data center infrastructure that provides the fundamental compute layer; vSAN and VxRail, which offers holistic data storage and protection options to applications running on vSphere; and vRealize Cloud Management solutions that manages hybrid and multi-cloud environments running in virtual machines and containers, as well as VMware Cloud Foundation, a cloud platform that combines its vSphere, vSAN, and NSX with vRealize Cloud Management into an integrated stack and delivers enterprise-ready cloud infrastructure for private and public clouds. The company also provides networking solutions, such as VMware NSX, NSX Distributed and Gateway Firewalls, NSX Network Detection and Response Engine, NSX Advanced Load Balancer, Tanzu Service Mesh, and VMware SASE; security solutions consisting of VMware Carbon Black Endpoint, Workload, and Container; and digital workspace solutions comprising Workspace ONE Unified Endpoint Management, Access, Intelligent Hub, and Horizon. In addition, it offers application modernization solutions, such as Tanzu Application and Operations Platform, Tanzu Application Service Platform, Tanzu Observability, Tanzu Community Edition, and Tanzu Labs; and cloud management solutions, including vRealize Cloud Management, vCloud Suite, and CloudHealth by VMware Suite. The company sells its products through distributors, resellers, system vendors, and systems integrators. VMware, Inc. has a strategic alliance with Amazon Web Services to build and deliver an integrated hybrid solution. The company was incorporated in 1998 and is headquartered in Palo Alto, California.</t>
  </si>
  <si>
    <t>3401 Hillview Avenue, Palo Alto, California, 94304, United States</t>
  </si>
  <si>
    <t>ServiceNow, Inc. provides enterprise cloud computing solutions that defines, structures, consolidates, manages, and automates services for enterprises worldwide. The company operates the Now platform for workflow automation, artificial intelligence, machine learning, robotic process automation, process mining, performance analytics, electronic service catalogs and portals, configuration management systems, data benchmarking, encryption, and collaboration and development tools. It also provides information technology (IT) service management applications; IT service management product suite for enterprise’s employees, customers, and partners; strategic portfolio management product suite; IT operations management product that connects a customer’s physical and cloud-based IT infrastructure; IT asset management; and security operations that connects with internal and third party. In addition, the company offers integrated risk management product to manage risk and resilience; environmental, social and governance management product; human resources, legal, and workplace service delivery products; safe workplace suite products; customer service management product; and field service management applications. Further, it provides App Engine product; Automation Engine enables application to extend workflows; platform privacy and security product; procurement operations management suite; and professional and customer support services. The company serves government, financial services, healthcare, telecommunications, manufacturing, IT services, technology, oil and gas, education, and consumer products through direct sales team and resale partners. It has a strategic partnership with Celonis to help customers identify and prioritize processes that are suitable for automation. The company was formerly known as Service-now.com and changed its name to ServiceNow, Inc. in May 2012. The company was founded in 2004 and is headquartered in Santa Clara, California.</t>
  </si>
  <si>
    <t>2225 Lawson Lane, Santa Clara, California, 95054, United States</t>
  </si>
  <si>
    <t>Snowflake Inc. provides a cloud-based data platform for various organizations in the United States and internationally. Its platform offers Data Cloud, which enables customers to consolidate data into a single source of truth to drive meaningful business insights, build data-driven applications, and share data and data products. The company was formerly known as Snowflake Computing, Inc. and changed its name to Snowflake Inc. in April 2019. Snowflake Inc. was incorporated in 2012 and is based in Bozeman, Montana.</t>
  </si>
  <si>
    <t>106 East Babcock Street, Suite 3A, Bozeman, Montana, 59715, United States</t>
  </si>
  <si>
    <t>Amazon.com, Inc. engages in the retail sale of consumer products and subscriptions through online and physical stores in North America and internationally. It operates through three segments: North America, International, and Amazon Web Services (AWS). The company’s products offered through its stores include merchandise and content purchased for resale; and products offered by third-party sellers. It also manufactures and sells electronic devices, including Kindle, Fire tablets, Fire TVs, Rings, Blink, eero, and Echo; and develops and produces media content. In addition, the company offers programs that enable sellers to sell their products in its stores; and programs that allow authors, musicians, filmmakers, Twitch streamers, skill and app developers, and others to publish and sell content. Further, it provides compute, storage, database, analytics, machine learning, and other services, as well as fulfillment, advertising, and digital content subscriptions. Additionally, the company offers Amazon Prime, a membership program. It serves consumers, sellers, developers, enterprises, content creators, and advertisers. The company was incorporated in 1994 and is headquartered in Seattle, Washington.</t>
  </si>
  <si>
    <t>410 Terry Avenue North, Seattle, Washington, 98109-5210, United States</t>
  </si>
  <si>
    <t>Adobe Inc., together with its subsidiaries, operates as a diversified software company worldwide. It operates through three segments: Digital Media, Digital Experience, and Publishing and Advertising. The Digital Media segment offers products, services, and solutions that enable individuals, teams, and enterprises to create, publish, and promote content; and Document Cloud, a unified cloud-based document services platform. Its flagship product is Creative Cloud, a subscription service that allows members to access its creative products. This segment serves content creators, students, workers, marketers, educators, enthusiasts, communicators, and consumers. The Digital Experience segment provides an integrated platform and set of applications and services that enable brands and businesses to create, manage, execute, measure, monetize, and optimize customer experiences from analytics to commerce. This segment serves marketers, advertisers, agencies, publishers, merchandisers, merchants, web analysts, data scientists, developers, and executives across the C-suite. The Publishing and Advertising segment offers products and services, such as e-learning solutions, technical document publishing, web conferencing, document and forms platform, web application development, and high-end printing, as well as Advertising Cloud offerings. The company offers its products and services directly to enterprise customers through its sales force and local field offices, as well as to end users through app stores and through its website at adobe.com. It also distributes products and services through a network of distributors, value-added resellers, systems integrators, software vendors and developers, retailers, and original equipment manufacturers. The company was formerly known as Adobe Systems Incorporated and changed its name to Adobe Inc. in October 2018. Adobe Inc. was founded in 1982 and is headquartered in San Jose, California.</t>
  </si>
  <si>
    <t>345 Park Avenue, San Jose, California, 95110-2704, United States</t>
  </si>
  <si>
    <t>Workday, Inc. provides enterprise cloud applications in the United States and internationally. Its applications help its customers to plan, execute, analyze, and extend to other applications and environments, and to manage their business and operations. The company offers a suite of financial management applications, which enable chief financial officers to maintain accounting information in the general ledger; manage financial processes, such as payables and receivables; identify real-time financial, operational, and management insights; enhance financial consolidation; reduce time-to-close; promote internal control and auditability; and achieve consistency across finance operations. It also provides spend management solutions that helps organizations to streamline supplier selection and contracts, manage indirect spend, and build and execute sourcing events, such as requests for proposals; and human capital management solution, a suite of human capital management applications that allows organizations to manage the entire employee lifecycle from recruitment to retirement, and enables HR teams to hire, onboard, pay, develop, reskill, and provide employee experiences. In addition, the company offers applications for planning; and applications for analytics and reporting comprising augmented analytics to surface insights to the line of business in simple-to-understand stories, machine learning to drive efficiency and automation, and benchmarks to compare performance against other companies. It serves professional and business services, financial services, healthcare, education, government, technology, media, retail, and hospitality industries. The company was formerly known as North Tahoe Power Tools, Inc. and changed its name to Workday, Inc. in July 2005. Workday, Inc. was incorporated in 2005 and is headquartered in Pleasanton, California.</t>
  </si>
  <si>
    <t>6110 Stoneridge Mall Road, Pleasanton, California, 94588, United States</t>
  </si>
  <si>
    <t>Splunk Inc., together with its subsidiaries, develops and markets cloud services and licensed software solutions in the United States and internationally. The company offers unified security and observability platform, including Splunk Security that helps security leaders fortify their organization’s digital resilience by mitigating cyber risk and meeting compliance requirements; and Splunk Observability, which provides visibility across the full stack of infrastructure, applications, and the digital customer experience. It also provides application programming interfaces, software development kits, and other interfaces that enables its network of third-party developers, partners, and customers to build content, including pre-built data inputs, workflows, searches, reports, alerts, custom dashboards, flexible user interface components, custom data visualizations, and integration actions and methods that configures and extends its solutions to accommodate specific use cases. In addition, the company offers adoption and implementation, education, and customer support services. It sells its offerings directly through field and inside sales, and indirectly through various routes to market with various partners. Splunk Inc. was incorporated in 2003 and is headquartered in San Francisco, California.</t>
  </si>
  <si>
    <t>270 Brannan Street, San Francisco, California, 94107, United States</t>
  </si>
  <si>
    <t>Microsoft Corporation develops, licenses, and supports software, services, devices, and solutions worldwide. The company operates in three segments: Productivity and Business Processes, Intelligent Cloud, and More Personal Computing. The Productivity and Business Processes segment offers Office, Exchange, SharePoint, Microsoft Teams, Office 365 Security and Compliance, Microsoft Viva, and Skype for Business; Skype, Outlook.com, OneDrive, and LinkedIn; and Dynamics 365, a set of cloud-based and on-premises business solutions for organizations and enterprise divisions. The Intelligent Cloud segment licenses SQL, Windows Servers, Visual Studio, System Center, and related Client Access Licenses; GitHub that provides a collaboration platform and code hosting service for developers; Nuance provides healthcare and enterprise AI solutions; and Azure, a cloud platform. It also offers enterprise support, Microsoft consulting, and nuance professional services to assist customers in developing, deploying, and managing Microsoft server and desktop solutions; and training and certification on Microsoft products. The More Personal Computing segment provides Windows original equipment manufacturer (OEM) licensing and other non-volume licensing of the Windows operating system; Windows Commercial, such as volume licensing of the Windows operating system, Windows cloud services, and other Windows commercial offerings; patent licensing; and Windows Internet of Things. It also offers Surface, PC accessories, PCs, tablets, gaming and entertainment consoles, and other devices; Gaming, including Xbox hardware, and Xbox content and services; video games and third-party video game royalties; and Search, including Bing and Microsoft advertising. The company sells its products through OEMs, distributors, and resellers; and directly through digital marketplaces, online stores, and retail stores. Microsoft Corporation was founded in 1975 and is headquartered in Redmond, Washington.</t>
  </si>
  <si>
    <t>One Microsoft Way, Redmond, Washington, 98052-6399, United States</t>
  </si>
  <si>
    <t>Microsoft Corporation (NasdaqGS:MSFT) &gt;  Quick Comparable Analysis &gt; Implied Valuation</t>
  </si>
  <si>
    <t>Template:</t>
  </si>
  <si>
    <t>Currency:</t>
  </si>
  <si>
    <t>As-Of Date:</t>
  </si>
  <si>
    <t xml:space="preserve">LTM Basic EPS </t>
  </si>
  <si>
    <t xml:space="preserve"> </t>
  </si>
  <si>
    <t>Total Enterprise Value Multiples</t>
  </si>
  <si>
    <t>Pricing Multiples</t>
  </si>
  <si>
    <t xml:space="preserve">NTM TEV/Forward Total Revenue </t>
  </si>
  <si>
    <t xml:space="preserve">NTM TEV/Forward EBITDA </t>
  </si>
  <si>
    <t xml:space="preserve">NTM Forward P/E </t>
  </si>
  <si>
    <t>Implied Enterprise Value</t>
  </si>
  <si>
    <t>NA</t>
  </si>
  <si>
    <t>+ Total Cash &amp; ST Investments</t>
  </si>
  <si>
    <t>- Total Debt</t>
  </si>
  <si>
    <t>- Total Pref. Equity</t>
  </si>
  <si>
    <t>- Minority Interest</t>
  </si>
  <si>
    <t>= Implied Equity Value</t>
  </si>
  <si>
    <t>/ Shares Outstanding</t>
  </si>
  <si>
    <t>= Implied Price per Share</t>
  </si>
  <si>
    <t>Mean Equity Value Across Multiples</t>
  </si>
  <si>
    <t>Equity Value</t>
  </si>
  <si>
    <t>Price Per Share</t>
  </si>
  <si>
    <t>Microsoft Corporation (NasdaqGS:MSFT) &gt;  Quick Comparable Analysis &gt; Valuation Chart</t>
  </si>
  <si>
    <t>Template:</t>
  </si>
  <si>
    <t>Currency:</t>
  </si>
  <si>
    <t>As-Of Date:</t>
  </si>
  <si>
    <t>Microsoft Corporation (NasdaqGS:MSFT) &gt;  Quick Comparable Analysis &gt; Credit Health Panel</t>
  </si>
  <si>
    <t>Template:</t>
  </si>
  <si>
    <t>Currency:</t>
  </si>
  <si>
    <t>As-Of Date:</t>
  </si>
  <si>
    <t>Overall</t>
  </si>
  <si>
    <t>Operational</t>
  </si>
  <si>
    <t>Solvency</t>
  </si>
  <si>
    <t>Liquidity</t>
  </si>
  <si>
    <t>LTM Period Ending</t>
  </si>
  <si>
    <t>Financials Updated</t>
  </si>
  <si>
    <t>S&amp;P Issuer Credit Rating Foreign Currency LT Rating</t>
  </si>
  <si>
    <t>CreditModel Score</t>
  </si>
  <si>
    <t>Market Signal Probability of Default %</t>
  </si>
  <si>
    <t>Country/Region</t>
  </si>
  <si>
    <t>Primary Industry Classification</t>
  </si>
  <si>
    <t>AA+</t>
  </si>
  <si>
    <t>aa+</t>
  </si>
  <si>
    <t>0.1825%</t>
  </si>
  <si>
    <t>United States</t>
  </si>
  <si>
    <t>Interactive Media and Services</t>
  </si>
  <si>
    <t>A+</t>
  </si>
  <si>
    <t>a</t>
  </si>
  <si>
    <t>0.3702%</t>
  </si>
  <si>
    <t>Application Software</t>
  </si>
  <si>
    <t>A-</t>
  </si>
  <si>
    <t>bbb-</t>
  </si>
  <si>
    <t>0.4430%</t>
  </si>
  <si>
    <t>Systems Software</t>
  </si>
  <si>
    <t>bb</t>
  </si>
  <si>
    <t>0.8386%</t>
  </si>
  <si>
    <t>Internet Services and Infrastructure</t>
  </si>
  <si>
    <t>AA</t>
  </si>
  <si>
    <t>aa</t>
  </si>
  <si>
    <t>0.6762%</t>
  </si>
  <si>
    <t>Broadline Retail</t>
  </si>
  <si>
    <t>b+</t>
  </si>
  <si>
    <t>1.7226%</t>
  </si>
  <si>
    <t>BBB</t>
  </si>
  <si>
    <t>bb-</t>
  </si>
  <si>
    <t>0.5517%</t>
  </si>
  <si>
    <t>bbb</t>
  </si>
  <si>
    <t>0.2426%</t>
  </si>
  <si>
    <t>0.4820%</t>
  </si>
  <si>
    <t>BBB-</t>
  </si>
  <si>
    <t>0.2955%</t>
  </si>
  <si>
    <t>AAA</t>
  </si>
  <si>
    <t>0.1117%</t>
  </si>
  <si>
    <t>Credit Health Panel metric values are calculated by converting all currencies to USD based on yesterday’s spot rate. Currencies displayed on the page are converted at today’s spot rate from yesterday’s USD value.</t>
  </si>
  <si>
    <t>S&amp;P Credit Ratings and Research provided by</t>
  </si>
  <si>
    <t>No content (including ratings, credit-related analyses and data, valuations, model, software or other application or output therefrom) or any part thereof (Content) may be modified, reverse engineered, reproduced or distributed in any form by any means, or stored in a database or retrieval system, without the prior written permission of S&amp;P Global Market Intelligence or its affiliates (collectively, S&amp;P Global). The Content shall not be used for any unlawful or unauthorized purposes. S&amp;P Global and any third-party providers, as well as their directors, officers, shareholders, employees or agents (collectively S&amp;P Global Parties) do not guarantee the accuracy, completeness, timeliness or availability of the Content. S&amp;P Global Parties are not responsible for any errors or omissions (negligent or otherwise), regardless of the cause, for the results obtained from the use of the Content, or for the security or maintenance of any data input by the user. The Content is provided on an "as is" basis. S&amp;P GLOBAL PARTIES DISCLAIM ANY AND ALL EXPRESS OR IMPLIED WARRANTIES, INCLUDING, BUT NOT LIMITED TO, ANY WARRANTIES OF MERCHANTABILITY OR FITNESS FOR A PARTICULAR PURPOSE OR USE, FREEDOM FROM BUGS, SOFTWARE ERRORS OR DEFECTS, THAT THE CONTENT’S FUNCTIONING WILL BE UNINTERRUPTED OR THAT THE CONTENT WILL OPERATE WITH ANY SOFTWARE OR HARDWARE CONFIGURATION. In no event shall S&amp;P Global Parties be liable to any party for any direct, indirect, incidental, exemplary, compensatory, punitive, special or consequential damages, costs, expenses, legal fees, or losses (including, without limitation, lost income or lost profits and opportunity costs or losses caused by negligence) in connection with any use of the Content even if advised of the possibility of such damages.Credit-related and other analyses, including ratings, and statements in the Content are statements of opinion as of the date they are expressed and not statements of fact. S&amp;P Global Market Intelligence’s opinions, analyses and rating acknowledgment decisions (described below) are not recommendations to purchase, hold, or sell any securities or to make any investment decisions, and do not address the suitability of any security. S&amp;P Global Market Intelligence assumes no obligation to update the Content following publication in any form or format. The Content should not be relied on and is not a substitute for the skill, judgment and experience of the user, its management, employees, advisors and/or clients when making investment and other business decisions. S&amp;P Global Market Intelligence does not act as a fiduciary or an investment advisor except where registered as such. While S&amp;P Global Market Intelligence has obtained information from sources it believes to be reliable, S&amp;P Global Market Intelligence does not perform an audit and undertakes no duty of due diligence or independent verification of any information it receives.S&amp;P Global keeps certain activities of its divisions separate from each other in order to preserve the independence and objectivity of their respective activities. As a result, certain divisions of S&amp;P Global may have information that is not available to other S&amp;P Global divisions. S&amp;P Global has established policies and procedures to maintain the confidentiality of certain non-public information received in connection with each analytical process.S&amp;P Global Ratings does not contribute to or participate in the creation of credit scores generated by S&amp;P Global Market Intelligence. Lowercase nomenclature is used to differentiate S&amp;P Global Market Intelligence PD credit model scores from the credit ratings issued by S&amp;P Global Ratings.S&amp;P Global may receive compensation for its ratings and certain analyses, normally from issuers or underwriters of securities or from obligors. S&amp;P Global reserves the right to disseminate its opinions and analyses. S&amp;P Global's public ratings and analyses are made available on its Web sites, http://www.standardandpoors.com (free of charge), and http://www.capitaliq.com (subscription), and may be distributed through other means, including via S&amp;P Global publications and third-party redistributors. Additional information about our ratings fees is available at http://www.standardandpoors.com/usratingsfees..</t>
  </si>
  <si>
    <t>Microsoft Corporation (NasdaqGS:MSFT) &gt; Credit Health Panel &gt; Disclaimer</t>
  </si>
  <si>
    <t>Copyright © 2023 by Standard &amp; Poor’s Financial Services LLC. All rights reserved.</t>
  </si>
  <si>
    <t>No content (including ratings, credit-related analyses and data, valuations, model, software or other application or output therefrom) or any part thereof (Content) may be modified, reverse engineered, reproduced or distributed in any form by any means, or stored in a database or retrieval system, without the prior written permission of Standard &amp; Poor’s Financial Services LLC or its affiliates (collectively, S&amp;P). The Content shall not be used for any unlawful or unauthorized purposes. S&amp;P and any third-party providers, as well as their directors, officers, shareholders, employees or agents (collectively S&amp;P Parties) do not guarantee the accuracy, completeness, timeliness or availability of the Content. S&amp;P Parties are not responsible for any errors or omissions (negligent or otherwise), regardless of the cause, for the results obtained from the use of the Content, or for the security or maintenance of any data input by the user. The Content is provided on an “as is” basis. S&amp;P PARTIES DISCLAIM ANY AND ALL EXPRESS OR IMPLIED WARRANTIES, INCLUDING, BUT NOT LIMITED TO, ANY WARRANTIES OF MERCHANTABILITY OR FITNESS FOR A PARTICULAR PURPOSE OR USE, FREEDOM FROM BUGS, SOFTWARE ERRORS OR DEFECTS, THAT THE CONTENT’S FUNCTIONING WILL BE UNINTERRUPTED OR THAT THE CONTENT WILL OPERATE WITH ANY SOFTWARE OR HARDWARE CONFIGURATION.  In no event shall S&amp;P Parties be liable to any party for any direct, indirect, incidental, exemplary, compensatory, punitive, special or consequential damages, costs, expenses, legal fees, or losses (including, without limitation, lost income or lost profits and opportunity costs or losses caused by negligence) in connection with any use of the Content even if advised of the possibility of such damages.</t>
  </si>
  <si>
    <t>Credit-related and other analyses, including ratings, and statements in the Content are statements of opinion as of the date they are expressed and not statements of fact. S&amp;P’s opinions, analyses and rating acknowledgment decisions (described below) are not recommendations to purchase, hold, or sell any securities or to make any investment decisions, and do not address the suitability of any security. S&amp;P assumes no obligation to update the Content following publication in any form or format. The Content should not be relied on and is not a substitute for the skill, judgment and experience of the user, its management, employees, advisors and/or clients when making investment and other business decisions. S&amp;P does not act as a fiduciary or an investment advisor except where registered as such.  While S&amp;P has obtained information from sources it believes to be reliable, S&amp;P does not perform an audit and undertakes no duty of due diligence or independent verification of any information it receives.</t>
  </si>
  <si>
    <t>To the extent that regulatory authorities allow a rating agency to acknowledge in one jurisdiction a rating issued in another jurisdiction for certain regulatory purposes, S&amp;P reserves the right to assign, withdraw or suspend such acknowledgement at any time and in its sole discretion. S&amp;P Parties disclaim any duty whatsoever arising out of the assignment, withdrawal or suspension of an acknowledgment as well as any liability for any damage alleged to have been suffered on account thereof.</t>
  </si>
  <si>
    <t>S&amp;P keeps certain activities of its business units separate from each other in order to preserve the independence and objectivity of their respective activities. As a result, certain business units of S&amp;P may have information that is not available to other S&amp;P business units. S&amp;P has established policies and procedures to maintain the confidentiality of certain non-public information received in connection with each analytical process.</t>
  </si>
  <si>
    <t>S&amp;P may receive compensation for its ratings and certain analyses, normally from issuers or underwriters of securities or from obligors. S&amp;P reserves the right to disseminate its opinions and analyses. S&amp;P’s public ratings and analyses are made available on its Web sites, www.standardandpoors.com (free of charge), and www.ratingsdirect.com and www.globalcreditportal.com (subscription), and may be distributed through other means, including via S&amp;P publications and third-party redistributors. Additional information about our ratings fees is available at www.standardandpoors.com/usratingsfees.</t>
  </si>
  <si>
    <t>You are using a functionality that permits you to export content from the S&amp;P Capital IQ Platform. You are permitted to provide limited excerpts of information from this export to others provided you: (1) do so solely in the ordinary course of your internal business; (2) do not provide S&amp;P Capital IQ information in any manner that may obviate the need for the individuals who receive such excerpts to obtain their own S&amp;P Capital IQ Platform password/license; and, (3) provide S&amp;P with appropriate attribution and a disclaimer on S&amp;P’s behalf.</t>
  </si>
  <si>
    <t>To reprint, translate, or use the data or information other than as provided herein, contact Client Services, 55 Water Street, New York, NY 10041; (1) 877-773-4732 or by e-mail to: research_request@standardandpoors.com.</t>
  </si>
  <si>
    <t>Any Passwords/user IDs issued by S&amp;P Capital IQ to users are single user dedicated and may ONLY be used by the individual to whom they have been assigned. No sharing of passwords/user IDs and no simultaneous access via the same password/user ID is permitted.</t>
  </si>
  <si>
    <t>Standard &amp; Poor’s, S&amp;P, and Credit Health Panel are registered trademarks of Standard &amp; Poor’s Financial Services LLC.  Capital IQ is a registered trademark of Capital IQ, Excel is a registered trademark of Microsoft.</t>
  </si>
  <si>
    <t>Evaluation Only. Created with Aspose.Cells for .NET.Copyright 2003 - 2023 Aspose Pty Ltd.</t>
  </si>
  <si>
    <t>Percentile Average</t>
  </si>
  <si>
    <t>Company vs Peers</t>
  </si>
  <si>
    <t>Percentiles</t>
  </si>
  <si>
    <t>Applied Percentile</t>
  </si>
  <si>
    <t>NTM EV/REV</t>
  </si>
  <si>
    <t>NTM EV/EBITDA</t>
  </si>
  <si>
    <t>NTM P/E</t>
  </si>
  <si>
    <t>Weighting %</t>
  </si>
  <si>
    <t>Applied Multiple</t>
  </si>
  <si>
    <t>Company Metric</t>
  </si>
  <si>
    <t>EV</t>
  </si>
  <si>
    <t>Net Debt</t>
  </si>
  <si>
    <t>Shares Outstanding</t>
  </si>
  <si>
    <t>Implied Price / Share</t>
  </si>
  <si>
    <t>Weighted Price</t>
  </si>
  <si>
    <t>Current Price</t>
  </si>
  <si>
    <t>Implied Market Upside(Downside)</t>
  </si>
  <si>
    <t>Based on Benchmarking Analysis the Target Company Vs its Comps is Under(Overvalued) by -&gt;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</si>
</sst>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4" formatCode="_(&quot;$&quot;* #,##0.00_);_(&quot;$&quot;* \(#,##0.00\);_(&quot;$&quot;* &quot;-&quot;??_);_(@_)"/>
    <numFmt numFmtId="43" formatCode="_(* #,##0.00_);_(* \(#,##0.00\);_(* &quot;-&quot;??_);_(@_)"/>
    <numFmt numFmtId="164" formatCode="mmm\-dd\-yyyy"/>
    <numFmt numFmtId="165" formatCode="_(\ #,##0.0#_);_(\(\ #,##0.0#\)_);_(\ &quot; - &quot;_)"/>
    <numFmt numFmtId="166" formatCode="_(\ #,##0.0_);_(\ \(#,##0.0\)_);_(\ &quot; - &quot;_)"/>
    <numFmt numFmtId="167" formatCode="#,##0.0\x"/>
    <numFmt numFmtId="168" formatCode="#,##0.00\x"/>
    <numFmt numFmtId="169" formatCode="_(#,##0.0%_);_(\(#,##0.0%\)_);_(#,##0.0%_)"/>
    <numFmt numFmtId="170" formatCode="_(#,##0.00%_);_(\(#,##0.00%\)_);_(#,##0.00%_)"/>
    <numFmt numFmtId="171" formatCode="_(\ #,##0_);_(\ \(#,##0\)_);_(\ &quot; - &quot;_)"/>
  </numFmts>
  <fonts count="22" x14ac:knownFonts="1">
    <font>
      <sz val="10"/>
      <name val="Arial"/>
    </font>
    <font>
      <sz val="8"/>
      <name val="Arial"/>
    </font>
    <font>
      <b/>
      <sz val="13"/>
      <color indexed="8"/>
      <name val="Verdana"/>
    </font>
    <font>
      <b/>
      <sz val="12"/>
      <color indexed="8"/>
      <name val="Verdana"/>
    </font>
    <font>
      <b/>
      <sz val="10"/>
      <color indexed="9"/>
      <name val="Arial"/>
    </font>
    <font>
      <b/>
      <u val="singleAccounting"/>
      <sz val="8"/>
      <color indexed="8"/>
      <name val="Verdana"/>
    </font>
    <font>
      <b/>
      <sz val="8"/>
      <color indexed="9"/>
      <name val="Verdana"/>
    </font>
    <font>
      <b/>
      <u val="singleAccounting"/>
      <sz val="8"/>
      <color indexed="8"/>
      <name val="Arial"/>
    </font>
    <font>
      <sz val="8"/>
      <color indexed="8"/>
      <name val="Arial"/>
    </font>
    <font>
      <vertAlign val="superscript"/>
      <sz val="8"/>
      <color indexed="8"/>
      <name val="Arial"/>
    </font>
    <font>
      <vertAlign val="subscript"/>
      <sz val="8"/>
      <color indexed="8"/>
      <name val="Arial"/>
    </font>
    <font>
      <b/>
      <sz val="8"/>
      <color indexed="8"/>
      <name val="Arial"/>
    </font>
    <font>
      <i/>
      <sz val="8"/>
      <color indexed="8"/>
      <name val="Arial"/>
    </font>
    <font>
      <sz val="1"/>
      <color indexed="9"/>
      <name val="Symbol"/>
    </font>
    <font>
      <sz val="10"/>
      <color indexed="8"/>
      <name val="Arial"/>
    </font>
    <font>
      <b/>
      <sz val="8"/>
      <color indexed="8"/>
      <name val="Verdana"/>
    </font>
    <font>
      <b/>
      <sz val="8"/>
      <name val="Arial"/>
    </font>
    <font>
      <b/>
      <sz val="8"/>
      <color indexed="9"/>
      <name val="Arial"/>
    </font>
    <font>
      <b/>
      <i/>
      <sz val="18"/>
      <color rgb="FF0000FF"/>
      <name val="Arial"/>
    </font>
    <font>
      <sz val="10"/>
      <name val="Arial"/>
    </font>
    <font>
      <sz val="8"/>
      <color rgb="FFFF0000"/>
      <name val="Arial"/>
    </font>
    <font>
      <sz val="10"/>
      <color rgb="FFFF0000"/>
      <name val="Arial"/>
    </font>
  </fonts>
  <fills count="10">
    <fill>
      <patternFill patternType="none"/>
    </fill>
    <fill>
      <patternFill patternType="gray125"/>
    </fill>
    <fill>
      <patternFill patternType="solid">
        <fgColor indexed="63"/>
        <bgColor indexed="64"/>
      </patternFill>
    </fill>
    <fill>
      <patternFill patternType="solid">
        <fgColor indexed="62"/>
        <bgColor indexed="64"/>
      </patternFill>
    </fill>
    <fill>
      <patternFill patternType="solid">
        <fgColor indexed="56"/>
        <bgColor indexed="64"/>
      </patternFill>
    </fill>
    <fill>
      <patternFill patternType="solid">
        <fgColor indexed="60"/>
        <bgColor indexed="64"/>
      </patternFill>
    </fill>
    <fill>
      <patternFill patternType="solid">
        <fgColor indexed="55"/>
        <bgColor indexed="64"/>
      </patternFill>
    </fill>
    <fill>
      <patternFill patternType="solid">
        <fgColor indexed="54"/>
        <bgColor indexed="64"/>
      </patternFill>
    </fill>
    <fill>
      <patternFill patternType="solid">
        <fgColor indexed="53"/>
        <bgColor indexed="64"/>
      </patternFill>
    </fill>
    <fill>
      <patternFill patternType="solid">
        <fgColor indexed="52"/>
        <bgColor indexed="64"/>
      </patternFill>
    </fill>
  </fills>
  <borders count="23">
    <border>
      <left/>
      <right/>
      <top/>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indexed="64"/>
      </right>
      <top/>
      <bottom style="medium">
        <color indexed="64"/>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diagonal/>
    </border>
  </borders>
  <cellStyleXfs count="19">
    <xf numFmtId="0" fontId="0" fillId="0" borderId="0"/>
    <xf numFmtId="43" fontId="19" fillId="0" borderId="0" applyFont="0" applyFill="0" applyBorder="0" applyAlignment="0" applyProtection="0"/>
    <xf numFmtId="44" fontId="19" fillId="0" borderId="0" applyFont="0" applyFill="0" applyBorder="0" applyAlignment="0" applyProtection="0"/>
    <xf numFmtId="9" fontId="19" fillId="0" borderId="0" applyFont="0" applyFill="0" applyBorder="0" applyAlignment="0" applyProtection="0"/>
    <xf numFmtId="0" fontId="2" fillId="0" borderId="0" applyAlignment="0"/>
    <xf numFmtId="0" fontId="3" fillId="0" borderId="0" applyAlignment="0"/>
    <xf numFmtId="0" fontId="4" fillId="2" borderId="0" applyAlignment="0"/>
    <xf numFmtId="0" fontId="5" fillId="3" borderId="0" applyAlignment="0"/>
    <xf numFmtId="0" fontId="6" fillId="4" borderId="0" applyAlignment="0"/>
    <xf numFmtId="0" fontId="7" fillId="5" borderId="0" applyAlignment="0"/>
    <xf numFmtId="0" fontId="8" fillId="0" borderId="0" applyAlignment="0"/>
    <xf numFmtId="0" fontId="9" fillId="0" borderId="0" applyAlignment="0"/>
    <xf numFmtId="0" fontId="10" fillId="0" borderId="0" applyAlignment="0"/>
    <xf numFmtId="0" fontId="11" fillId="0" borderId="0" applyAlignment="0"/>
    <xf numFmtId="0" fontId="12" fillId="0" borderId="0" applyAlignment="0"/>
    <xf numFmtId="0" fontId="11" fillId="0" borderId="0" applyAlignment="0"/>
    <xf numFmtId="0" fontId="13" fillId="0" borderId="0" applyAlignment="0"/>
    <xf numFmtId="0" fontId="14" fillId="0" borderId="0" applyAlignment="0"/>
    <xf numFmtId="0" fontId="15" fillId="0" borderId="0" applyAlignment="0"/>
  </cellStyleXfs>
  <cellXfs count="130">
    <xf numFmtId="0" fontId="1" fillId="0" borderId="0" xfId="0" applyFont="1" applyAlignment="1"/>
    <xf numFmtId="0" fontId="2" fillId="0" borderId="0" xfId="0" applyNumberFormat="1" applyFont="1" applyAlignment="1"/>
    <xf numFmtId="0" fontId="6" fillId="4" borderId="0" xfId="0" applyFont="1" applyFill="1" applyAlignment="1"/>
    <xf numFmtId="0" fontId="16" fillId="0" borderId="0" xfId="0" applyFont="1" applyAlignment="1"/>
    <xf numFmtId="0" fontId="1" fillId="0" borderId="0" xfId="0" applyFont="1" applyAlignment="1">
      <alignment horizontal="left"/>
    </xf>
    <xf numFmtId="164" fontId="1" fillId="0" borderId="0" xfId="0" applyNumberFormat="1" applyFont="1" applyAlignment="1">
      <alignment horizontal="left"/>
    </xf>
    <xf numFmtId="0" fontId="8" fillId="0" borderId="0" xfId="0" applyNumberFormat="1" applyFont="1" applyAlignment="1">
      <alignment horizontal="left" vertical="top"/>
    </xf>
    <xf numFmtId="0" fontId="11" fillId="5" borderId="0" xfId="0" applyFont="1" applyFill="1" applyAlignment="1">
      <alignment horizontal="left" vertical="top" wrapText="1"/>
    </xf>
    <xf numFmtId="0" fontId="11" fillId="0" borderId="0" xfId="0" applyFont="1" applyAlignment="1">
      <alignment vertical="top" wrapText="1"/>
    </xf>
    <xf numFmtId="0" fontId="11" fillId="5" borderId="0" xfId="0" applyFont="1" applyFill="1" applyAlignment="1">
      <alignment vertical="top" wrapText="1"/>
    </xf>
    <xf numFmtId="0" fontId="1" fillId="0" borderId="0" xfId="0" applyFont="1" applyAlignment="1">
      <alignment vertical="top" wrapText="1"/>
    </xf>
    <xf numFmtId="0" fontId="11" fillId="5" borderId="0" xfId="0" applyFont="1" applyFill="1" applyAlignment="1">
      <alignment horizontal="right" vertical="top" wrapText="1"/>
    </xf>
    <xf numFmtId="165" fontId="8" fillId="0" borderId="0" xfId="0" applyNumberFormat="1" applyFont="1" applyAlignment="1">
      <alignment horizontal="right" vertical="top" wrapText="1"/>
    </xf>
    <xf numFmtId="166" fontId="8" fillId="0" borderId="0" xfId="0" applyNumberFormat="1" applyFont="1" applyAlignment="1">
      <alignment horizontal="right" vertical="top" wrapText="1"/>
    </xf>
    <xf numFmtId="0" fontId="8" fillId="0" borderId="0" xfId="0" applyNumberFormat="1" applyFont="1" applyAlignment="1">
      <alignment horizontal="right" vertical="top" wrapText="1"/>
    </xf>
    <xf numFmtId="0" fontId="11" fillId="5" borderId="0" xfId="0" applyFont="1" applyFill="1" applyAlignment="1">
      <alignment horizontal="center" vertical="top" wrapText="1"/>
    </xf>
    <xf numFmtId="164" fontId="8" fillId="0" borderId="0" xfId="0" applyNumberFormat="1" applyFont="1" applyAlignment="1">
      <alignment horizontal="center" vertical="top" wrapText="1"/>
    </xf>
    <xf numFmtId="0" fontId="8" fillId="0" borderId="0" xfId="0" applyNumberFormat="1" applyFont="1" applyAlignment="1">
      <alignment horizontal="center" vertical="top" wrapText="1"/>
    </xf>
    <xf numFmtId="0" fontId="1" fillId="0" borderId="0" xfId="0" applyFont="1" applyAlignment="1">
      <alignment horizontal="right" wrapText="1"/>
    </xf>
    <xf numFmtId="168" fontId="8" fillId="0" borderId="0" xfId="0" applyNumberFormat="1" applyFont="1" applyAlignment="1">
      <alignment horizontal="right" vertical="top" wrapText="1"/>
    </xf>
    <xf numFmtId="169" fontId="8" fillId="0" borderId="0" xfId="0" applyNumberFormat="1" applyFont="1" applyAlignment="1">
      <alignment horizontal="right" vertical="top" wrapText="1"/>
    </xf>
    <xf numFmtId="170" fontId="8" fillId="0" borderId="0" xfId="0" applyNumberFormat="1" applyFont="1" applyAlignment="1">
      <alignment horizontal="right" vertical="top" wrapText="1"/>
    </xf>
    <xf numFmtId="167" fontId="8" fillId="0" borderId="0" xfId="0" applyNumberFormat="1" applyFont="1" applyAlignment="1">
      <alignment horizontal="right" vertical="top" wrapText="1"/>
    </xf>
    <xf numFmtId="0" fontId="8" fillId="0" borderId="0" xfId="0" applyNumberFormat="1" applyFont="1" applyAlignment="1">
      <alignment horizontal="left" vertical="top" wrapText="1"/>
    </xf>
    <xf numFmtId="165" fontId="8" fillId="0" borderId="0" xfId="0" applyNumberFormat="1" applyFont="1" applyAlignment="1">
      <alignment vertical="top" wrapText="1"/>
    </xf>
    <xf numFmtId="0" fontId="11" fillId="0" borderId="0" xfId="0" applyNumberFormat="1" applyFont="1" applyAlignment="1">
      <alignment vertical="top" wrapText="1"/>
    </xf>
    <xf numFmtId="0" fontId="1" fillId="0" borderId="0" xfId="0" applyFont="1" applyAlignment="1">
      <alignment horizontal="center" vertical="top" wrapText="1"/>
    </xf>
    <xf numFmtId="0" fontId="8" fillId="0" borderId="0" xfId="0" applyNumberFormat="1" applyFont="1" applyAlignment="1">
      <alignment vertical="top" wrapText="1"/>
    </xf>
    <xf numFmtId="0" fontId="11" fillId="5" borderId="1" xfId="0" applyFont="1" applyFill="1" applyBorder="1" applyAlignment="1">
      <alignment horizontal="left" vertical="top" wrapText="1"/>
    </xf>
    <xf numFmtId="0" fontId="11" fillId="5" borderId="1" xfId="0" applyFont="1" applyFill="1" applyBorder="1" applyAlignment="1">
      <alignment horizontal="center" vertical="center" wrapText="1"/>
    </xf>
    <xf numFmtId="171" fontId="17" fillId="6" borderId="1" xfId="0" applyNumberFormat="1" applyFont="1" applyFill="1" applyBorder="1" applyAlignment="1">
      <alignment horizontal="center" vertical="top" wrapText="1"/>
    </xf>
    <xf numFmtId="171" fontId="17" fillId="7" borderId="1" xfId="0" applyNumberFormat="1" applyFont="1" applyFill="1" applyBorder="1" applyAlignment="1">
      <alignment horizontal="center" vertical="top" wrapText="1"/>
    </xf>
    <xf numFmtId="171" fontId="17" fillId="8" borderId="1" xfId="0" applyNumberFormat="1" applyFont="1" applyFill="1" applyBorder="1" applyAlignment="1">
      <alignment horizontal="center" vertical="top" wrapText="1"/>
    </xf>
    <xf numFmtId="171" fontId="17" fillId="9" borderId="1" xfId="0" applyNumberFormat="1" applyFont="1" applyFill="1" applyBorder="1" applyAlignment="1">
      <alignment horizontal="center" vertical="top" wrapText="1"/>
    </xf>
    <xf numFmtId="0" fontId="11" fillId="5" borderId="1" xfId="0" applyFont="1" applyFill="1" applyBorder="1" applyAlignment="1">
      <alignment horizontal="center" vertical="top" wrapText="1"/>
    </xf>
    <xf numFmtId="164" fontId="8" fillId="0" borderId="1" xfId="0" applyNumberFormat="1" applyFont="1" applyBorder="1" applyAlignment="1">
      <alignment horizontal="center" vertical="top" wrapText="1"/>
    </xf>
    <xf numFmtId="0" fontId="8" fillId="0" borderId="1" xfId="0" applyNumberFormat="1" applyFont="1" applyBorder="1" applyAlignment="1">
      <alignment horizontal="center" vertical="top" wrapText="1"/>
    </xf>
    <xf numFmtId="0" fontId="8" fillId="0" borderId="1" xfId="0" applyNumberFormat="1" applyFont="1" applyBorder="1" applyAlignment="1">
      <alignment horizontal="left" vertical="top" wrapText="1"/>
    </xf>
    <xf numFmtId="0" fontId="1" fillId="0" borderId="0" xfId="0" applyFont="1" applyAlignment="1">
      <alignment horizontal="left" wrapText="1"/>
    </xf>
    <xf numFmtId="0" fontId="1" fillId="0" borderId="0" xfId="0" applyFont="1" applyAlignment="1">
      <alignment vertical="center" wrapText="1"/>
    </xf>
    <xf numFmtId="0" fontId="1" fillId="0" borderId="0" xfId="0" applyFont="1" applyAlignment="1">
      <alignment wrapText="1"/>
    </xf>
    <xf numFmtId="0" fontId="13" fillId="0" borderId="0" xfId="16" applyFont="1" applyAlignment="1"/>
    <xf numFmtId="0" fontId="18" fillId="0" borderId="0" xfId="0" applyNumberFormat="1" applyFont="1" applyFill="1" applyBorder="1" applyAlignment="1" applyProtection="1"/>
    <xf numFmtId="0" fontId="1" fillId="0" borderId="0" xfId="0" applyFont="1" applyFill="1" applyBorder="1" applyAlignment="1"/>
    <xf numFmtId="9" fontId="1" fillId="0" borderId="4" xfId="0" applyNumberFormat="1" applyFont="1" applyFill="1" applyBorder="1" applyAlignment="1"/>
    <xf numFmtId="9" fontId="1" fillId="0" borderId="5" xfId="0" applyNumberFormat="1" applyFont="1" applyFill="1" applyBorder="1" applyAlignment="1"/>
    <xf numFmtId="9" fontId="1" fillId="0" borderId="8" xfId="0" applyNumberFormat="1" applyFont="1" applyFill="1" applyBorder="1" applyAlignment="1"/>
    <xf numFmtId="9" fontId="1" fillId="0" borderId="14" xfId="0" applyNumberFormat="1" applyFont="1" applyFill="1" applyBorder="1" applyAlignment="1"/>
    <xf numFmtId="9" fontId="1" fillId="0" borderId="15" xfId="0" applyNumberFormat="1" applyFont="1" applyFill="1" applyBorder="1" applyAlignment="1"/>
    <xf numFmtId="9" fontId="20" fillId="0" borderId="15" xfId="0" applyNumberFormat="1" applyFont="1" applyFill="1" applyBorder="1" applyAlignment="1"/>
    <xf numFmtId="9" fontId="1" fillId="0" borderId="17" xfId="0" applyNumberFormat="1" applyFont="1" applyFill="1" applyBorder="1" applyAlignment="1"/>
    <xf numFmtId="0" fontId="1" fillId="0" borderId="18" xfId="0" applyFont="1" applyFill="1" applyBorder="1" applyAlignment="1"/>
    <xf numFmtId="0" fontId="1" fillId="0" borderId="10" xfId="0" applyFont="1" applyFill="1" applyBorder="1" applyAlignment="1"/>
    <xf numFmtId="169" fontId="1" fillId="0" borderId="2" xfId="0" applyNumberFormat="1" applyFont="1" applyFill="1" applyBorder="1" applyAlignment="1">
      <alignment horizontal="right" vertical="top" wrapText="1"/>
    </xf>
    <xf numFmtId="170" fontId="1" fillId="0" borderId="2" xfId="0" applyNumberFormat="1" applyFont="1" applyFill="1" applyBorder="1" applyAlignment="1">
      <alignment horizontal="right" vertical="top" wrapText="1"/>
    </xf>
    <xf numFmtId="167" fontId="1" fillId="0" borderId="2" xfId="0" applyNumberFormat="1" applyFont="1" applyFill="1" applyBorder="1" applyAlignment="1">
      <alignment horizontal="right" vertical="top" wrapText="1"/>
    </xf>
    <xf numFmtId="0" fontId="1" fillId="0" borderId="2" xfId="0" applyNumberFormat="1" applyFont="1" applyFill="1" applyBorder="1" applyAlignment="1">
      <alignment horizontal="right" vertical="top" wrapText="1"/>
    </xf>
    <xf numFmtId="0" fontId="16" fillId="0" borderId="5" xfId="0" applyFont="1" applyFill="1" applyBorder="1" applyAlignment="1">
      <alignment horizontal="left" vertical="top" wrapText="1"/>
    </xf>
    <xf numFmtId="169" fontId="1" fillId="0" borderId="9" xfId="0" applyNumberFormat="1" applyFont="1" applyFill="1" applyBorder="1" applyAlignment="1">
      <alignment horizontal="right" vertical="top" wrapText="1"/>
    </xf>
    <xf numFmtId="170" fontId="1" fillId="0" borderId="9" xfId="0" applyNumberFormat="1" applyFont="1" applyFill="1" applyBorder="1" applyAlignment="1">
      <alignment horizontal="right" vertical="top" wrapText="1"/>
    </xf>
    <xf numFmtId="167" fontId="1" fillId="0" borderId="9" xfId="0" applyNumberFormat="1" applyFont="1" applyFill="1" applyBorder="1" applyAlignment="1">
      <alignment horizontal="right" vertical="top" wrapText="1"/>
    </xf>
    <xf numFmtId="165" fontId="1" fillId="0" borderId="12" xfId="0" applyNumberFormat="1" applyFont="1" applyFill="1" applyBorder="1" applyAlignment="1">
      <alignment horizontal="right" vertical="top" wrapText="1"/>
    </xf>
    <xf numFmtId="165" fontId="1" fillId="0" borderId="13" xfId="0" applyNumberFormat="1" applyFont="1" applyFill="1" applyBorder="1" applyAlignment="1">
      <alignment horizontal="right" vertical="top" wrapText="1"/>
    </xf>
    <xf numFmtId="0" fontId="16" fillId="0" borderId="19" xfId="0" applyFont="1" applyFill="1" applyBorder="1" applyAlignment="1">
      <alignment horizontal="left" vertical="top" wrapText="1"/>
    </xf>
    <xf numFmtId="0" fontId="16" fillId="0" borderId="20" xfId="0" applyFont="1" applyFill="1" applyBorder="1" applyAlignment="1">
      <alignment horizontal="left" vertical="top" wrapText="1"/>
    </xf>
    <xf numFmtId="0" fontId="16" fillId="0" borderId="21" xfId="0" applyFont="1" applyFill="1" applyBorder="1" applyAlignment="1">
      <alignment horizontal="right" vertical="top" wrapText="1"/>
    </xf>
    <xf numFmtId="0" fontId="16" fillId="0" borderId="16" xfId="0" applyFont="1" applyFill="1" applyBorder="1" applyAlignment="1">
      <alignment horizontal="right" vertical="top" wrapText="1"/>
    </xf>
    <xf numFmtId="169" fontId="1" fillId="0" borderId="4" xfId="0" applyNumberFormat="1" applyFont="1" applyFill="1" applyBorder="1" applyAlignment="1">
      <alignment horizontal="right" vertical="top" wrapText="1"/>
    </xf>
    <xf numFmtId="169" fontId="1" fillId="0" borderId="8" xfId="0" applyNumberFormat="1" applyFont="1" applyFill="1" applyBorder="1" applyAlignment="1">
      <alignment horizontal="right" vertical="top" wrapText="1"/>
    </xf>
    <xf numFmtId="169" fontId="1" fillId="0" borderId="5" xfId="0" applyNumberFormat="1" applyFont="1" applyFill="1" applyBorder="1" applyAlignment="1">
      <alignment horizontal="right" vertical="top" wrapText="1"/>
    </xf>
    <xf numFmtId="169" fontId="1" fillId="0" borderId="6" xfId="0" applyNumberFormat="1" applyFont="1" applyFill="1" applyBorder="1" applyAlignment="1">
      <alignment horizontal="right" vertical="top" wrapText="1"/>
    </xf>
    <xf numFmtId="170" fontId="1" fillId="0" borderId="6" xfId="0" applyNumberFormat="1" applyFont="1" applyFill="1" applyBorder="1" applyAlignment="1">
      <alignment horizontal="right" vertical="top" wrapText="1"/>
    </xf>
    <xf numFmtId="167" fontId="1" fillId="0" borderId="6" xfId="0" applyNumberFormat="1" applyFont="1" applyFill="1" applyBorder="1" applyAlignment="1">
      <alignment horizontal="right" vertical="top" wrapText="1"/>
    </xf>
    <xf numFmtId="165" fontId="1" fillId="0" borderId="11" xfId="0" applyNumberFormat="1" applyFont="1" applyFill="1" applyBorder="1" applyAlignment="1">
      <alignment horizontal="right" vertical="top" wrapText="1"/>
    </xf>
    <xf numFmtId="9" fontId="1" fillId="0" borderId="6" xfId="3" applyFont="1" applyFill="1" applyBorder="1" applyAlignment="1"/>
    <xf numFmtId="9" fontId="1" fillId="0" borderId="2" xfId="3" applyFont="1" applyFill="1" applyBorder="1" applyAlignment="1"/>
    <xf numFmtId="9" fontId="1" fillId="0" borderId="9" xfId="3" applyFont="1" applyFill="1" applyBorder="1" applyAlignment="1"/>
    <xf numFmtId="168" fontId="1" fillId="0" borderId="6" xfId="3" applyNumberFormat="1" applyFont="1" applyFill="1" applyBorder="1" applyAlignment="1"/>
    <xf numFmtId="168" fontId="1" fillId="0" borderId="2" xfId="3" applyNumberFormat="1" applyFont="1" applyFill="1" applyBorder="1" applyAlignment="1"/>
    <xf numFmtId="168" fontId="1" fillId="0" borderId="9" xfId="3" applyNumberFormat="1" applyFont="1" applyFill="1" applyBorder="1" applyAlignment="1"/>
    <xf numFmtId="43" fontId="1" fillId="0" borderId="11" xfId="1" applyFont="1" applyFill="1" applyBorder="1" applyAlignment="1"/>
    <xf numFmtId="43" fontId="1" fillId="0" borderId="12" xfId="1" applyFont="1" applyFill="1" applyBorder="1" applyAlignment="1"/>
    <xf numFmtId="43" fontId="1" fillId="0" borderId="13" xfId="1" applyFont="1" applyFill="1" applyBorder="1" applyAlignment="1"/>
    <xf numFmtId="0" fontId="0" fillId="0" borderId="0" xfId="0"/>
    <xf numFmtId="0" fontId="0" fillId="0" borderId="4" xfId="0" applyBorder="1"/>
    <xf numFmtId="0" fontId="0" fillId="0" borderId="5" xfId="0" applyBorder="1"/>
    <xf numFmtId="0" fontId="0" fillId="0" borderId="6" xfId="0" applyBorder="1"/>
    <xf numFmtId="0" fontId="0" fillId="0" borderId="8" xfId="0" applyBorder="1"/>
    <xf numFmtId="0" fontId="0" fillId="0" borderId="11" xfId="0" applyBorder="1"/>
    <xf numFmtId="0" fontId="0" fillId="0" borderId="5" xfId="0" applyBorder="1" applyAlignment="1">
      <alignment wrapText="1"/>
    </xf>
    <xf numFmtId="0" fontId="0" fillId="0" borderId="6" xfId="0" applyBorder="1" applyAlignment="1">
      <alignment wrapText="1"/>
    </xf>
    <xf numFmtId="0" fontId="0" fillId="0" borderId="11" xfId="0" applyBorder="1" applyAlignment="1">
      <alignment wrapText="1"/>
    </xf>
    <xf numFmtId="0" fontId="0" fillId="0" borderId="4" xfId="0" applyBorder="1" applyAlignment="1">
      <alignment wrapText="1"/>
    </xf>
    <xf numFmtId="0" fontId="0" fillId="0" borderId="8" xfId="0" applyBorder="1" applyAlignment="1">
      <alignment wrapText="1"/>
    </xf>
    <xf numFmtId="168" fontId="0" fillId="0" borderId="6" xfId="0" applyNumberFormat="1" applyBorder="1"/>
    <xf numFmtId="168" fontId="0" fillId="0" borderId="11" xfId="0" applyNumberFormat="1" applyBorder="1"/>
    <xf numFmtId="168" fontId="0" fillId="0" borderId="2" xfId="0" applyNumberFormat="1" applyBorder="1"/>
    <xf numFmtId="168" fontId="0" fillId="0" borderId="12" xfId="0" applyNumberFormat="1" applyBorder="1"/>
    <xf numFmtId="168" fontId="0" fillId="0" borderId="9" xfId="0" applyNumberFormat="1" applyBorder="1"/>
    <xf numFmtId="168" fontId="0" fillId="0" borderId="13" xfId="0" applyNumberFormat="1" applyBorder="1"/>
    <xf numFmtId="0" fontId="0" fillId="0" borderId="7" xfId="0" applyBorder="1"/>
    <xf numFmtId="0" fontId="0" fillId="0" borderId="22" xfId="0" applyBorder="1"/>
    <xf numFmtId="0" fontId="0" fillId="0" borderId="0" xfId="0" applyBorder="1" applyAlignment="1">
      <alignment wrapText="1"/>
    </xf>
    <xf numFmtId="9" fontId="21" fillId="0" borderId="0" xfId="3" applyFont="1"/>
    <xf numFmtId="44" fontId="0" fillId="0" borderId="2" xfId="2" applyFont="1" applyBorder="1" applyAlignment="1">
      <alignment wrapText="1"/>
    </xf>
    <xf numFmtId="44" fontId="0" fillId="0" borderId="9" xfId="2" applyFont="1" applyBorder="1" applyAlignment="1">
      <alignment wrapText="1"/>
    </xf>
    <xf numFmtId="43" fontId="0" fillId="0" borderId="2" xfId="1" applyFont="1" applyBorder="1" applyAlignment="1">
      <alignment wrapText="1"/>
    </xf>
    <xf numFmtId="43" fontId="0" fillId="0" borderId="9" xfId="1" applyFont="1" applyBorder="1" applyAlignment="1">
      <alignment wrapText="1"/>
    </xf>
    <xf numFmtId="168" fontId="0" fillId="0" borderId="2" xfId="2" applyNumberFormat="1" applyFont="1" applyBorder="1" applyAlignment="1">
      <alignment wrapText="1"/>
    </xf>
    <xf numFmtId="168" fontId="0" fillId="0" borderId="12" xfId="2" applyNumberFormat="1" applyFont="1" applyBorder="1" applyAlignment="1">
      <alignment wrapText="1"/>
    </xf>
    <xf numFmtId="168" fontId="0" fillId="0" borderId="9" xfId="2" applyNumberFormat="1" applyFont="1" applyBorder="1" applyAlignment="1">
      <alignment wrapText="1"/>
    </xf>
    <xf numFmtId="168" fontId="0" fillId="0" borderId="13" xfId="2" applyNumberFormat="1" applyFont="1" applyBorder="1" applyAlignment="1">
      <alignment wrapText="1"/>
    </xf>
    <xf numFmtId="9" fontId="0" fillId="0" borderId="5" xfId="3" applyFont="1" applyBorder="1"/>
    <xf numFmtId="9" fontId="0" fillId="0" borderId="4" xfId="3" applyFont="1" applyBorder="1"/>
    <xf numFmtId="9" fontId="0" fillId="0" borderId="8" xfId="3" applyFont="1" applyBorder="1"/>
    <xf numFmtId="44" fontId="0" fillId="0" borderId="2" xfId="2" applyFont="1" applyBorder="1"/>
    <xf numFmtId="44" fontId="0" fillId="0" borderId="12" xfId="2" applyFont="1" applyBorder="1"/>
    <xf numFmtId="44" fontId="0" fillId="0" borderId="3" xfId="2" applyFont="1" applyBorder="1"/>
    <xf numFmtId="44" fontId="0" fillId="0" borderId="9" xfId="2" applyFont="1" applyBorder="1"/>
    <xf numFmtId="44" fontId="0" fillId="0" borderId="13" xfId="2" applyFont="1" applyBorder="1"/>
    <xf numFmtId="44" fontId="0" fillId="0" borderId="11" xfId="2" applyFont="1" applyBorder="1"/>
    <xf numFmtId="44" fontId="0" fillId="0" borderId="0" xfId="2" applyFont="1"/>
    <xf numFmtId="9" fontId="0" fillId="0" borderId="2" xfId="3" applyFont="1" applyBorder="1"/>
    <xf numFmtId="9" fontId="0" fillId="0" borderId="12" xfId="3" applyFont="1" applyBorder="1"/>
    <xf numFmtId="168" fontId="0" fillId="0" borderId="2" xfId="2" applyNumberFormat="1" applyFont="1" applyBorder="1"/>
    <xf numFmtId="168" fontId="0" fillId="0" borderId="12" xfId="2" applyNumberFormat="1" applyFont="1" applyBorder="1"/>
    <xf numFmtId="43" fontId="0" fillId="0" borderId="2" xfId="1" applyFont="1" applyBorder="1"/>
    <xf numFmtId="43" fontId="0" fillId="0" borderId="12" xfId="1" applyFont="1" applyBorder="1"/>
    <xf numFmtId="9" fontId="0" fillId="0" borderId="13" xfId="3" applyFont="1" applyBorder="1"/>
    <xf numFmtId="9" fontId="21" fillId="0" borderId="15" xfId="3" applyFont="1" applyBorder="1"/>
  </cellXfs>
  <cellStyles count="19">
    <cellStyle name="ChartingText" xfId="17" xr:uid="{00000000-0005-0000-0000-000013000000}"/>
    <cellStyle name="CHPTop" xfId="18" xr:uid="{00000000-0005-0000-0000-000014000000}"/>
    <cellStyle name="ColumnHeaderNormal" xfId="9" xr:uid="{00000000-0005-0000-0000-00000B000000}"/>
    <cellStyle name="Comma" xfId="1" builtinId="3"/>
    <cellStyle name="Currency" xfId="2" builtinId="4"/>
    <cellStyle name="Invisible" xfId="16" xr:uid="{00000000-0005-0000-0000-000012000000}"/>
    <cellStyle name="NewColumnHeaderNormal" xfId="7" xr:uid="{00000000-0005-0000-0000-000009000000}"/>
    <cellStyle name="NewSectionHeaderNormal" xfId="6" xr:uid="{00000000-0005-0000-0000-000008000000}"/>
    <cellStyle name="NewTitleNormal" xfId="5" xr:uid="{00000000-0005-0000-0000-000007000000}"/>
    <cellStyle name="Normal" xfId="0" builtinId="0"/>
    <cellStyle name="Percent" xfId="3" builtinId="5"/>
    <cellStyle name="SectionHeaderNormal" xfId="8" xr:uid="{00000000-0005-0000-0000-00000A000000}"/>
    <cellStyle name="SubScript" xfId="12" xr:uid="{00000000-0005-0000-0000-00000E000000}"/>
    <cellStyle name="SuperScript" xfId="11" xr:uid="{00000000-0005-0000-0000-00000D000000}"/>
    <cellStyle name="TextBold" xfId="13" xr:uid="{00000000-0005-0000-0000-00000F000000}"/>
    <cellStyle name="TextItalic" xfId="14" xr:uid="{00000000-0005-0000-0000-000010000000}"/>
    <cellStyle name="TextNormal" xfId="10" xr:uid="{00000000-0005-0000-0000-00000C000000}"/>
    <cellStyle name="TitleNormal" xfId="4" xr:uid="{00000000-0005-0000-0000-000006000000}"/>
    <cellStyle name="Total" xfId="15" xr:uid="{00000000-0005-0000-0000-000011000000}"/>
  </cellStyles>
  <dxfs count="4">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C1302E"/>
      <rgbColor rgb="00F1C671"/>
      <rgbColor rgb="008AC37F"/>
      <rgbColor rgb="00009933"/>
      <rgbColor rgb="00002060"/>
      <rgbColor rgb="00FA4040"/>
      <rgbColor rgb="00FFFFEB"/>
      <rgbColor rgb="00EEEEEE"/>
      <rgbColor rgb="00F0F0DC"/>
      <rgbColor rgb="00993366"/>
      <rgbColor rgb="00F5F5E1"/>
      <rgbColor rgb="00004080"/>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3.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AF91023B-D739-42E6-8DC1-16AF38852B22}"/>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47</xdr:row>
      <xdr:rowOff>0</xdr:rowOff>
    </xdr:from>
    <xdr:to>
      <xdr:col>3</xdr:col>
      <xdr:colOff>764586</xdr:colOff>
      <xdr:row>49</xdr:row>
      <xdr:rowOff>122709</xdr:rowOff>
    </xdr:to>
    <xdr:pic>
      <xdr:nvPicPr>
        <xdr:cNvPr id="3" name="Picture 3">
          <a:extLst>
            <a:ext uri="{FF2B5EF4-FFF2-40B4-BE49-F238E27FC236}">
              <a16:creationId xmlns:a16="http://schemas.microsoft.com/office/drawing/2014/main" id="{D4F89C01-38E0-4160-8CA4-014BDC9A4956}"/>
            </a:ext>
          </a:extLst>
        </xdr:cNvPr>
        <xdr:cNvPicPr>
          <a:picLocks noChangeAspect="1"/>
        </xdr:cNvPicPr>
      </xdr:nvPicPr>
      <xdr:blipFill>
        <a:blip xmlns:r="http://schemas.openxmlformats.org/officeDocument/2006/relationships" r:embed="rId2"/>
        <a:stretch>
          <a:fillRect/>
        </a:stretch>
      </xdr:blipFill>
      <xdr:spPr>
        <a:xfrm>
          <a:off x="5972175" y="7829550"/>
          <a:ext cx="762000" cy="6000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1DB4E46B-A389-4E56-A4D4-CDF956130466}"/>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49</xdr:row>
      <xdr:rowOff>0</xdr:rowOff>
    </xdr:from>
    <xdr:to>
      <xdr:col>3</xdr:col>
      <xdr:colOff>764586</xdr:colOff>
      <xdr:row>51</xdr:row>
      <xdr:rowOff>122709</xdr:rowOff>
    </xdr:to>
    <xdr:pic>
      <xdr:nvPicPr>
        <xdr:cNvPr id="3" name="Picture 3">
          <a:extLst>
            <a:ext uri="{FF2B5EF4-FFF2-40B4-BE49-F238E27FC236}">
              <a16:creationId xmlns:a16="http://schemas.microsoft.com/office/drawing/2014/main" id="{01BC0856-3C09-4372-88BA-99D2AED9AE20}"/>
            </a:ext>
          </a:extLst>
        </xdr:cNvPr>
        <xdr:cNvPicPr>
          <a:picLocks noChangeAspect="1"/>
        </xdr:cNvPicPr>
      </xdr:nvPicPr>
      <xdr:blipFill>
        <a:blip xmlns:r="http://schemas.openxmlformats.org/officeDocument/2006/relationships" r:embed="rId2"/>
        <a:stretch>
          <a:fillRect/>
        </a:stretch>
      </xdr:blipFill>
      <xdr:spPr>
        <a:xfrm>
          <a:off x="5972175" y="7829550"/>
          <a:ext cx="762000" cy="6000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CFDA9477-46F8-4244-A388-7EE2FB63CA55}"/>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49</xdr:row>
      <xdr:rowOff>0</xdr:rowOff>
    </xdr:from>
    <xdr:to>
      <xdr:col>3</xdr:col>
      <xdr:colOff>764586</xdr:colOff>
      <xdr:row>51</xdr:row>
      <xdr:rowOff>122709</xdr:rowOff>
    </xdr:to>
    <xdr:pic>
      <xdr:nvPicPr>
        <xdr:cNvPr id="3" name="Picture 3">
          <a:extLst>
            <a:ext uri="{FF2B5EF4-FFF2-40B4-BE49-F238E27FC236}">
              <a16:creationId xmlns:a16="http://schemas.microsoft.com/office/drawing/2014/main" id="{92DB7382-3B4A-4EDE-B9DD-D6D63CE00F48}"/>
            </a:ext>
          </a:extLst>
        </xdr:cNvPr>
        <xdr:cNvPicPr>
          <a:picLocks noChangeAspect="1"/>
        </xdr:cNvPicPr>
      </xdr:nvPicPr>
      <xdr:blipFill>
        <a:blip xmlns:r="http://schemas.openxmlformats.org/officeDocument/2006/relationships" r:embed="rId2"/>
        <a:stretch>
          <a:fillRect/>
        </a:stretch>
      </xdr:blipFill>
      <xdr:spPr>
        <a:xfrm>
          <a:off x="5972175" y="7829550"/>
          <a:ext cx="762000" cy="6000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4A590554-18DD-44F3-AF23-B079D70674C4}"/>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43</xdr:row>
      <xdr:rowOff>0</xdr:rowOff>
    </xdr:from>
    <xdr:to>
      <xdr:col>4</xdr:col>
      <xdr:colOff>146921</xdr:colOff>
      <xdr:row>45</xdr:row>
      <xdr:rowOff>122709</xdr:rowOff>
    </xdr:to>
    <xdr:pic>
      <xdr:nvPicPr>
        <xdr:cNvPr id="3" name="Picture 3">
          <a:extLst>
            <a:ext uri="{FF2B5EF4-FFF2-40B4-BE49-F238E27FC236}">
              <a16:creationId xmlns:a16="http://schemas.microsoft.com/office/drawing/2014/main" id="{F24B087E-A86B-417B-900C-FDBD9ECA54E0}"/>
            </a:ext>
          </a:extLst>
        </xdr:cNvPr>
        <xdr:cNvPicPr>
          <a:picLocks noChangeAspect="1"/>
        </xdr:cNvPicPr>
      </xdr:nvPicPr>
      <xdr:blipFill>
        <a:blip xmlns:r="http://schemas.openxmlformats.org/officeDocument/2006/relationships" r:embed="rId2"/>
        <a:stretch>
          <a:fillRect/>
        </a:stretch>
      </xdr:blipFill>
      <xdr:spPr>
        <a:xfrm>
          <a:off x="6638925" y="6858000"/>
          <a:ext cx="762000" cy="60007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917572</xdr:colOff>
      <xdr:row>2</xdr:row>
      <xdr:rowOff>113854</xdr:rowOff>
    </xdr:to>
    <xdr:pic>
      <xdr:nvPicPr>
        <xdr:cNvPr id="2" name="Picture 2">
          <a:extLst>
            <a:ext uri="{FF2B5EF4-FFF2-40B4-BE49-F238E27FC236}">
              <a16:creationId xmlns:a16="http://schemas.microsoft.com/office/drawing/2014/main" id="{323CBD0C-F382-4210-9DA7-BCD758009579}"/>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68</xdr:row>
      <xdr:rowOff>0</xdr:rowOff>
    </xdr:from>
    <xdr:to>
      <xdr:col>3</xdr:col>
      <xdr:colOff>764363</xdr:colOff>
      <xdr:row>70</xdr:row>
      <xdr:rowOff>122709</xdr:rowOff>
    </xdr:to>
    <xdr:pic>
      <xdr:nvPicPr>
        <xdr:cNvPr id="3" name="Picture 3">
          <a:extLst>
            <a:ext uri="{FF2B5EF4-FFF2-40B4-BE49-F238E27FC236}">
              <a16:creationId xmlns:a16="http://schemas.microsoft.com/office/drawing/2014/main" id="{33399634-4898-4D1F-BBFB-EA5EFDE9AF36}"/>
            </a:ext>
          </a:extLst>
        </xdr:cNvPr>
        <xdr:cNvPicPr>
          <a:picLocks noChangeAspect="1"/>
        </xdr:cNvPicPr>
      </xdr:nvPicPr>
      <xdr:blipFill>
        <a:blip xmlns:r="http://schemas.openxmlformats.org/officeDocument/2006/relationships" r:embed="rId2"/>
        <a:stretch>
          <a:fillRect/>
        </a:stretch>
      </xdr:blipFill>
      <xdr:spPr>
        <a:xfrm>
          <a:off x="4505325" y="10953750"/>
          <a:ext cx="762000" cy="6000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917572</xdr:colOff>
      <xdr:row>2</xdr:row>
      <xdr:rowOff>113854</xdr:rowOff>
    </xdr:to>
    <xdr:pic>
      <xdr:nvPicPr>
        <xdr:cNvPr id="2" name="Picture 2">
          <a:extLst>
            <a:ext uri="{FF2B5EF4-FFF2-40B4-BE49-F238E27FC236}">
              <a16:creationId xmlns:a16="http://schemas.microsoft.com/office/drawing/2014/main" id="{2D99BD69-7D24-4B01-B600-2C9BB6A752CF}"/>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0</xdr:col>
      <xdr:colOff>8418</xdr:colOff>
      <xdr:row>14</xdr:row>
      <xdr:rowOff>0</xdr:rowOff>
    </xdr:from>
    <xdr:to>
      <xdr:col>3</xdr:col>
      <xdr:colOff>218266</xdr:colOff>
      <xdr:row>14</xdr:row>
      <xdr:rowOff>3807619</xdr:rowOff>
    </xdr:to>
    <xdr:pic>
      <xdr:nvPicPr>
        <xdr:cNvPr id="3" name="Picture 3">
          <a:extLst>
            <a:ext uri="{FF2B5EF4-FFF2-40B4-BE49-F238E27FC236}">
              <a16:creationId xmlns:a16="http://schemas.microsoft.com/office/drawing/2014/main" id="{FA824F66-1EB0-4333-BB82-C5509A2F8C96}"/>
            </a:ext>
          </a:extLst>
        </xdr:cNvPr>
        <xdr:cNvPicPr>
          <a:picLocks noChangeAspect="1"/>
        </xdr:cNvPicPr>
      </xdr:nvPicPr>
      <xdr:blipFill>
        <a:blip xmlns:r="http://schemas.openxmlformats.org/officeDocument/2006/relationships" r:embed="rId2"/>
        <a:stretch>
          <a:fillRect/>
        </a:stretch>
      </xdr:blipFill>
      <xdr:spPr>
        <a:xfrm>
          <a:off x="9525" y="2266950"/>
          <a:ext cx="7610475" cy="3810000"/>
        </a:xfrm>
        <a:prstGeom prst="rect">
          <a:avLst/>
        </a:prstGeom>
      </xdr:spPr>
    </xdr:pic>
    <xdr:clientData/>
  </xdr:twoCellAnchor>
  <xdr:twoCellAnchor>
    <xdr:from>
      <xdr:col>3</xdr:col>
      <xdr:colOff>0</xdr:colOff>
      <xdr:row>31</xdr:row>
      <xdr:rowOff>0</xdr:rowOff>
    </xdr:from>
    <xdr:to>
      <xdr:col>4</xdr:col>
      <xdr:colOff>146921</xdr:colOff>
      <xdr:row>33</xdr:row>
      <xdr:rowOff>122709</xdr:rowOff>
    </xdr:to>
    <xdr:pic>
      <xdr:nvPicPr>
        <xdr:cNvPr id="4" name="Picture 4">
          <a:extLst>
            <a:ext uri="{FF2B5EF4-FFF2-40B4-BE49-F238E27FC236}">
              <a16:creationId xmlns:a16="http://schemas.microsoft.com/office/drawing/2014/main" id="{9504273D-892E-4045-AA91-34EC5776E8E8}"/>
            </a:ext>
          </a:extLst>
        </xdr:cNvPr>
        <xdr:cNvPicPr>
          <a:picLocks noChangeAspect="1"/>
        </xdr:cNvPicPr>
      </xdr:nvPicPr>
      <xdr:blipFill>
        <a:blip xmlns:r="http://schemas.openxmlformats.org/officeDocument/2006/relationships" r:embed="rId3"/>
        <a:stretch>
          <a:fillRect/>
        </a:stretch>
      </xdr:blipFill>
      <xdr:spPr>
        <a:xfrm>
          <a:off x="7400925" y="9934575"/>
          <a:ext cx="762000" cy="6000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3572D425-43B2-4F71-B21C-8C43BB0F5392}"/>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44</xdr:row>
      <xdr:rowOff>0</xdr:rowOff>
    </xdr:from>
    <xdr:to>
      <xdr:col>4</xdr:col>
      <xdr:colOff>49625</xdr:colOff>
      <xdr:row>46</xdr:row>
      <xdr:rowOff>151172</xdr:rowOff>
    </xdr:to>
    <xdr:pic>
      <xdr:nvPicPr>
        <xdr:cNvPr id="3" name="Picture 3">
          <a:extLst>
            <a:ext uri="{FF2B5EF4-FFF2-40B4-BE49-F238E27FC236}">
              <a16:creationId xmlns:a16="http://schemas.microsoft.com/office/drawing/2014/main" id="{2B690CE2-8662-4651-BC94-7D161454387D}"/>
            </a:ext>
          </a:extLst>
        </xdr:cNvPr>
        <xdr:cNvPicPr>
          <a:picLocks noChangeAspect="1"/>
        </xdr:cNvPicPr>
      </xdr:nvPicPr>
      <xdr:blipFill>
        <a:blip xmlns:r="http://schemas.openxmlformats.org/officeDocument/2006/relationships" r:embed="rId2"/>
        <a:stretch>
          <a:fillRect/>
        </a:stretch>
      </xdr:blipFill>
      <xdr:spPr>
        <a:xfrm>
          <a:off x="5038725" y="7019925"/>
          <a:ext cx="971550" cy="628650"/>
        </a:xfrm>
        <a:prstGeom prst="rect">
          <a:avLst/>
        </a:prstGeom>
      </xdr:spPr>
    </xdr:pic>
    <xdr:clientData/>
  </xdr:twoCellAnchor>
  <xdr:twoCellAnchor>
    <xdr:from>
      <xdr:col>0</xdr:col>
      <xdr:colOff>0</xdr:colOff>
      <xdr:row>10</xdr:row>
      <xdr:rowOff>0</xdr:rowOff>
    </xdr:from>
    <xdr:to>
      <xdr:col>1</xdr:col>
      <xdr:colOff>761516</xdr:colOff>
      <xdr:row>11</xdr:row>
      <xdr:rowOff>71475</xdr:rowOff>
    </xdr:to>
    <xdr:pic>
      <xdr:nvPicPr>
        <xdr:cNvPr id="4" name="Picture 4">
          <a:extLst>
            <a:ext uri="{FF2B5EF4-FFF2-40B4-BE49-F238E27FC236}">
              <a16:creationId xmlns:a16="http://schemas.microsoft.com/office/drawing/2014/main" id="{2BE21AA7-3C40-47D2-A0E3-80FDCFD7ED31}"/>
            </a:ext>
          </a:extLst>
        </xdr:cNvPr>
        <xdr:cNvPicPr>
          <a:picLocks noChangeAspect="1"/>
        </xdr:cNvPicPr>
      </xdr:nvPicPr>
      <xdr:blipFill>
        <a:blip xmlns:r="http://schemas.openxmlformats.org/officeDocument/2006/relationships" r:embed="rId3"/>
        <a:stretch>
          <a:fillRect/>
        </a:stretch>
      </xdr:blipFill>
      <xdr:spPr>
        <a:xfrm>
          <a:off x="0" y="1619250"/>
          <a:ext cx="3952875" cy="23812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913507</xdr:colOff>
      <xdr:row>2</xdr:row>
      <xdr:rowOff>113854</xdr:rowOff>
    </xdr:to>
    <xdr:pic>
      <xdr:nvPicPr>
        <xdr:cNvPr id="2" name="Picture 2">
          <a:extLst>
            <a:ext uri="{FF2B5EF4-FFF2-40B4-BE49-F238E27FC236}">
              <a16:creationId xmlns:a16="http://schemas.microsoft.com/office/drawing/2014/main" id="{0619772D-17EF-417D-B2BE-490EF00218A6}"/>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B26AE1-C859-4C1A-AEC0-EAB8C533333C}">
  <sheetPr codeName="Sheet1"/>
  <dimension ref="C5:S44"/>
  <sheetViews>
    <sheetView showGridLines="0" tabSelected="1" workbookViewId="0"/>
  </sheetViews>
  <sheetFormatPr defaultRowHeight="12.5" x14ac:dyDescent="0.25"/>
  <cols>
    <col min="1" max="2" width="8.7265625" style="83"/>
    <col min="3" max="3" width="34.7265625" style="83" bestFit="1" customWidth="1"/>
    <col min="4" max="4" width="19.453125" style="83" bestFit="1" customWidth="1"/>
    <col min="5" max="5" width="22.36328125" style="83" bestFit="1" customWidth="1"/>
    <col min="6" max="6" width="23.36328125" style="83" bestFit="1" customWidth="1"/>
    <col min="7" max="7" width="12.6328125" style="83" bestFit="1" customWidth="1"/>
    <col min="8" max="8" width="24.36328125" style="83" bestFit="1" customWidth="1"/>
    <col min="9" max="9" width="22.81640625" style="83" bestFit="1" customWidth="1"/>
    <col min="10" max="10" width="22.36328125" style="83" bestFit="1" customWidth="1"/>
    <col min="11" max="11" width="19.36328125" style="83" bestFit="1" customWidth="1"/>
    <col min="12" max="12" width="39" style="83" bestFit="1" customWidth="1"/>
    <col min="13" max="13" width="33.90625" style="83" bestFit="1" customWidth="1"/>
    <col min="14" max="14" width="26.1796875" style="83" bestFit="1" customWidth="1"/>
    <col min="15" max="15" width="8.7265625" style="83"/>
    <col min="16" max="16" width="28.1796875" style="83" bestFit="1" customWidth="1"/>
    <col min="17" max="19" width="13.81640625" style="83" bestFit="1" customWidth="1"/>
    <col min="20" max="16384" width="8.7265625" style="83"/>
  </cols>
  <sheetData>
    <row r="5" spans="3:19" ht="13" thickBot="1" x14ac:dyDescent="0.3"/>
    <row r="6" spans="3:19" x14ac:dyDescent="0.25">
      <c r="C6" s="89" t="s">
        <v>8</v>
      </c>
      <c r="D6" s="90" t="s">
        <v>9</v>
      </c>
      <c r="E6" s="90" t="s">
        <v>10</v>
      </c>
      <c r="F6" s="90" t="s">
        <v>11</v>
      </c>
      <c r="G6" s="90" t="s">
        <v>12</v>
      </c>
      <c r="H6" s="90" t="s">
        <v>15</v>
      </c>
      <c r="I6" s="90" t="s">
        <v>22</v>
      </c>
      <c r="J6" s="90" t="s">
        <v>23</v>
      </c>
      <c r="K6" s="90" t="s">
        <v>24</v>
      </c>
      <c r="L6" s="90" t="s">
        <v>55</v>
      </c>
      <c r="M6" s="90" t="s">
        <v>56</v>
      </c>
      <c r="N6" s="91" t="s">
        <v>57</v>
      </c>
      <c r="P6" s="85"/>
      <c r="Q6" s="86" t="s">
        <v>196</v>
      </c>
      <c r="R6" s="86" t="s">
        <v>197</v>
      </c>
      <c r="S6" s="88" t="s">
        <v>198</v>
      </c>
    </row>
    <row r="7" spans="3:19" x14ac:dyDescent="0.25">
      <c r="C7" s="92" t="s">
        <v>25</v>
      </c>
      <c r="D7" s="104">
        <v>198.37</v>
      </c>
      <c r="E7" s="106">
        <v>980.9</v>
      </c>
      <c r="F7" s="104">
        <v>194572.79999999999</v>
      </c>
      <c r="G7" s="104">
        <v>2371</v>
      </c>
      <c r="H7" s="104">
        <v>196943.8</v>
      </c>
      <c r="I7" s="104">
        <v>34639.449999999997</v>
      </c>
      <c r="J7" s="104">
        <v>10354.75</v>
      </c>
      <c r="K7" s="104">
        <v>7.16</v>
      </c>
      <c r="L7" s="108">
        <v>5.69</v>
      </c>
      <c r="M7" s="108">
        <v>19.02</v>
      </c>
      <c r="N7" s="109">
        <v>27.72</v>
      </c>
      <c r="P7" s="84" t="s">
        <v>199</v>
      </c>
      <c r="Q7" s="122">
        <v>0.33333333333333331</v>
      </c>
      <c r="R7" s="122">
        <v>0.33333333333333331</v>
      </c>
      <c r="S7" s="123">
        <v>0.33333333333333331</v>
      </c>
    </row>
    <row r="8" spans="3:19" x14ac:dyDescent="0.25">
      <c r="C8" s="92" t="s">
        <v>27</v>
      </c>
      <c r="D8" s="104">
        <v>107.34</v>
      </c>
      <c r="E8" s="106">
        <v>12697</v>
      </c>
      <c r="F8" s="104">
        <v>1368065.1</v>
      </c>
      <c r="G8" s="104">
        <v>-85609</v>
      </c>
      <c r="H8" s="104">
        <v>1282456.1000000001</v>
      </c>
      <c r="I8" s="104">
        <v>305544.75</v>
      </c>
      <c r="J8" s="104">
        <v>119349.94</v>
      </c>
      <c r="K8" s="104">
        <v>5.55</v>
      </c>
      <c r="L8" s="108">
        <v>4.2</v>
      </c>
      <c r="M8" s="108">
        <v>10.75</v>
      </c>
      <c r="N8" s="109">
        <v>19.34</v>
      </c>
      <c r="P8" s="84" t="s">
        <v>200</v>
      </c>
      <c r="Q8" s="124">
        <f>INDEX(L24:L44,MATCH($L$22,$K$24:$K$44))</f>
        <v>6.36</v>
      </c>
      <c r="R8" s="124">
        <f>INDEX(M24:M44,MATCH($L$22,$K$24:$K$44))</f>
        <v>20.291999999999998</v>
      </c>
      <c r="S8" s="125">
        <f>INDEX(N24:N44,MATCH($L$22,$K$24:$K$44))</f>
        <v>33.198</v>
      </c>
    </row>
    <row r="9" spans="3:19" x14ac:dyDescent="0.25">
      <c r="C9" s="92" t="s">
        <v>28</v>
      </c>
      <c r="D9" s="104">
        <v>94.72</v>
      </c>
      <c r="E9" s="106">
        <v>2699.8</v>
      </c>
      <c r="F9" s="104" t="s">
        <v>26</v>
      </c>
      <c r="G9" s="104">
        <v>83042</v>
      </c>
      <c r="H9" s="104">
        <v>339276.2</v>
      </c>
      <c r="I9" s="104">
        <v>52575.91</v>
      </c>
      <c r="J9" s="104">
        <v>25466.75</v>
      </c>
      <c r="K9" s="104">
        <v>5.45</v>
      </c>
      <c r="L9" s="108">
        <v>6.45</v>
      </c>
      <c r="M9" s="108">
        <v>13.32</v>
      </c>
      <c r="N9" s="109">
        <v>17.36</v>
      </c>
      <c r="P9" s="84" t="s">
        <v>201</v>
      </c>
      <c r="Q9" s="115">
        <v>227770.75</v>
      </c>
      <c r="R9" s="115">
        <v>113453.61</v>
      </c>
      <c r="S9" s="116">
        <v>10.54</v>
      </c>
    </row>
    <row r="10" spans="3:19" x14ac:dyDescent="0.25">
      <c r="C10" s="92" t="s">
        <v>29</v>
      </c>
      <c r="D10" s="104">
        <v>125.03</v>
      </c>
      <c r="E10" s="106">
        <v>428.5</v>
      </c>
      <c r="F10" s="104">
        <v>53573.3</v>
      </c>
      <c r="G10" s="104">
        <v>6377</v>
      </c>
      <c r="H10" s="104">
        <v>59950.3</v>
      </c>
      <c r="I10" s="104">
        <v>14120.92</v>
      </c>
      <c r="J10" s="104">
        <v>5188.47</v>
      </c>
      <c r="K10" s="104">
        <v>6.92</v>
      </c>
      <c r="L10" s="108">
        <v>4.25</v>
      </c>
      <c r="M10" s="108">
        <v>11.55</v>
      </c>
      <c r="N10" s="109">
        <v>18.059999999999999</v>
      </c>
      <c r="P10" s="84" t="s">
        <v>202</v>
      </c>
      <c r="Q10" s="115">
        <f>Q9*Q8</f>
        <v>1448621.97</v>
      </c>
      <c r="R10" s="115">
        <f>R9*R8</f>
        <v>2302200.6541199996</v>
      </c>
      <c r="S10" s="116">
        <f>S12+S11</f>
        <v>2576625.9036599998</v>
      </c>
    </row>
    <row r="11" spans="3:19" x14ac:dyDescent="0.25">
      <c r="C11" s="92" t="s">
        <v>30</v>
      </c>
      <c r="D11" s="104">
        <v>459.42</v>
      </c>
      <c r="E11" s="106">
        <v>203.7</v>
      </c>
      <c r="F11" s="104">
        <v>93602.3</v>
      </c>
      <c r="G11" s="104">
        <v>-2676</v>
      </c>
      <c r="H11" s="104">
        <v>90926.3</v>
      </c>
      <c r="I11" s="104">
        <v>9281.07</v>
      </c>
      <c r="J11" s="104">
        <v>3020.64</v>
      </c>
      <c r="K11" s="104">
        <v>9.8800000000000008</v>
      </c>
      <c r="L11" s="108">
        <v>9.8000000000000007</v>
      </c>
      <c r="M11" s="108">
        <v>30.1</v>
      </c>
      <c r="N11" s="109">
        <v>46.5</v>
      </c>
      <c r="P11" s="84" t="s">
        <v>203</v>
      </c>
      <c r="Q11" s="115">
        <v>-25107</v>
      </c>
      <c r="R11" s="115">
        <v>-25107</v>
      </c>
      <c r="S11" s="116">
        <v>-25107</v>
      </c>
    </row>
    <row r="12" spans="3:19" x14ac:dyDescent="0.25">
      <c r="C12" s="92" t="s">
        <v>31</v>
      </c>
      <c r="D12" s="104">
        <v>148.08000000000001</v>
      </c>
      <c r="E12" s="106">
        <v>325</v>
      </c>
      <c r="F12" s="104">
        <v>48126</v>
      </c>
      <c r="G12" s="104">
        <v>-4829.2</v>
      </c>
      <c r="H12" s="104">
        <v>43308.9</v>
      </c>
      <c r="I12" s="104">
        <v>2886.76</v>
      </c>
      <c r="J12" s="104">
        <v>237.47</v>
      </c>
      <c r="K12" s="104">
        <v>0.59</v>
      </c>
      <c r="L12" s="108">
        <v>15</v>
      </c>
      <c r="M12" s="108">
        <v>182.38</v>
      </c>
      <c r="N12" s="109">
        <v>249.62</v>
      </c>
      <c r="P12" s="84" t="s">
        <v>124</v>
      </c>
      <c r="Q12" s="115">
        <f>Q10-Q11</f>
        <v>1473728.97</v>
      </c>
      <c r="R12" s="115">
        <f>R10-R11</f>
        <v>2327307.6541199996</v>
      </c>
      <c r="S12" s="116">
        <f>S13*S14</f>
        <v>2601732.9036599998</v>
      </c>
    </row>
    <row r="13" spans="3:19" x14ac:dyDescent="0.25">
      <c r="C13" s="92" t="s">
        <v>32</v>
      </c>
      <c r="D13" s="104">
        <v>105.45</v>
      </c>
      <c r="E13" s="106">
        <v>10260.4</v>
      </c>
      <c r="F13" s="104">
        <v>1081954.3</v>
      </c>
      <c r="G13" s="104">
        <v>114142</v>
      </c>
      <c r="H13" s="104">
        <v>1196096.3</v>
      </c>
      <c r="I13" s="104" t="s">
        <v>26</v>
      </c>
      <c r="J13" s="104">
        <v>92187.09</v>
      </c>
      <c r="K13" s="104">
        <v>1.71</v>
      </c>
      <c r="L13" s="108">
        <v>2.09</v>
      </c>
      <c r="M13" s="108">
        <v>12.97</v>
      </c>
      <c r="N13" s="109">
        <v>61.71</v>
      </c>
      <c r="P13" s="84" t="s">
        <v>204</v>
      </c>
      <c r="Q13" s="126">
        <v>7435.5</v>
      </c>
      <c r="R13" s="126">
        <v>7435.5</v>
      </c>
      <c r="S13" s="127">
        <v>7435.5</v>
      </c>
    </row>
    <row r="14" spans="3:19" ht="13" thickBot="1" x14ac:dyDescent="0.3">
      <c r="C14" s="92" t="s">
        <v>33</v>
      </c>
      <c r="D14" s="104">
        <v>377.56</v>
      </c>
      <c r="E14" s="106">
        <v>458.7</v>
      </c>
      <c r="F14" s="104">
        <v>173186.8</v>
      </c>
      <c r="G14" s="104">
        <v>-1527</v>
      </c>
      <c r="H14" s="104">
        <v>171659.8</v>
      </c>
      <c r="I14" s="104">
        <v>19792.57</v>
      </c>
      <c r="J14" s="104">
        <v>9731.4500000000007</v>
      </c>
      <c r="K14" s="104">
        <v>15.94</v>
      </c>
      <c r="L14" s="108">
        <v>8.67</v>
      </c>
      <c r="M14" s="108">
        <v>17.64</v>
      </c>
      <c r="N14" s="109">
        <v>23.68</v>
      </c>
      <c r="P14" s="101" t="s">
        <v>205</v>
      </c>
      <c r="Q14" s="117">
        <f>Q12/Q13</f>
        <v>198.20173088561629</v>
      </c>
      <c r="R14" s="118">
        <f>R12/R13</f>
        <v>312.99948276780304</v>
      </c>
      <c r="S14" s="119">
        <f>S8*S9</f>
        <v>349.90691999999996</v>
      </c>
    </row>
    <row r="15" spans="3:19" x14ac:dyDescent="0.25">
      <c r="C15" s="92" t="s">
        <v>34</v>
      </c>
      <c r="D15" s="104">
        <v>186.14</v>
      </c>
      <c r="E15" s="106">
        <v>259</v>
      </c>
      <c r="F15" s="104">
        <v>48213.2</v>
      </c>
      <c r="G15" s="104">
        <v>-2872.3</v>
      </c>
      <c r="H15" s="104">
        <v>45340.9</v>
      </c>
      <c r="I15" s="104">
        <v>7197.8</v>
      </c>
      <c r="J15" s="104">
        <v>2026.14</v>
      </c>
      <c r="K15" s="104">
        <v>5.1100000000000003</v>
      </c>
      <c r="L15" s="108">
        <v>6.3</v>
      </c>
      <c r="M15" s="108">
        <v>22.38</v>
      </c>
      <c r="N15" s="109">
        <v>36.39</v>
      </c>
      <c r="P15" s="85" t="s">
        <v>206</v>
      </c>
      <c r="Q15" s="120">
        <f>SUMPRODUCT(Q14:S14,Q7:S7)</f>
        <v>287.03604455113975</v>
      </c>
      <c r="R15" s="121"/>
      <c r="S15" s="121"/>
    </row>
    <row r="16" spans="3:19" x14ac:dyDescent="0.25">
      <c r="C16" s="92" t="s">
        <v>35</v>
      </c>
      <c r="D16" s="104">
        <v>86.24</v>
      </c>
      <c r="E16" s="106">
        <v>165.5</v>
      </c>
      <c r="F16" s="104">
        <v>14272.7</v>
      </c>
      <c r="G16" s="104">
        <v>2104.4</v>
      </c>
      <c r="H16" s="104">
        <v>16377.1</v>
      </c>
      <c r="I16" s="104">
        <v>3895.06</v>
      </c>
      <c r="J16" s="104">
        <v>737.7</v>
      </c>
      <c r="K16" s="104">
        <v>2.78</v>
      </c>
      <c r="L16" s="108">
        <v>4.2</v>
      </c>
      <c r="M16" s="108">
        <v>22.2</v>
      </c>
      <c r="N16" s="109">
        <v>31.07</v>
      </c>
      <c r="P16" s="84" t="s">
        <v>207</v>
      </c>
      <c r="Q16" s="116">
        <v>307.26</v>
      </c>
      <c r="R16" s="121"/>
      <c r="S16" s="121"/>
    </row>
    <row r="17" spans="3:19" ht="13" thickBot="1" x14ac:dyDescent="0.3">
      <c r="C17" s="93" t="s">
        <v>36</v>
      </c>
      <c r="D17" s="105">
        <v>307.26</v>
      </c>
      <c r="E17" s="107">
        <v>7435.5</v>
      </c>
      <c r="F17" s="105">
        <v>2284627.9</v>
      </c>
      <c r="G17" s="105">
        <v>-25107</v>
      </c>
      <c r="H17" s="105">
        <v>2259520.9</v>
      </c>
      <c r="I17" s="105">
        <v>227770.75</v>
      </c>
      <c r="J17" s="105">
        <v>113453.61</v>
      </c>
      <c r="K17" s="105">
        <v>10.54</v>
      </c>
      <c r="L17" s="110">
        <v>9.92</v>
      </c>
      <c r="M17" s="110">
        <v>19.920000000000002</v>
      </c>
      <c r="N17" s="111">
        <v>29.16</v>
      </c>
      <c r="P17" s="87" t="s">
        <v>208</v>
      </c>
      <c r="Q17" s="128">
        <f>Q15/Q16-1</f>
        <v>-6.582033277634658E-2</v>
      </c>
      <c r="R17" s="121"/>
      <c r="S17" s="121"/>
    </row>
    <row r="20" spans="3:19" ht="37.5" x14ac:dyDescent="0.25">
      <c r="C20" s="102" t="s">
        <v>209</v>
      </c>
      <c r="D20" s="103">
        <f>Q17</f>
        <v>-6.582033277634658E-2</v>
      </c>
    </row>
    <row r="21" spans="3:19" ht="13" thickBot="1" x14ac:dyDescent="0.3"/>
    <row r="22" spans="3:19" ht="13" thickBot="1" x14ac:dyDescent="0.3">
      <c r="K22" s="100" t="s">
        <v>195</v>
      </c>
      <c r="L22" s="129">
        <f>BENCHMARKING!D28</f>
        <v>0.62499999999999989</v>
      </c>
    </row>
    <row r="23" spans="3:19" ht="13" thickBot="1" x14ac:dyDescent="0.3">
      <c r="K23" s="83" t="s">
        <v>194</v>
      </c>
    </row>
    <row r="24" spans="3:19" x14ac:dyDescent="0.25">
      <c r="K24" s="112">
        <v>0</v>
      </c>
      <c r="L24" s="94">
        <f>PERCENTILE(L7:L16,K24)</f>
        <v>2.09</v>
      </c>
      <c r="M24" s="94">
        <f>PERCENTILE(M7:M16,K24)</f>
        <v>10.75</v>
      </c>
      <c r="N24" s="95">
        <f>PERCENTILE(N7:N16,K24)</f>
        <v>17.36</v>
      </c>
    </row>
    <row r="25" spans="3:19" x14ac:dyDescent="0.25">
      <c r="K25" s="113">
        <v>0.05</v>
      </c>
      <c r="L25" s="96">
        <f>PERCENTILE(L7:L16,K25)</f>
        <v>3.0394999999999999</v>
      </c>
      <c r="M25" s="96">
        <f>PERCENTILE(M7:M16,K25)</f>
        <v>11.11</v>
      </c>
      <c r="N25" s="97">
        <f>PERCENTILE(N7:N16,K25)</f>
        <v>17.675000000000001</v>
      </c>
    </row>
    <row r="26" spans="3:19" x14ac:dyDescent="0.25">
      <c r="K26" s="113">
        <v>0.1</v>
      </c>
      <c r="L26" s="96">
        <f>PERCENTILE(L7:L16,K26)</f>
        <v>3.9889999999999999</v>
      </c>
      <c r="M26" s="96">
        <f>PERCENTILE(M7:M16,K26)</f>
        <v>11.47</v>
      </c>
      <c r="N26" s="97">
        <f>PERCENTILE(N7:N16,K26)</f>
        <v>17.989999999999998</v>
      </c>
    </row>
    <row r="27" spans="3:19" x14ac:dyDescent="0.25">
      <c r="K27" s="113">
        <v>0.15</v>
      </c>
      <c r="L27" s="96">
        <f>PERCENTILE(L7:L16,K27)</f>
        <v>4.2</v>
      </c>
      <c r="M27" s="96">
        <f>PERCENTILE(M7:M16,K27)</f>
        <v>12.047000000000001</v>
      </c>
      <c r="N27" s="97">
        <f>PERCENTILE(N7:N16,K27)</f>
        <v>18.507999999999999</v>
      </c>
    </row>
    <row r="28" spans="3:19" x14ac:dyDescent="0.25">
      <c r="K28" s="113">
        <v>0.2</v>
      </c>
      <c r="L28" s="96">
        <f>PERCENTILE(L7:L16,K28)</f>
        <v>4.2</v>
      </c>
      <c r="M28" s="96">
        <f>PERCENTILE(M7:M16,K28)</f>
        <v>12.686</v>
      </c>
      <c r="N28" s="97">
        <f>PERCENTILE(N7:N16,K28)</f>
        <v>19.084</v>
      </c>
    </row>
    <row r="29" spans="3:19" x14ac:dyDescent="0.25">
      <c r="K29" s="113">
        <v>0.25</v>
      </c>
      <c r="L29" s="96">
        <f>PERCENTILE(L7:L16,K29)</f>
        <v>4.2125000000000004</v>
      </c>
      <c r="M29" s="96">
        <f>PERCENTILE(M7:M16,K29)</f>
        <v>13.057500000000001</v>
      </c>
      <c r="N29" s="97">
        <f>PERCENTILE(N7:N16,K29)</f>
        <v>20.425000000000001</v>
      </c>
    </row>
    <row r="30" spans="3:19" x14ac:dyDescent="0.25">
      <c r="K30" s="113">
        <v>0.3</v>
      </c>
      <c r="L30" s="96">
        <f>PERCENTILE(L7:L16,K30)</f>
        <v>4.2350000000000003</v>
      </c>
      <c r="M30" s="96">
        <f>PERCENTILE(M7:M16,K30)</f>
        <v>13.215</v>
      </c>
      <c r="N30" s="97">
        <f>PERCENTILE(N7:N16,K30)</f>
        <v>22.378</v>
      </c>
    </row>
    <row r="31" spans="3:19" x14ac:dyDescent="0.25">
      <c r="K31" s="113">
        <v>0.35</v>
      </c>
      <c r="L31" s="96">
        <f>PERCENTILE(L7:L16,K31)</f>
        <v>4.4660000000000002</v>
      </c>
      <c r="M31" s="96">
        <f>PERCENTILE(M7:M16,K31)</f>
        <v>13.968000000000002</v>
      </c>
      <c r="N31" s="97">
        <f>PERCENTILE(N7:N16,K31)</f>
        <v>24.286000000000001</v>
      </c>
    </row>
    <row r="32" spans="3:19" x14ac:dyDescent="0.25">
      <c r="K32" s="113">
        <v>0.4</v>
      </c>
      <c r="L32" s="96">
        <f>PERCENTILE(L7:L16,K32)</f>
        <v>5.1139999999999999</v>
      </c>
      <c r="M32" s="96">
        <f>PERCENTILE(M7:M16,K32)</f>
        <v>15.911999999999999</v>
      </c>
      <c r="N32" s="97">
        <f>PERCENTILE(N7:N16,K32)</f>
        <v>26.103999999999999</v>
      </c>
    </row>
    <row r="33" spans="11:14" x14ac:dyDescent="0.25">
      <c r="K33" s="113">
        <v>0.45</v>
      </c>
      <c r="L33" s="96">
        <f>PERCENTILE(L7:L16,K33)</f>
        <v>5.7205000000000004</v>
      </c>
      <c r="M33" s="96">
        <f>PERCENTILE(M7:M16,K33)</f>
        <v>17.709</v>
      </c>
      <c r="N33" s="97">
        <f>PERCENTILE(N7:N16,K33)</f>
        <v>27.887499999999999</v>
      </c>
    </row>
    <row r="34" spans="11:14" x14ac:dyDescent="0.25">
      <c r="K34" s="113">
        <v>0.5</v>
      </c>
      <c r="L34" s="96">
        <f>PERCENTILE(L7:L16,K34)</f>
        <v>5.9950000000000001</v>
      </c>
      <c r="M34" s="96">
        <f>PERCENTILE(M7:M16,K34)</f>
        <v>18.329999999999998</v>
      </c>
      <c r="N34" s="97">
        <f>PERCENTILE(N7:N16,K34)</f>
        <v>29.395</v>
      </c>
    </row>
    <row r="35" spans="11:14" x14ac:dyDescent="0.25">
      <c r="K35" s="113">
        <v>0.55000000000000004</v>
      </c>
      <c r="L35" s="96">
        <f>PERCENTILE(L7:L16,K35)</f>
        <v>6.2694999999999999</v>
      </c>
      <c r="M35" s="96">
        <f>PERCENTILE(M7:M16,K35)</f>
        <v>18.951000000000001</v>
      </c>
      <c r="N35" s="97">
        <f>PERCENTILE(N7:N16,K35)</f>
        <v>30.9025</v>
      </c>
    </row>
    <row r="36" spans="11:14" x14ac:dyDescent="0.25">
      <c r="K36" s="113">
        <v>0.6</v>
      </c>
      <c r="L36" s="96">
        <f>PERCENTILE(L7:L16,K36)</f>
        <v>6.36</v>
      </c>
      <c r="M36" s="96">
        <f>PERCENTILE(M7:M16,K36)</f>
        <v>20.291999999999998</v>
      </c>
      <c r="N36" s="97">
        <f>PERCENTILE(N7:N16,K36)</f>
        <v>33.198</v>
      </c>
    </row>
    <row r="37" spans="11:14" x14ac:dyDescent="0.25">
      <c r="K37" s="113">
        <v>0.65</v>
      </c>
      <c r="L37" s="96">
        <f>PERCENTILE(L7:L16,K37)</f>
        <v>6.4275000000000002</v>
      </c>
      <c r="M37" s="96">
        <f>PERCENTILE(M7:M16,K37)</f>
        <v>21.723000000000003</v>
      </c>
      <c r="N37" s="97">
        <f>PERCENTILE(N7:N16,K37)</f>
        <v>35.592000000000006</v>
      </c>
    </row>
    <row r="38" spans="11:14" x14ac:dyDescent="0.25">
      <c r="K38" s="113">
        <v>0.7</v>
      </c>
      <c r="L38" s="96">
        <f>PERCENTILE(L7:L16,K38)</f>
        <v>7.1159999999999997</v>
      </c>
      <c r="M38" s="96">
        <f>PERCENTILE(M7:M16,K38)</f>
        <v>22.253999999999998</v>
      </c>
      <c r="N38" s="97">
        <f>PERCENTILE(N7:N16,K38)</f>
        <v>39.423000000000002</v>
      </c>
    </row>
    <row r="39" spans="11:14" x14ac:dyDescent="0.25">
      <c r="K39" s="113">
        <v>0.75</v>
      </c>
      <c r="L39" s="96">
        <f>PERCENTILE(L7:L16,K39)</f>
        <v>8.1150000000000002</v>
      </c>
      <c r="M39" s="96">
        <f>PERCENTILE(M7:M16,K39)</f>
        <v>22.335000000000001</v>
      </c>
      <c r="N39" s="97">
        <f>PERCENTILE(N7:N16,K39)</f>
        <v>43.972499999999997</v>
      </c>
    </row>
    <row r="40" spans="11:14" x14ac:dyDescent="0.25">
      <c r="K40" s="113">
        <v>0.8</v>
      </c>
      <c r="L40" s="96">
        <f>PERCENTILE(L7:L16,K40)</f>
        <v>8.895999999999999</v>
      </c>
      <c r="M40" s="96">
        <f>PERCENTILE(M7:M16,K40)</f>
        <v>23.923999999999992</v>
      </c>
      <c r="N40" s="97">
        <f>PERCENTILE(N7:N16,K40)</f>
        <v>49.541999999999987</v>
      </c>
    </row>
    <row r="41" spans="11:14" x14ac:dyDescent="0.25">
      <c r="K41" s="113">
        <v>0.85</v>
      </c>
      <c r="L41" s="96">
        <f>PERCENTILE(L7:L16,K41)</f>
        <v>9.4044999999999987</v>
      </c>
      <c r="M41" s="96">
        <f>PERCENTILE(M7:M16,K41)</f>
        <v>27.397999999999989</v>
      </c>
      <c r="N41" s="97">
        <f>PERCENTILE(N7:N16,K41)</f>
        <v>56.386499999999977</v>
      </c>
    </row>
    <row r="42" spans="11:14" x14ac:dyDescent="0.25">
      <c r="K42" s="113">
        <v>0.9</v>
      </c>
      <c r="L42" s="96">
        <f>PERCENTILE(L7:L16,K42)</f>
        <v>10.319999999999999</v>
      </c>
      <c r="M42" s="96">
        <f>PERCENTILE(M7:M16,K42)</f>
        <v>45.327999999999946</v>
      </c>
      <c r="N42" s="97">
        <f>PERCENTILE(N7:N16,K42)</f>
        <v>80.500999999999934</v>
      </c>
    </row>
    <row r="43" spans="11:14" x14ac:dyDescent="0.25">
      <c r="K43" s="113">
        <v>0.95</v>
      </c>
      <c r="L43" s="96">
        <f>PERCENTILE(L7:L16,K43)</f>
        <v>12.659999999999995</v>
      </c>
      <c r="M43" s="96">
        <f>PERCENTILE(M7:M16,K43)</f>
        <v>113.85399999999984</v>
      </c>
      <c r="N43" s="97">
        <f>PERCENTILE(N7:N16,K43)</f>
        <v>165.06049999999979</v>
      </c>
    </row>
    <row r="44" spans="11:14" ht="13" thickBot="1" x14ac:dyDescent="0.3">
      <c r="K44" s="114">
        <v>1</v>
      </c>
      <c r="L44" s="98">
        <f>PERCENTILE(L7:L16,K44)</f>
        <v>15</v>
      </c>
      <c r="M44" s="98">
        <f>PERCENTILE(M7:M16,K44)</f>
        <v>182.38</v>
      </c>
      <c r="N44" s="99">
        <f>PERCENTILE(N7:N16,K44)</f>
        <v>249.62</v>
      </c>
    </row>
  </sheetData>
  <conditionalFormatting sqref="Q17">
    <cfRule type="cellIs" dxfId="3" priority="4" operator="greaterThan">
      <formula>0</formula>
    </cfRule>
    <cfRule type="cellIs" dxfId="2" priority="3" operator="lessThan">
      <formula>0</formula>
    </cfRule>
    <cfRule type="cellIs" dxfId="1" priority="2" operator="greaterThan">
      <formula>0</formula>
    </cfRule>
    <cfRule type="cellIs" dxfId="0" priority="1" operator="lessThan">
      <formula>0</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D31C82-6016-465A-8286-A50C9D4EF1C7}">
  <sheetPr codeName="Sheet2"/>
  <dimension ref="C5:O51"/>
  <sheetViews>
    <sheetView showGridLines="0" workbookViewId="0"/>
  </sheetViews>
  <sheetFormatPr defaultRowHeight="10" x14ac:dyDescent="0.2"/>
  <cols>
    <col min="1" max="2" width="8.7265625" style="43"/>
    <col min="3" max="3" width="13" style="43" bestFit="1" customWidth="1"/>
    <col min="4" max="4" width="8.36328125" style="43" bestFit="1" customWidth="1"/>
    <col min="5" max="5" width="7.36328125" style="43" bestFit="1" customWidth="1"/>
    <col min="6" max="6" width="7.54296875" style="43" bestFit="1" customWidth="1"/>
    <col min="7" max="7" width="7.36328125" style="43" bestFit="1" customWidth="1"/>
    <col min="8" max="8" width="8.1796875" style="43" bestFit="1" customWidth="1"/>
    <col min="9" max="9" width="7.81640625" style="43" bestFit="1" customWidth="1"/>
    <col min="10" max="10" width="7.90625" style="43" bestFit="1" customWidth="1"/>
    <col min="11" max="11" width="7.7265625" style="43" bestFit="1" customWidth="1"/>
    <col min="12" max="12" width="8.08984375" style="43" bestFit="1" customWidth="1"/>
    <col min="13" max="13" width="7.81640625" style="43" bestFit="1" customWidth="1"/>
    <col min="14" max="14" width="8.36328125" style="43" bestFit="1" customWidth="1"/>
    <col min="15" max="15" width="8.6328125" style="43" bestFit="1" customWidth="1"/>
    <col min="16" max="16384" width="8.7265625" style="43"/>
  </cols>
  <sheetData>
    <row r="5" spans="3:15" ht="10.5" thickBot="1" x14ac:dyDescent="0.25"/>
    <row r="6" spans="3:15" ht="53" thickBot="1" x14ac:dyDescent="0.25">
      <c r="C6" s="57" t="s">
        <v>8</v>
      </c>
      <c r="D6" s="65" t="s">
        <v>62</v>
      </c>
      <c r="E6" s="65" t="s">
        <v>63</v>
      </c>
      <c r="F6" s="65" t="s">
        <v>64</v>
      </c>
      <c r="G6" s="65" t="s">
        <v>65</v>
      </c>
      <c r="H6" s="65" t="s">
        <v>66</v>
      </c>
      <c r="I6" s="65" t="s">
        <v>67</v>
      </c>
      <c r="J6" s="65" t="s">
        <v>68</v>
      </c>
      <c r="K6" s="65" t="s">
        <v>69</v>
      </c>
      <c r="L6" s="65" t="s">
        <v>70</v>
      </c>
      <c r="M6" s="65" t="s">
        <v>71</v>
      </c>
      <c r="N6" s="65" t="s">
        <v>72</v>
      </c>
      <c r="O6" s="66" t="s">
        <v>73</v>
      </c>
    </row>
    <row r="7" spans="3:15" ht="21" x14ac:dyDescent="0.2">
      <c r="C7" s="63" t="s">
        <v>25</v>
      </c>
      <c r="D7" s="69">
        <v>0.73299999999999998</v>
      </c>
      <c r="E7" s="70">
        <v>0.17299999999999999</v>
      </c>
      <c r="F7" s="70">
        <v>5.8999999999999997E-2</v>
      </c>
      <c r="G7" s="71">
        <v>6.6E-3</v>
      </c>
      <c r="H7" s="71">
        <v>0.1835</v>
      </c>
      <c r="I7" s="71">
        <v>0.39379999999999998</v>
      </c>
      <c r="J7" s="71">
        <v>2.0863999999999998</v>
      </c>
      <c r="K7" s="71">
        <v>-0.85599999999999998</v>
      </c>
      <c r="L7" s="71">
        <v>0.20319999999999999</v>
      </c>
      <c r="M7" s="72">
        <v>2.2999999999999998</v>
      </c>
      <c r="N7" s="71">
        <v>0.24310000000000001</v>
      </c>
      <c r="O7" s="73">
        <v>1.24</v>
      </c>
    </row>
    <row r="8" spans="3:15" ht="31.5" x14ac:dyDescent="0.2">
      <c r="C8" s="63" t="s">
        <v>27</v>
      </c>
      <c r="D8" s="67">
        <v>0.55300000000000005</v>
      </c>
      <c r="E8" s="53">
        <v>0.307</v>
      </c>
      <c r="F8" s="53">
        <v>0.254</v>
      </c>
      <c r="G8" s="54">
        <v>0.20580000000000001</v>
      </c>
      <c r="H8" s="54">
        <v>5.28E-2</v>
      </c>
      <c r="I8" s="54">
        <v>-8.7099999999999997E-2</v>
      </c>
      <c r="J8" s="54">
        <v>-0.1239</v>
      </c>
      <c r="K8" s="54">
        <v>-0.214</v>
      </c>
      <c r="L8" s="54">
        <v>0.1016</v>
      </c>
      <c r="M8" s="55">
        <v>0.3</v>
      </c>
      <c r="N8" s="54">
        <v>0.16889999999999999</v>
      </c>
      <c r="O8" s="61">
        <v>1.1000000000000001</v>
      </c>
    </row>
    <row r="9" spans="3:15" ht="31.5" x14ac:dyDescent="0.2">
      <c r="C9" s="63" t="s">
        <v>28</v>
      </c>
      <c r="D9" s="67">
        <v>0.745</v>
      </c>
      <c r="E9" s="53">
        <v>0.38800000000000001</v>
      </c>
      <c r="F9" s="53">
        <v>0.29199999999999998</v>
      </c>
      <c r="G9" s="54">
        <v>0.17460000000000001</v>
      </c>
      <c r="H9" s="54">
        <v>0.14660000000000001</v>
      </c>
      <c r="I9" s="54">
        <v>1.11E-2</v>
      </c>
      <c r="J9" s="54">
        <v>-0.1186</v>
      </c>
      <c r="K9" s="54">
        <v>0.1075</v>
      </c>
      <c r="L9" s="54">
        <v>1.0213000000000001</v>
      </c>
      <c r="M9" s="55">
        <v>4.7</v>
      </c>
      <c r="N9" s="54">
        <v>0.1027</v>
      </c>
      <c r="O9" s="61">
        <v>1</v>
      </c>
    </row>
    <row r="10" spans="3:15" ht="21" x14ac:dyDescent="0.2">
      <c r="C10" s="63" t="s">
        <v>29</v>
      </c>
      <c r="D10" s="67">
        <v>0.81399999999999995</v>
      </c>
      <c r="E10" s="53">
        <v>0.20300000000000001</v>
      </c>
      <c r="F10" s="53">
        <v>0.159</v>
      </c>
      <c r="G10" s="54">
        <v>9.8400000000000001E-2</v>
      </c>
      <c r="H10" s="54">
        <v>3.8800000000000001E-2</v>
      </c>
      <c r="I10" s="54">
        <v>-9.1200000000000003E-2</v>
      </c>
      <c r="J10" s="54">
        <v>-0.1135</v>
      </c>
      <c r="K10" s="54">
        <v>-0.27800000000000002</v>
      </c>
      <c r="L10" s="54">
        <v>0.8821</v>
      </c>
      <c r="M10" s="55">
        <v>3.9</v>
      </c>
      <c r="N10" s="54">
        <v>0.127</v>
      </c>
      <c r="O10" s="61">
        <v>0.84</v>
      </c>
    </row>
    <row r="11" spans="3:15" ht="21" x14ac:dyDescent="0.2">
      <c r="C11" s="63" t="s">
        <v>30</v>
      </c>
      <c r="D11" s="67">
        <v>0.78400000000000003</v>
      </c>
      <c r="E11" s="53">
        <v>0.114</v>
      </c>
      <c r="F11" s="53">
        <v>5.3999999999999999E-2</v>
      </c>
      <c r="G11" s="54">
        <v>5.2499999999999998E-2</v>
      </c>
      <c r="H11" s="54">
        <v>0.2175</v>
      </c>
      <c r="I11" s="54">
        <v>0.2185</v>
      </c>
      <c r="J11" s="54">
        <v>0.66800000000000004</v>
      </c>
      <c r="K11" s="54">
        <v>0.79369999999999996</v>
      </c>
      <c r="L11" s="54">
        <v>0.28549999999999998</v>
      </c>
      <c r="M11" s="55">
        <v>2.2999999999999998</v>
      </c>
      <c r="N11" s="54">
        <v>0.31190000000000001</v>
      </c>
      <c r="O11" s="61">
        <v>1.04</v>
      </c>
    </row>
    <row r="12" spans="3:15" ht="21" x14ac:dyDescent="0.2">
      <c r="C12" s="63" t="s">
        <v>31</v>
      </c>
      <c r="D12" s="67">
        <v>0.65300000000000002</v>
      </c>
      <c r="E12" s="53">
        <v>-0.379</v>
      </c>
      <c r="F12" s="53">
        <v>-0.40500000000000003</v>
      </c>
      <c r="G12" s="54">
        <v>-0.38569999999999999</v>
      </c>
      <c r="H12" s="54">
        <v>0.69410000000000005</v>
      </c>
      <c r="I12" s="56" t="s">
        <v>26</v>
      </c>
      <c r="J12" s="56" t="s">
        <v>26</v>
      </c>
      <c r="K12" s="56" t="s">
        <v>26</v>
      </c>
      <c r="L12" s="54">
        <v>4.3999999999999997E-2</v>
      </c>
      <c r="M12" s="56" t="s">
        <v>74</v>
      </c>
      <c r="N12" s="54">
        <v>0.3</v>
      </c>
      <c r="O12" s="61">
        <v>0.75</v>
      </c>
    </row>
    <row r="13" spans="3:15" ht="42" x14ac:dyDescent="0.2">
      <c r="C13" s="63" t="s">
        <v>32</v>
      </c>
      <c r="D13" s="67">
        <v>0.44700000000000001</v>
      </c>
      <c r="E13" s="53">
        <v>0.109</v>
      </c>
      <c r="F13" s="53">
        <v>2.5000000000000001E-2</v>
      </c>
      <c r="G13" s="54">
        <v>8.2000000000000007E-3</v>
      </c>
      <c r="H13" s="54">
        <v>9.8699999999999996E-2</v>
      </c>
      <c r="I13" s="54">
        <v>2.1499999999999998E-2</v>
      </c>
      <c r="J13" s="54">
        <v>-0.3286</v>
      </c>
      <c r="K13" s="54">
        <v>-0.79949999999999999</v>
      </c>
      <c r="L13" s="54">
        <v>0.53610000000000002</v>
      </c>
      <c r="M13" s="55">
        <v>2.6</v>
      </c>
      <c r="N13" s="54">
        <v>0.37530000000000002</v>
      </c>
      <c r="O13" s="61">
        <v>1.26</v>
      </c>
    </row>
    <row r="14" spans="3:15" ht="31.5" x14ac:dyDescent="0.2">
      <c r="C14" s="63" t="s">
        <v>33</v>
      </c>
      <c r="D14" s="67">
        <v>0.877</v>
      </c>
      <c r="E14" s="53">
        <v>0.373</v>
      </c>
      <c r="F14" s="53">
        <v>0.33900000000000002</v>
      </c>
      <c r="G14" s="54">
        <v>0.26319999999999999</v>
      </c>
      <c r="H14" s="54">
        <v>0.115</v>
      </c>
      <c r="I14" s="54">
        <v>3.0700000000000002E-2</v>
      </c>
      <c r="J14" s="54">
        <v>2.9700000000000001E-2</v>
      </c>
      <c r="K14" s="54">
        <v>-1.8599999999999998E-2</v>
      </c>
      <c r="L14" s="54">
        <v>0.22509999999999999</v>
      </c>
      <c r="M14" s="55">
        <v>0.6</v>
      </c>
      <c r="N14" s="54">
        <v>0.1474</v>
      </c>
      <c r="O14" s="61">
        <v>1.31</v>
      </c>
    </row>
    <row r="15" spans="3:15" ht="31.5" x14ac:dyDescent="0.2">
      <c r="C15" s="63" t="s">
        <v>34</v>
      </c>
      <c r="D15" s="67">
        <v>0.72399999999999998</v>
      </c>
      <c r="E15" s="53">
        <v>2.3E-2</v>
      </c>
      <c r="F15" s="53">
        <v>-3.5999999999999997E-2</v>
      </c>
      <c r="G15" s="54">
        <v>-5.8999999999999997E-2</v>
      </c>
      <c r="H15" s="54">
        <v>0.20960000000000001</v>
      </c>
      <c r="I15" s="54">
        <v>-0.3745</v>
      </c>
      <c r="J15" s="56" t="s">
        <v>26</v>
      </c>
      <c r="K15" s="56" t="s">
        <v>26</v>
      </c>
      <c r="L15" s="54">
        <v>0.36780000000000002</v>
      </c>
      <c r="M15" s="55">
        <v>11.2</v>
      </c>
      <c r="N15" s="54">
        <v>0.29680000000000001</v>
      </c>
      <c r="O15" s="61">
        <v>1.28</v>
      </c>
    </row>
    <row r="16" spans="3:15" ht="31.5" x14ac:dyDescent="0.2">
      <c r="C16" s="63" t="s">
        <v>35</v>
      </c>
      <c r="D16" s="67">
        <v>0.77700000000000002</v>
      </c>
      <c r="E16" s="53">
        <v>-3.4000000000000002E-2</v>
      </c>
      <c r="F16" s="53">
        <v>-6.2E-2</v>
      </c>
      <c r="G16" s="54">
        <v>-7.5999999999999998E-2</v>
      </c>
      <c r="H16" s="54">
        <v>0.36659999999999998</v>
      </c>
      <c r="I16" s="56" t="s">
        <v>26</v>
      </c>
      <c r="J16" s="56" t="s">
        <v>26</v>
      </c>
      <c r="K16" s="56" t="s">
        <v>26</v>
      </c>
      <c r="L16" s="54">
        <v>1.0276000000000001</v>
      </c>
      <c r="M16" s="56" t="s">
        <v>74</v>
      </c>
      <c r="N16" s="54">
        <v>0.67100000000000004</v>
      </c>
      <c r="O16" s="61">
        <v>1.29</v>
      </c>
    </row>
    <row r="17" spans="3:15" ht="42.5" thickBot="1" x14ac:dyDescent="0.25">
      <c r="C17" s="64" t="s">
        <v>36</v>
      </c>
      <c r="D17" s="68">
        <v>0.68500000000000005</v>
      </c>
      <c r="E17" s="58">
        <v>0.48199999999999998</v>
      </c>
      <c r="F17" s="58">
        <v>0.41399999999999998</v>
      </c>
      <c r="G17" s="59">
        <v>0.33250000000000002</v>
      </c>
      <c r="H17" s="59">
        <v>7.8100000000000003E-2</v>
      </c>
      <c r="I17" s="59">
        <v>5.3699999999999998E-2</v>
      </c>
      <c r="J17" s="59">
        <v>4.9200000000000001E-2</v>
      </c>
      <c r="K17" s="59">
        <v>-4.7399999999999998E-2</v>
      </c>
      <c r="L17" s="59">
        <v>0.28949999999999998</v>
      </c>
      <c r="M17" s="60">
        <v>0.8</v>
      </c>
      <c r="N17" s="59">
        <v>0.1197</v>
      </c>
      <c r="O17" s="62">
        <v>0.93</v>
      </c>
    </row>
    <row r="27" spans="3:15" ht="10.5" thickBot="1" x14ac:dyDescent="0.25"/>
    <row r="28" spans="3:15" ht="10.5" thickBot="1" x14ac:dyDescent="0.25">
      <c r="C28" s="51" t="s">
        <v>192</v>
      </c>
      <c r="D28" s="49">
        <f>AVERAGE(D29:O29)</f>
        <v>0.62499999999999989</v>
      </c>
    </row>
    <row r="29" spans="3:15" ht="10.5" thickBot="1" x14ac:dyDescent="0.25">
      <c r="C29" s="52" t="s">
        <v>193</v>
      </c>
      <c r="D29" s="50">
        <f>IFERROR(INDEX(C31:C51,MATCH(D17,D31:D51)),"NA")</f>
        <v>0.25</v>
      </c>
      <c r="E29" s="47">
        <f>IFERROR(INDEX(C31:C51,MATCH(E17,E31:E51)),"NA")</f>
        <v>1</v>
      </c>
      <c r="F29" s="47">
        <f>IFERROR(INDEX(C31:C51,MATCH(F17,F31:F51)),"NA")</f>
        <v>1</v>
      </c>
      <c r="G29" s="47">
        <f>IFERROR(INDEX(C31:C51,MATCH(G17,G31:G51)),"NA")</f>
        <v>1</v>
      </c>
      <c r="H29" s="47">
        <f>IFERROR(INDEX(C31:C51,MATCH(H17,H31:H51)),"NA")</f>
        <v>0.15</v>
      </c>
      <c r="I29" s="47">
        <f>IFERROR(INDEX(C31:C51,MATCH(I17,I31:I51)),"NA")</f>
        <v>0.7</v>
      </c>
      <c r="J29" s="47">
        <f>IFERROR(INDEX(C31:C51,MATCH(J17,J31:J51)),"NA")</f>
        <v>0.65</v>
      </c>
      <c r="K29" s="47">
        <f>IFERROR(INDEX(C31:C51,MATCH(K17,K31:K51)),"NA")</f>
        <v>0.6</v>
      </c>
      <c r="L29" s="47">
        <f>IFERROR(INDEX(C31:C51,MATCH(L17,L31:L51)),"NA")</f>
        <v>0.4</v>
      </c>
      <c r="M29" s="47">
        <f>IFERROR((1-INDEX(C31:C51,MATCH(M17,M31:M51))),"NA")</f>
        <v>0.85</v>
      </c>
      <c r="N29" s="47">
        <f>IFERROR(INDEX(C31:C51,MATCH(N17,N31:N51)),"NA")</f>
        <v>0.05</v>
      </c>
      <c r="O29" s="48">
        <f>IFERROR((1-INDEX(C31:C51,MATCH(O17,O31:O51))),"NA")</f>
        <v>0.85</v>
      </c>
    </row>
    <row r="30" spans="3:15" ht="10.5" thickBot="1" x14ac:dyDescent="0.25">
      <c r="C30" s="43" t="s">
        <v>194</v>
      </c>
    </row>
    <row r="31" spans="3:15" x14ac:dyDescent="0.2">
      <c r="C31" s="45">
        <v>0</v>
      </c>
      <c r="D31" s="74">
        <f>PERCENTILE(D7:D16,C31)</f>
        <v>0.44700000000000001</v>
      </c>
      <c r="E31" s="74">
        <f>PERCENTILE(E7:E16,C31)</f>
        <v>-0.379</v>
      </c>
      <c r="F31" s="74">
        <f>PERCENTILE(F7:F16,C31)</f>
        <v>-0.40500000000000003</v>
      </c>
      <c r="G31" s="74">
        <f>PERCENTILE(G7:G16,C31)</f>
        <v>-0.38569999999999999</v>
      </c>
      <c r="H31" s="74">
        <f>PERCENTILE(H7:H16,C31)</f>
        <v>3.8800000000000001E-2</v>
      </c>
      <c r="I31" s="74">
        <f>PERCENTILE(I7:I16,C31)</f>
        <v>-0.3745</v>
      </c>
      <c r="J31" s="74">
        <f>PERCENTILE(J7:J16,C31)</f>
        <v>-0.3286</v>
      </c>
      <c r="K31" s="74">
        <f>PERCENTILE(K7:K16,C31)</f>
        <v>-0.85599999999999998</v>
      </c>
      <c r="L31" s="74">
        <f>PERCENTILE(L7:L16,C31)</f>
        <v>4.3999999999999997E-2</v>
      </c>
      <c r="M31" s="77">
        <f>PERCENTILE(M7:M16,C31)</f>
        <v>0.3</v>
      </c>
      <c r="N31" s="74">
        <f>PERCENTILE(N7:N16,C31)</f>
        <v>0.1027</v>
      </c>
      <c r="O31" s="80">
        <f>PERCENTILE(O7:O16,C31)</f>
        <v>0.75</v>
      </c>
    </row>
    <row r="32" spans="3:15" x14ac:dyDescent="0.2">
      <c r="C32" s="44">
        <v>0.05</v>
      </c>
      <c r="D32" s="75">
        <f>PERCENTILE(D7:D16,C32)</f>
        <v>0.49470000000000003</v>
      </c>
      <c r="E32" s="75">
        <f>PERCENTILE(E7:E16,C32)</f>
        <v>-0.22375000000000003</v>
      </c>
      <c r="F32" s="75">
        <f>PERCENTILE(F7:F16,C32)</f>
        <v>-0.25065000000000004</v>
      </c>
      <c r="G32" s="75">
        <f>PERCENTILE(G7:G16,C32)</f>
        <v>-0.246335</v>
      </c>
      <c r="H32" s="75">
        <f>PERCENTILE(H7:H16,C32)</f>
        <v>4.5100000000000001E-2</v>
      </c>
      <c r="I32" s="75">
        <f>PERCENTILE(I7:I16,C32)</f>
        <v>-0.27534499999999995</v>
      </c>
      <c r="J32" s="75">
        <f>PERCENTILE(J7:J16,C32)</f>
        <v>-0.26718999999999998</v>
      </c>
      <c r="K32" s="75">
        <f>PERCENTILE(K7:K16,C32)</f>
        <v>-0.83904999999999996</v>
      </c>
      <c r="L32" s="75">
        <f>PERCENTILE(L7:L16,C32)</f>
        <v>6.9919999999999996E-2</v>
      </c>
      <c r="M32" s="78">
        <f>PERCENTILE(M7:M16,C32)</f>
        <v>0.40500000000000003</v>
      </c>
      <c r="N32" s="75">
        <f>PERCENTILE(N7:N16,C32)</f>
        <v>0.113635</v>
      </c>
      <c r="O32" s="81">
        <f>PERCENTILE(O7:O16,C32)</f>
        <v>0.79049999999999998</v>
      </c>
    </row>
    <row r="33" spans="3:15" x14ac:dyDescent="0.2">
      <c r="C33" s="44">
        <v>0.1</v>
      </c>
      <c r="D33" s="75">
        <f>PERCENTILE(D7:D16,C33)</f>
        <v>0.54239999999999999</v>
      </c>
      <c r="E33" s="75">
        <f>PERCENTILE(E7:E16,C33)</f>
        <v>-6.8500000000000061E-2</v>
      </c>
      <c r="F33" s="75">
        <f>PERCENTILE(F7:F16,C33)</f>
        <v>-9.6300000000000052E-2</v>
      </c>
      <c r="G33" s="75">
        <f>PERCENTILE(G7:G16,C33)</f>
        <v>-0.10697000000000001</v>
      </c>
      <c r="H33" s="75">
        <f>PERCENTILE(H7:H16,C33)</f>
        <v>5.1400000000000001E-2</v>
      </c>
      <c r="I33" s="75">
        <f>PERCENTILE(I7:I16,C33)</f>
        <v>-0.17618999999999996</v>
      </c>
      <c r="J33" s="75">
        <f>PERCENTILE(J7:J16,C33)</f>
        <v>-0.20577999999999999</v>
      </c>
      <c r="K33" s="75">
        <f>PERCENTILE(K7:K16,C33)</f>
        <v>-0.82209999999999994</v>
      </c>
      <c r="L33" s="75">
        <f>PERCENTILE(L7:L16,C33)</f>
        <v>9.5839999999999981E-2</v>
      </c>
      <c r="M33" s="78">
        <f>PERCENTILE(M7:M16,C33)</f>
        <v>0.51</v>
      </c>
      <c r="N33" s="75">
        <f>PERCENTILE(N7:N16,C33)</f>
        <v>0.12457</v>
      </c>
      <c r="O33" s="81">
        <f>PERCENTILE(O7:O16,C33)</f>
        <v>0.83099999999999996</v>
      </c>
    </row>
    <row r="34" spans="3:15" x14ac:dyDescent="0.2">
      <c r="C34" s="44">
        <v>0.15</v>
      </c>
      <c r="D34" s="75">
        <f>PERCENTILE(D7:D16,C34)</f>
        <v>0.58799999999999997</v>
      </c>
      <c r="E34" s="75">
        <f>PERCENTILE(E7:E16,C34)</f>
        <v>-1.4050000000000021E-2</v>
      </c>
      <c r="F34" s="75">
        <f>PERCENTILE(F7:F16,C34)</f>
        <v>-5.290000000000001E-2</v>
      </c>
      <c r="G34" s="75">
        <f>PERCENTILE(G7:G16,C34)</f>
        <v>-7.0050000000000001E-2</v>
      </c>
      <c r="H34" s="75">
        <f>PERCENTILE(H7:H16,C34)</f>
        <v>6.8864999999999982E-2</v>
      </c>
      <c r="I34" s="75">
        <f>PERCENTILE(I7:I16,C34)</f>
        <v>-9.0995000000000006E-2</v>
      </c>
      <c r="J34" s="75">
        <f>PERCENTILE(J7:J16,C34)</f>
        <v>-0.14437000000000003</v>
      </c>
      <c r="K34" s="75">
        <f>PERCENTILE(K7:K16,C34)</f>
        <v>-0.80515000000000003</v>
      </c>
      <c r="L34" s="75">
        <f>PERCENTILE(L7:L16,C34)</f>
        <v>0.13715999999999995</v>
      </c>
      <c r="M34" s="78">
        <f>PERCENTILE(M7:M16,C34)</f>
        <v>0.68499999999999961</v>
      </c>
      <c r="N34" s="75">
        <f>PERCENTILE(N7:N16,C34)</f>
        <v>0.13413999999999998</v>
      </c>
      <c r="O34" s="81">
        <f>PERCENTILE(O7:O16,C34)</f>
        <v>0.89599999999999991</v>
      </c>
    </row>
    <row r="35" spans="3:15" x14ac:dyDescent="0.2">
      <c r="C35" s="44">
        <v>0.2</v>
      </c>
      <c r="D35" s="75">
        <f>PERCENTILE(D7:D16,C35)</f>
        <v>0.63300000000000001</v>
      </c>
      <c r="E35" s="75">
        <f>PERCENTILE(E7:E16,C35)</f>
        <v>1.1599999999999992E-2</v>
      </c>
      <c r="F35" s="75">
        <f>PERCENTILE(F7:F16,C35)</f>
        <v>-4.1200000000000001E-2</v>
      </c>
      <c r="G35" s="75">
        <f>PERCENTILE(G7:G16,C35)</f>
        <v>-6.2399999999999997E-2</v>
      </c>
      <c r="H35" s="75">
        <f>PERCENTILE(H7:H16,C35)</f>
        <v>8.9519999999999988E-2</v>
      </c>
      <c r="I35" s="75">
        <f>PERCENTILE(I7:I16,C35)</f>
        <v>-8.9560000000000001E-2</v>
      </c>
      <c r="J35" s="75">
        <f>PERCENTILE(J7:J16,C35)</f>
        <v>-0.12283999999999999</v>
      </c>
      <c r="K35" s="75">
        <f>PERCENTILE(K7:K16,C35)</f>
        <v>-0.69519999999999993</v>
      </c>
      <c r="L35" s="75">
        <f>PERCENTILE(L7:L16,C35)</f>
        <v>0.18287999999999999</v>
      </c>
      <c r="M35" s="78">
        <f>PERCENTILE(M7:M16,C35)</f>
        <v>1.2800000000000005</v>
      </c>
      <c r="N35" s="75">
        <f>PERCENTILE(N7:N16,C35)</f>
        <v>0.14332</v>
      </c>
      <c r="O35" s="81">
        <f>PERCENTILE(O7:O16,C35)</f>
        <v>0.96799999999999997</v>
      </c>
    </row>
    <row r="36" spans="3:15" x14ac:dyDescent="0.2">
      <c r="C36" s="44">
        <v>0.25</v>
      </c>
      <c r="D36" s="75">
        <f>PERCENTILE(D7:D16,C36)</f>
        <v>0.67074999999999996</v>
      </c>
      <c r="E36" s="75">
        <f>PERCENTILE(E7:E16,C36)</f>
        <v>4.4499999999999998E-2</v>
      </c>
      <c r="F36" s="75">
        <f>PERCENTILE(F7:F16,C36)</f>
        <v>-2.0749999999999998E-2</v>
      </c>
      <c r="G36" s="75">
        <f>PERCENTILE(G7:G16,C36)</f>
        <v>-4.2599999999999999E-2</v>
      </c>
      <c r="H36" s="75">
        <f>PERCENTILE(H7:H16,C36)</f>
        <v>0.10277500000000001</v>
      </c>
      <c r="I36" s="75">
        <f>PERCENTILE(I7:I16,C36)</f>
        <v>-8.8124999999999995E-2</v>
      </c>
      <c r="J36" s="75">
        <f>PERCENTILE(J7:J16,C36)</f>
        <v>-0.12125</v>
      </c>
      <c r="K36" s="75">
        <f>PERCENTILE(K7:K16,C36)</f>
        <v>-0.53875000000000006</v>
      </c>
      <c r="L36" s="75">
        <f>PERCENTILE(L7:L16,C36)</f>
        <v>0.208675</v>
      </c>
      <c r="M36" s="78">
        <f>PERCENTILE(M7:M16,C36)</f>
        <v>1.875</v>
      </c>
      <c r="N36" s="75">
        <f>PERCENTILE(N7:N16,C36)</f>
        <v>0.15277499999999999</v>
      </c>
      <c r="O36" s="81">
        <f>PERCENTILE(O7:O16,C36)</f>
        <v>1.01</v>
      </c>
    </row>
    <row r="37" spans="3:15" x14ac:dyDescent="0.2">
      <c r="C37" s="44">
        <v>0.3</v>
      </c>
      <c r="D37" s="75">
        <f>PERCENTILE(D7:D16,C37)</f>
        <v>0.70269999999999999</v>
      </c>
      <c r="E37" s="75">
        <f>PERCENTILE(E7:E16,C37)</f>
        <v>8.3199999999999968E-2</v>
      </c>
      <c r="F37" s="75">
        <f>PERCENTILE(F7:F16,C37)</f>
        <v>6.6999999999999837E-3</v>
      </c>
      <c r="G37" s="75">
        <f>PERCENTILE(G7:G16,C37)</f>
        <v>-1.3080000000000022E-2</v>
      </c>
      <c r="H37" s="75">
        <f>PERCENTILE(H7:H16,C37)</f>
        <v>0.11011</v>
      </c>
      <c r="I37" s="75">
        <f>PERCENTILE(I7:I16,C37)</f>
        <v>-7.7279999999999988E-2</v>
      </c>
      <c r="J37" s="75">
        <f>PERCENTILE(J7:J16,C37)</f>
        <v>-0.11966</v>
      </c>
      <c r="K37" s="75">
        <f>PERCENTILE(K7:K16,C37)</f>
        <v>-0.38230000000000008</v>
      </c>
      <c r="L37" s="75">
        <f>PERCENTILE(L7:L16,C37)</f>
        <v>0.21853</v>
      </c>
      <c r="M37" s="78">
        <f>PERCENTILE(M7:M16,C37)</f>
        <v>2.2999999999999998</v>
      </c>
      <c r="N37" s="75">
        <f>PERCENTILE(N7:N16,C37)</f>
        <v>0.16244999999999998</v>
      </c>
      <c r="O37" s="81">
        <f>PERCENTILE(O7:O16,C37)</f>
        <v>1.028</v>
      </c>
    </row>
    <row r="38" spans="3:15" x14ac:dyDescent="0.2">
      <c r="C38" s="44">
        <v>0.35</v>
      </c>
      <c r="D38" s="75">
        <f>PERCENTILE(D7:D16,C38)</f>
        <v>0.72534999999999994</v>
      </c>
      <c r="E38" s="75">
        <f>PERCENTILE(E7:E16,C38)</f>
        <v>0.10975</v>
      </c>
      <c r="F38" s="75">
        <f>PERCENTILE(F7:F16,C38)</f>
        <v>2.9350000000000011E-2</v>
      </c>
      <c r="G38" s="75">
        <f>PERCENTILE(G7:G16,C38)</f>
        <v>6.8400000000000006E-3</v>
      </c>
      <c r="H38" s="75">
        <f>PERCENTILE(H7:H16,C38)</f>
        <v>0.11974000000000001</v>
      </c>
      <c r="I38" s="75">
        <f>PERCENTILE(I7:I16,C38)</f>
        <v>-4.2910000000000025E-2</v>
      </c>
      <c r="J38" s="75">
        <f>PERCENTILE(J7:J16,C38)</f>
        <v>-0.11809</v>
      </c>
      <c r="K38" s="75">
        <f>PERCENTILE(K7:K16,C38)</f>
        <v>-0.27160000000000006</v>
      </c>
      <c r="L38" s="75">
        <f>PERCENTILE(L7:L16,C38)</f>
        <v>0.23416000000000001</v>
      </c>
      <c r="M38" s="78">
        <f>PERCENTILE(M7:M16,C38)</f>
        <v>2.2999999999999998</v>
      </c>
      <c r="N38" s="75">
        <f>PERCENTILE(N7:N16,C38)</f>
        <v>0.18003000000000002</v>
      </c>
      <c r="O38" s="81">
        <f>PERCENTILE(O7:O16,C38)</f>
        <v>1.0490000000000002</v>
      </c>
    </row>
    <row r="39" spans="3:15" x14ac:dyDescent="0.2">
      <c r="C39" s="44">
        <v>0.4</v>
      </c>
      <c r="D39" s="75">
        <f>PERCENTILE(D7:D16,C39)</f>
        <v>0.72939999999999994</v>
      </c>
      <c r="E39" s="75">
        <f>PERCENTILE(E7:E16,C39)</f>
        <v>0.112</v>
      </c>
      <c r="F39" s="75">
        <f>PERCENTILE(F7:F16,C39)</f>
        <v>4.2399999999999993E-2</v>
      </c>
      <c r="G39" s="75">
        <f>PERCENTILE(G7:G16,C39)</f>
        <v>7.5599999999999999E-3</v>
      </c>
      <c r="H39" s="75">
        <f>PERCENTILE(H7:H16,C39)</f>
        <v>0.13396</v>
      </c>
      <c r="I39" s="75">
        <f>PERCENTILE(I7:I16,C39)</f>
        <v>-8.5399999999999782E-3</v>
      </c>
      <c r="J39" s="75">
        <f>PERCENTILE(J7:J16,C39)</f>
        <v>-0.11656</v>
      </c>
      <c r="K39" s="75">
        <f>PERCENTILE(K7:K16,C39)</f>
        <v>-0.25240000000000001</v>
      </c>
      <c r="L39" s="75">
        <f>PERCENTILE(L7:L16,C39)</f>
        <v>0.26133999999999996</v>
      </c>
      <c r="M39" s="78">
        <f>PERCENTILE(M7:M16,C39)</f>
        <v>2.2999999999999998</v>
      </c>
      <c r="N39" s="75">
        <f>PERCENTILE(N7:N16,C39)</f>
        <v>0.21341999999999997</v>
      </c>
      <c r="O39" s="81">
        <f>PERCENTILE(O7:O16,C39)</f>
        <v>1.0760000000000001</v>
      </c>
    </row>
    <row r="40" spans="3:15" x14ac:dyDescent="0.2">
      <c r="C40" s="44">
        <v>0.45</v>
      </c>
      <c r="D40" s="75">
        <f>PERCENTILE(D7:D16,C40)</f>
        <v>0.73360000000000003</v>
      </c>
      <c r="E40" s="75">
        <f>PERCENTILE(E7:E16,C40)</f>
        <v>0.11695</v>
      </c>
      <c r="F40" s="75">
        <f>PERCENTILE(F7:F16,C40)</f>
        <v>5.425E-2</v>
      </c>
      <c r="G40" s="75">
        <f>PERCENTILE(G7:G16,C40)</f>
        <v>1.0414999999999994E-2</v>
      </c>
      <c r="H40" s="75">
        <f>PERCENTILE(H7:H16,C40)</f>
        <v>0.14844499999999999</v>
      </c>
      <c r="I40" s="75">
        <f>PERCENTILE(I7:I16,C40)</f>
        <v>1.2660000000000005E-2</v>
      </c>
      <c r="J40" s="75">
        <f>PERCENTILE(J7:J16,C40)</f>
        <v>-0.11503000000000001</v>
      </c>
      <c r="K40" s="75">
        <f>PERCENTILE(K7:K16,C40)</f>
        <v>-0.23319999999999999</v>
      </c>
      <c r="L40" s="75">
        <f>PERCENTILE(L7:L16,C40)</f>
        <v>0.28961499999999996</v>
      </c>
      <c r="M40" s="78">
        <f>PERCENTILE(M7:M16,C40)</f>
        <v>2.3449999999999998</v>
      </c>
      <c r="N40" s="75">
        <f>PERCENTILE(N7:N16,C40)</f>
        <v>0.245785</v>
      </c>
      <c r="O40" s="81">
        <f>PERCENTILE(O7:O16,C40)</f>
        <v>1.107</v>
      </c>
    </row>
    <row r="41" spans="3:15" x14ac:dyDescent="0.2">
      <c r="C41" s="44">
        <v>0.5</v>
      </c>
      <c r="D41" s="75">
        <f>PERCENTILE(D7:D16,C41)</f>
        <v>0.73899999999999999</v>
      </c>
      <c r="E41" s="75">
        <f>PERCENTILE(E7:E16,C41)</f>
        <v>0.14349999999999999</v>
      </c>
      <c r="F41" s="75">
        <f>PERCENTILE(F7:F16,C41)</f>
        <v>5.6499999999999995E-2</v>
      </c>
      <c r="G41" s="75">
        <f>PERCENTILE(G7:G16,C41)</f>
        <v>3.0350000000000002E-2</v>
      </c>
      <c r="H41" s="75">
        <f>PERCENTILE(H7:H16,C41)</f>
        <v>0.16505</v>
      </c>
      <c r="I41" s="75">
        <f>PERCENTILE(I7:I16,C41)</f>
        <v>1.6299999999999999E-2</v>
      </c>
      <c r="J41" s="75">
        <f>PERCENTILE(J7:J16,C41)</f>
        <v>-0.1135</v>
      </c>
      <c r="K41" s="75">
        <f>PERCENTILE(K7:K16,C41)</f>
        <v>-0.214</v>
      </c>
      <c r="L41" s="75">
        <f>PERCENTILE(L7:L16,C41)</f>
        <v>0.32665</v>
      </c>
      <c r="M41" s="78">
        <f>PERCENTILE(M7:M16,C41)</f>
        <v>2.4500000000000002</v>
      </c>
      <c r="N41" s="75">
        <f>PERCENTILE(N7:N16,C41)</f>
        <v>0.26995000000000002</v>
      </c>
      <c r="O41" s="81">
        <f>PERCENTILE(O7:O16,C41)</f>
        <v>1.17</v>
      </c>
    </row>
    <row r="42" spans="3:15" x14ac:dyDescent="0.2">
      <c r="C42" s="44">
        <v>0.55000000000000004</v>
      </c>
      <c r="D42" s="75">
        <f>PERCENTILE(D7:D16,C42)</f>
        <v>0.74439999999999995</v>
      </c>
      <c r="E42" s="75">
        <f>PERCENTILE(E7:E16,C42)</f>
        <v>0.17005000000000001</v>
      </c>
      <c r="F42" s="75">
        <f>PERCENTILE(F7:F16,C42)</f>
        <v>5.8749999999999997E-2</v>
      </c>
      <c r="G42" s="75">
        <f>PERCENTILE(G7:G16,C42)</f>
        <v>5.0285000000000003E-2</v>
      </c>
      <c r="H42" s="75">
        <f>PERCENTILE(H7:H16,C42)</f>
        <v>0.18165500000000001</v>
      </c>
      <c r="I42" s="75">
        <f>PERCENTILE(I7:I16,C42)</f>
        <v>1.9940000000000006E-2</v>
      </c>
      <c r="J42" s="75">
        <f>PERCENTILE(J7:J16,C42)</f>
        <v>-7.0539999999999908E-2</v>
      </c>
      <c r="K42" s="75">
        <f>PERCENTILE(K7:K16,C42)</f>
        <v>-0.15537999999999985</v>
      </c>
      <c r="L42" s="75">
        <f>PERCENTILE(L7:L16,C42)</f>
        <v>0.36368500000000004</v>
      </c>
      <c r="M42" s="78">
        <f>PERCENTILE(M7:M16,C42)</f>
        <v>2.5550000000000002</v>
      </c>
      <c r="N42" s="75">
        <f>PERCENTILE(N7:N16,C42)</f>
        <v>0.29411500000000002</v>
      </c>
      <c r="O42" s="81">
        <f>PERCENTILE(O7:O16,C42)</f>
        <v>1.2330000000000001</v>
      </c>
    </row>
    <row r="43" spans="3:15" x14ac:dyDescent="0.2">
      <c r="C43" s="44">
        <v>0.6</v>
      </c>
      <c r="D43" s="75">
        <f>PERCENTILE(D7:D16,C43)</f>
        <v>0.75780000000000003</v>
      </c>
      <c r="E43" s="75">
        <f>PERCENTILE(E7:E16,C43)</f>
        <v>0.18499999999999997</v>
      </c>
      <c r="F43" s="75">
        <f>PERCENTILE(F7:F16,C43)</f>
        <v>9.8999999999999949E-2</v>
      </c>
      <c r="G43" s="75">
        <f>PERCENTILE(G7:G16,C43)</f>
        <v>7.0859999999999979E-2</v>
      </c>
      <c r="H43" s="75">
        <f>PERCENTILE(H7:H16,C43)</f>
        <v>0.19394</v>
      </c>
      <c r="I43" s="75">
        <f>PERCENTILE(I7:I16,C43)</f>
        <v>2.334E-2</v>
      </c>
      <c r="J43" s="75">
        <f>PERCENTILE(J7:J16,C43)</f>
        <v>-2.7580000000000063E-2</v>
      </c>
      <c r="K43" s="75">
        <f>PERCENTILE(K7:K16,C43)</f>
        <v>-9.6760000000000068E-2</v>
      </c>
      <c r="L43" s="75">
        <f>PERCENTILE(L7:L16,C43)</f>
        <v>0.43511999999999995</v>
      </c>
      <c r="M43" s="78">
        <f>PERCENTILE(M7:M16,C43)</f>
        <v>2.8600000000000003</v>
      </c>
      <c r="N43" s="75">
        <f>PERCENTILE(N7:N16,C43)</f>
        <v>0.29808000000000001</v>
      </c>
      <c r="O43" s="81">
        <f>PERCENTILE(O7:O16,C43)</f>
        <v>1.248</v>
      </c>
    </row>
    <row r="44" spans="3:15" x14ac:dyDescent="0.2">
      <c r="C44" s="44">
        <v>0.65</v>
      </c>
      <c r="D44" s="75">
        <f>PERCENTILE(D7:D16,C44)</f>
        <v>0.7722</v>
      </c>
      <c r="E44" s="75">
        <f>PERCENTILE(E7:E16,C44)</f>
        <v>0.19850000000000004</v>
      </c>
      <c r="F44" s="75">
        <f>PERCENTILE(F7:F16,C44)</f>
        <v>0.14400000000000007</v>
      </c>
      <c r="G44" s="75">
        <f>PERCENTILE(G7:G16,C44)</f>
        <v>9.1515000000000027E-2</v>
      </c>
      <c r="H44" s="75">
        <f>PERCENTILE(H7:H16,C44)</f>
        <v>0.20568500000000001</v>
      </c>
      <c r="I44" s="75">
        <f>PERCENTILE(I7:I16,C44)</f>
        <v>2.656E-2</v>
      </c>
      <c r="J44" s="75">
        <f>PERCENTILE(J7:J16,C44)</f>
        <v>1.5380000000000046E-2</v>
      </c>
      <c r="K44" s="75">
        <f>PERCENTILE(K7:K16,C44)</f>
        <v>-3.8139999999999924E-2</v>
      </c>
      <c r="L44" s="75">
        <f>PERCENTILE(L7:L16,C44)</f>
        <v>0.51085500000000006</v>
      </c>
      <c r="M44" s="78">
        <f>PERCENTILE(M7:M16,C44)</f>
        <v>3.3149999999999995</v>
      </c>
      <c r="N44" s="75">
        <f>PERCENTILE(N7:N16,C44)</f>
        <v>0.29952000000000001</v>
      </c>
      <c r="O44" s="81">
        <f>PERCENTILE(O7:O16,C44)</f>
        <v>1.2570000000000001</v>
      </c>
    </row>
    <row r="45" spans="3:15" x14ac:dyDescent="0.2">
      <c r="C45" s="44">
        <v>0.7</v>
      </c>
      <c r="D45" s="75">
        <f>PERCENTILE(D7:D16,C45)</f>
        <v>0.77910000000000001</v>
      </c>
      <c r="E45" s="75">
        <f>PERCENTILE(E7:E16,C45)</f>
        <v>0.23419999999999999</v>
      </c>
      <c r="F45" s="75">
        <f>PERCENTILE(F7:F16,C45)</f>
        <v>0.1875</v>
      </c>
      <c r="G45" s="75">
        <f>PERCENTILE(G7:G16,C45)</f>
        <v>0.12125999999999999</v>
      </c>
      <c r="H45" s="75">
        <f>PERCENTILE(H7:H16,C45)</f>
        <v>0.21196999999999999</v>
      </c>
      <c r="I45" s="75">
        <f>PERCENTILE(I7:I16,C45)</f>
        <v>2.9779999999999994E-2</v>
      </c>
      <c r="J45" s="75">
        <f>PERCENTILE(J7:J16,C45)</f>
        <v>0.15735999999999956</v>
      </c>
      <c r="K45" s="75">
        <f>PERCENTILE(K7:K16,C45)</f>
        <v>6.6199999999999107E-3</v>
      </c>
      <c r="L45" s="75">
        <f>PERCENTILE(L7:L16,C45)</f>
        <v>0.63989999999999991</v>
      </c>
      <c r="M45" s="78">
        <f>PERCENTILE(M7:M16,C45)</f>
        <v>3.7699999999999991</v>
      </c>
      <c r="N45" s="75">
        <f>PERCENTILE(N7:N16,C45)</f>
        <v>0.30357000000000001</v>
      </c>
      <c r="O45" s="81">
        <f>PERCENTILE(O7:O16,C45)</f>
        <v>1.266</v>
      </c>
    </row>
    <row r="46" spans="3:15" x14ac:dyDescent="0.2">
      <c r="C46" s="44">
        <v>0.75</v>
      </c>
      <c r="D46" s="75">
        <f>PERCENTILE(D7:D16,C46)</f>
        <v>0.78225</v>
      </c>
      <c r="E46" s="75">
        <f>PERCENTILE(E7:E16,C46)</f>
        <v>0.28100000000000003</v>
      </c>
      <c r="F46" s="75">
        <f>PERCENTILE(F7:F16,C46)</f>
        <v>0.23025000000000001</v>
      </c>
      <c r="G46" s="75">
        <f>PERCENTILE(G7:G16,C46)</f>
        <v>0.15555000000000002</v>
      </c>
      <c r="H46" s="75">
        <f>PERCENTILE(H7:H16,C46)</f>
        <v>0.21552499999999999</v>
      </c>
      <c r="I46" s="75">
        <f>PERCENTILE(I7:I16,C46)</f>
        <v>7.7649999999999997E-2</v>
      </c>
      <c r="J46" s="75">
        <f>PERCENTILE(J7:J16,C46)</f>
        <v>0.34885000000000005</v>
      </c>
      <c r="K46" s="75">
        <f>PERCENTILE(K7:K16,C46)</f>
        <v>4.4449999999999996E-2</v>
      </c>
      <c r="L46" s="75">
        <f>PERCENTILE(L7:L16,C46)</f>
        <v>0.79559999999999997</v>
      </c>
      <c r="M46" s="78">
        <f>PERCENTILE(M7:M16,C46)</f>
        <v>4.0999999999999996</v>
      </c>
      <c r="N46" s="75">
        <f>PERCENTILE(N7:N16,C46)</f>
        <v>0.30892500000000001</v>
      </c>
      <c r="O46" s="81">
        <f>PERCENTILE(O7:O16,C46)</f>
        <v>1.2749999999999999</v>
      </c>
    </row>
    <row r="47" spans="3:15" x14ac:dyDescent="0.2">
      <c r="C47" s="44">
        <v>0.8</v>
      </c>
      <c r="D47" s="75">
        <f>PERCENTILE(D7:D16,C47)</f>
        <v>0.79</v>
      </c>
      <c r="E47" s="75">
        <f>PERCENTILE(E7:E16,C47)</f>
        <v>0.32019999999999993</v>
      </c>
      <c r="F47" s="75">
        <f>PERCENTILE(F7:F16,C47)</f>
        <v>0.2616</v>
      </c>
      <c r="G47" s="75">
        <f>PERCENTILE(G7:G16,C47)</f>
        <v>0.18083999999999997</v>
      </c>
      <c r="H47" s="75">
        <f>PERCENTILE(H7:H16,C47)</f>
        <v>0.2473199999999999</v>
      </c>
      <c r="I47" s="75">
        <f>PERCENTILE(I7:I16,C47)</f>
        <v>0.14338000000000009</v>
      </c>
      <c r="J47" s="75">
        <f>PERCENTILE(J7:J16,C47)</f>
        <v>0.54034000000000049</v>
      </c>
      <c r="K47" s="75">
        <f>PERCENTILE(K7:K16,C47)</f>
        <v>8.2280000000000075E-2</v>
      </c>
      <c r="L47" s="75">
        <f>PERCENTILE(L7:L16,C47)</f>
        <v>0.90993999999999997</v>
      </c>
      <c r="M47" s="78">
        <f>PERCENTILE(M7:M16,C47)</f>
        <v>4.3800000000000008</v>
      </c>
      <c r="N47" s="75">
        <f>PERCENTILE(N7:N16,C47)</f>
        <v>0.32457999999999998</v>
      </c>
      <c r="O47" s="81">
        <f>PERCENTILE(O7:O16,C47)</f>
        <v>1.282</v>
      </c>
    </row>
    <row r="48" spans="3:15" x14ac:dyDescent="0.2">
      <c r="C48" s="44">
        <v>0.85</v>
      </c>
      <c r="D48" s="75">
        <f>PERCENTILE(D7:D16,C48)</f>
        <v>0.80349999999999988</v>
      </c>
      <c r="E48" s="75">
        <f>PERCENTILE(E7:E16,C48)</f>
        <v>0.34989999999999988</v>
      </c>
      <c r="F48" s="75">
        <f>PERCENTILE(F7:F16,C48)</f>
        <v>0.27869999999999995</v>
      </c>
      <c r="G48" s="75">
        <f>PERCENTILE(G7:G16,C48)</f>
        <v>0.19487999999999997</v>
      </c>
      <c r="H48" s="75">
        <f>PERCENTILE(H7:H16,C48)</f>
        <v>0.31441499999999978</v>
      </c>
      <c r="I48" s="75">
        <f>PERCENTILE(I7:I16,C48)</f>
        <v>0.20911000000000005</v>
      </c>
      <c r="J48" s="75">
        <f>PERCENTILE(J7:J16,C48)</f>
        <v>0.80983999999999945</v>
      </c>
      <c r="K48" s="75">
        <f>PERCENTILE(K7:K16,C48)</f>
        <v>0.17611999999999975</v>
      </c>
      <c r="L48" s="75">
        <f>PERCENTILE(L7:L16,C48)</f>
        <v>0.97257999999999989</v>
      </c>
      <c r="M48" s="78">
        <f>PERCENTILE(M7:M16,C48)</f>
        <v>4.66</v>
      </c>
      <c r="N48" s="75">
        <f>PERCENTILE(N7:N16,C48)</f>
        <v>0.35310999999999992</v>
      </c>
      <c r="O48" s="81">
        <f>PERCENTILE(O7:O16,C48)</f>
        <v>1.2865</v>
      </c>
    </row>
    <row r="49" spans="3:15" x14ac:dyDescent="0.2">
      <c r="C49" s="44">
        <v>0.9</v>
      </c>
      <c r="D49" s="75">
        <f>PERCENTILE(D7:D16,C49)</f>
        <v>0.82029999999999992</v>
      </c>
      <c r="E49" s="75">
        <f>PERCENTILE(E7:E16,C49)</f>
        <v>0.3745</v>
      </c>
      <c r="F49" s="75">
        <f>PERCENTILE(F7:F16,C49)</f>
        <v>0.29669999999999996</v>
      </c>
      <c r="G49" s="75">
        <f>PERCENTILE(G7:G16,C49)</f>
        <v>0.21153999999999998</v>
      </c>
      <c r="H49" s="75">
        <f>PERCENTILE(H7:H16,C49)</f>
        <v>0.39934999999999987</v>
      </c>
      <c r="I49" s="75">
        <f>PERCENTILE(I7:I16,C49)</f>
        <v>0.27108999999999994</v>
      </c>
      <c r="J49" s="75">
        <f>PERCENTILE(J7:J16,C49)</f>
        <v>1.2353600000000005</v>
      </c>
      <c r="K49" s="75">
        <f>PERCENTILE(K7:K16,C49)</f>
        <v>0.38198000000000021</v>
      </c>
      <c r="L49" s="75">
        <f>PERCENTILE(L7:L16,C49)</f>
        <v>1.02193</v>
      </c>
      <c r="M49" s="78">
        <f>PERCENTILE(M7:M16,C49)</f>
        <v>6.6499999999999986</v>
      </c>
      <c r="N49" s="75">
        <f>PERCENTILE(N7:N16,C49)</f>
        <v>0.4048699999999999</v>
      </c>
      <c r="O49" s="81">
        <f>PERCENTILE(O7:O16,C49)</f>
        <v>1.292</v>
      </c>
    </row>
    <row r="50" spans="3:15" x14ac:dyDescent="0.2">
      <c r="C50" s="44">
        <v>0.95</v>
      </c>
      <c r="D50" s="75">
        <f>PERCENTILE(D7:D16,C50)</f>
        <v>0.8486499999999999</v>
      </c>
      <c r="E50" s="75">
        <f>PERCENTILE(E7:E16,C50)</f>
        <v>0.38124999999999998</v>
      </c>
      <c r="F50" s="75">
        <f>PERCENTILE(F7:F16,C50)</f>
        <v>0.31784999999999997</v>
      </c>
      <c r="G50" s="75">
        <f>PERCENTILE(G7:G16,C50)</f>
        <v>0.23736999999999994</v>
      </c>
      <c r="H50" s="75">
        <f>PERCENTILE(H7:H16,C50)</f>
        <v>0.54672499999999968</v>
      </c>
      <c r="I50" s="75">
        <f>PERCENTILE(I7:I16,C50)</f>
        <v>0.33244499999999988</v>
      </c>
      <c r="J50" s="75">
        <f>PERCENTILE(J7:J16,C50)</f>
        <v>1.6608799999999988</v>
      </c>
      <c r="K50" s="75">
        <f>PERCENTILE(K7:K16,C50)</f>
        <v>0.58783999999999947</v>
      </c>
      <c r="L50" s="75">
        <f>PERCENTILE(L7:L16,C50)</f>
        <v>1.0247650000000001</v>
      </c>
      <c r="M50" s="78">
        <f>PERCENTILE(M7:M16,C50)</f>
        <v>8.9249999999999972</v>
      </c>
      <c r="N50" s="75">
        <f>PERCENTILE(N7:N16,C50)</f>
        <v>0.53793499999999972</v>
      </c>
      <c r="O50" s="81">
        <f>PERCENTILE(O7:O16,C50)</f>
        <v>1.3009999999999999</v>
      </c>
    </row>
    <row r="51" spans="3:15" ht="10.5" thickBot="1" x14ac:dyDescent="0.25">
      <c r="C51" s="46">
        <v>1</v>
      </c>
      <c r="D51" s="76">
        <f>PERCENTILE(D7:D16,C51)</f>
        <v>0.877</v>
      </c>
      <c r="E51" s="76">
        <f>PERCENTILE(E7:E16,C51)</f>
        <v>0.38800000000000001</v>
      </c>
      <c r="F51" s="76">
        <f>PERCENTILE(F7:F16,C51)</f>
        <v>0.33900000000000002</v>
      </c>
      <c r="G51" s="76">
        <f>PERCENTILE(G7:G16,C51)</f>
        <v>0.26319999999999999</v>
      </c>
      <c r="H51" s="76">
        <f>PERCENTILE(H7:H16,C51)</f>
        <v>0.69410000000000005</v>
      </c>
      <c r="I51" s="76">
        <f>PERCENTILE(I7:I16,C51)</f>
        <v>0.39379999999999998</v>
      </c>
      <c r="J51" s="76">
        <f>PERCENTILE(J7:J16,C51)</f>
        <v>2.0863999999999998</v>
      </c>
      <c r="K51" s="76">
        <f>PERCENTILE(K7:K16,C51)</f>
        <v>0.79369999999999996</v>
      </c>
      <c r="L51" s="76">
        <f>PERCENTILE(L7:L16,C51)</f>
        <v>1.0276000000000001</v>
      </c>
      <c r="M51" s="79">
        <f>PERCENTILE(M7:M16,C51)</f>
        <v>11.2</v>
      </c>
      <c r="N51" s="76">
        <f>PERCENTILE(N7:N16,C51)</f>
        <v>0.67100000000000004</v>
      </c>
      <c r="O51" s="82">
        <f>PERCENTILE(O7:O16,C51)</f>
        <v>1.31</v>
      </c>
    </row>
  </sheetData>
  <conditionalFormatting sqref="D29:O29">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C80E5B-0A38-4BEA-A8AF-C5A78C60AB89}">
  <sheetPr codeName="Sheet3">
    <outlinePr summaryBelow="0" summaryRight="0"/>
  </sheetPr>
  <dimension ref="A4:IU50"/>
  <sheetViews>
    <sheetView defaultGridColor="0" colorId="0" workbookViewId="0"/>
  </sheetViews>
  <sheetFormatPr defaultRowHeight="10" x14ac:dyDescent="0.2"/>
  <cols>
    <col min="1" max="1" width="47.81640625" customWidth="1"/>
    <col min="2" max="17" width="20.81640625" customWidth="1"/>
  </cols>
  <sheetData>
    <row r="4" spans="1:255" ht="17" x14ac:dyDescent="0.35">
      <c r="A4" s="1" t="s">
        <v>0</v>
      </c>
    </row>
    <row r="7" spans="1:255" x14ac:dyDescent="0.2">
      <c r="A7" s="2" t="s">
        <v>1</v>
      </c>
      <c r="B7" s="2"/>
      <c r="C7" s="2"/>
      <c r="D7" s="2"/>
      <c r="E7" s="2"/>
      <c r="F7" s="2"/>
      <c r="G7" s="2"/>
      <c r="H7" s="2"/>
      <c r="I7" s="2"/>
      <c r="J7" s="2"/>
      <c r="K7" s="2"/>
      <c r="L7" s="2"/>
      <c r="M7" s="2"/>
      <c r="N7" s="2"/>
      <c r="O7" s="2"/>
      <c r="P7" s="2"/>
      <c r="Q7" s="2"/>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ht="10.5" x14ac:dyDescent="0.25">
      <c r="A8" s="3" t="s">
        <v>2</v>
      </c>
      <c r="B8" s="4" t="s">
        <v>3</v>
      </c>
    </row>
    <row r="9" spans="1:255" ht="10.5" x14ac:dyDescent="0.25">
      <c r="A9" s="3" t="s">
        <v>4</v>
      </c>
      <c r="B9" s="4" t="s">
        <v>5</v>
      </c>
    </row>
    <row r="10" spans="1:255" ht="10.5" x14ac:dyDescent="0.25">
      <c r="A10" s="3" t="s">
        <v>6</v>
      </c>
      <c r="B10" s="5">
        <v>45045</v>
      </c>
    </row>
    <row r="11" spans="1:255" x14ac:dyDescent="0.2">
      <c r="A11" s="6"/>
    </row>
    <row r="13" spans="1:255" x14ac:dyDescent="0.2">
      <c r="A13" s="2" t="s">
        <v>7</v>
      </c>
      <c r="B13" s="2"/>
      <c r="C13" s="2"/>
      <c r="D13" s="2"/>
      <c r="E13" s="2"/>
      <c r="F13" s="2"/>
      <c r="G13" s="2"/>
      <c r="H13" s="2"/>
      <c r="I13" s="2"/>
      <c r="J13" s="2"/>
      <c r="K13" s="2"/>
      <c r="L13" s="2"/>
      <c r="M13" s="2"/>
      <c r="N13" s="2"/>
      <c r="O13" s="2"/>
      <c r="P13" s="2"/>
      <c r="Q13" s="2"/>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ht="21" x14ac:dyDescent="0.2">
      <c r="A14" s="7" t="s">
        <v>8</v>
      </c>
      <c r="B14" s="11" t="s">
        <v>9</v>
      </c>
      <c r="C14" s="11" t="s">
        <v>10</v>
      </c>
      <c r="D14" s="11" t="s">
        <v>11</v>
      </c>
      <c r="E14" s="11" t="s">
        <v>12</v>
      </c>
      <c r="F14" s="11" t="s">
        <v>13</v>
      </c>
      <c r="G14" s="11" t="s">
        <v>14</v>
      </c>
      <c r="H14" s="11" t="s">
        <v>15</v>
      </c>
      <c r="I14" s="11" t="s">
        <v>16</v>
      </c>
      <c r="J14" s="15" t="s">
        <v>17</v>
      </c>
      <c r="K14" s="11" t="s">
        <v>18</v>
      </c>
      <c r="L14" s="11" t="s">
        <v>19</v>
      </c>
      <c r="M14" s="11" t="s">
        <v>20</v>
      </c>
      <c r="N14" s="11" t="s">
        <v>21</v>
      </c>
      <c r="O14" s="11" t="s">
        <v>22</v>
      </c>
      <c r="P14" s="11" t="s">
        <v>23</v>
      </c>
      <c r="Q14" s="11" t="s">
        <v>24</v>
      </c>
    </row>
    <row r="15" spans="1:255" ht="12" customHeight="1" x14ac:dyDescent="0.2">
      <c r="A15" s="7" t="s">
        <v>25</v>
      </c>
      <c r="B15" s="12">
        <v>198.37</v>
      </c>
      <c r="C15" s="13">
        <v>980.9</v>
      </c>
      <c r="D15" s="13">
        <v>194572.79999999999</v>
      </c>
      <c r="E15" s="13">
        <v>2371</v>
      </c>
      <c r="F15" s="14" t="s">
        <v>26</v>
      </c>
      <c r="G15" s="14" t="s">
        <v>26</v>
      </c>
      <c r="H15" s="13">
        <v>196943.8</v>
      </c>
      <c r="I15" s="12">
        <v>2.72</v>
      </c>
      <c r="J15" s="16">
        <v>44993</v>
      </c>
      <c r="K15" s="13">
        <v>31352</v>
      </c>
      <c r="L15" s="13">
        <v>5436</v>
      </c>
      <c r="M15" s="13">
        <v>1858</v>
      </c>
      <c r="N15" s="12">
        <v>0.21</v>
      </c>
      <c r="O15" s="12">
        <v>34639.449999999997</v>
      </c>
      <c r="P15" s="12">
        <v>10354.75</v>
      </c>
      <c r="Q15" s="12">
        <v>7.16</v>
      </c>
    </row>
    <row r="16" spans="1:255" ht="12" customHeight="1" x14ac:dyDescent="0.2">
      <c r="A16" s="7" t="s">
        <v>27</v>
      </c>
      <c r="B16" s="12">
        <v>107.34</v>
      </c>
      <c r="C16" s="13">
        <v>12697</v>
      </c>
      <c r="D16" s="13">
        <v>1368065.1</v>
      </c>
      <c r="E16" s="13">
        <v>-85609</v>
      </c>
      <c r="F16" s="14" t="s">
        <v>26</v>
      </c>
      <c r="G16" s="14" t="s">
        <v>26</v>
      </c>
      <c r="H16" s="13">
        <v>1282456.1000000001</v>
      </c>
      <c r="I16" s="12">
        <v>18.07</v>
      </c>
      <c r="J16" s="16">
        <v>45042</v>
      </c>
      <c r="K16" s="13">
        <v>284612</v>
      </c>
      <c r="L16" s="13">
        <v>87496</v>
      </c>
      <c r="M16" s="13">
        <v>72163</v>
      </c>
      <c r="N16" s="12">
        <v>4.5</v>
      </c>
      <c r="O16" s="12">
        <v>305544.75</v>
      </c>
      <c r="P16" s="12">
        <v>119349.94</v>
      </c>
      <c r="Q16" s="12">
        <v>5.55</v>
      </c>
    </row>
    <row r="17" spans="1:17" ht="12" customHeight="1" x14ac:dyDescent="0.2">
      <c r="A17" s="7" t="s">
        <v>28</v>
      </c>
      <c r="B17" s="12">
        <v>94.72</v>
      </c>
      <c r="C17" s="13">
        <v>2699.8</v>
      </c>
      <c r="D17" s="14" t="s">
        <v>26</v>
      </c>
      <c r="E17" s="13">
        <v>83042</v>
      </c>
      <c r="F17" s="14" t="s">
        <v>26</v>
      </c>
      <c r="G17" s="12">
        <v>509</v>
      </c>
      <c r="H17" s="13">
        <v>339276.2</v>
      </c>
      <c r="I17" s="12">
        <v>-27.64</v>
      </c>
      <c r="J17" s="16">
        <v>44995</v>
      </c>
      <c r="K17" s="13">
        <v>47958</v>
      </c>
      <c r="L17" s="13">
        <v>18604</v>
      </c>
      <c r="M17" s="13">
        <v>13983</v>
      </c>
      <c r="N17" s="12">
        <v>3.04</v>
      </c>
      <c r="O17" s="12">
        <v>52575.91</v>
      </c>
      <c r="P17" s="12">
        <v>25466.75</v>
      </c>
      <c r="Q17" s="12">
        <v>5.45</v>
      </c>
    </row>
    <row r="18" spans="1:17" ht="12" customHeight="1" x14ac:dyDescent="0.2">
      <c r="A18" s="7" t="s">
        <v>29</v>
      </c>
      <c r="B18" s="12">
        <v>125.03</v>
      </c>
      <c r="C18" s="13">
        <v>428.5</v>
      </c>
      <c r="D18" s="13">
        <v>53573.3</v>
      </c>
      <c r="E18" s="13">
        <v>6377</v>
      </c>
      <c r="F18" s="14" t="s">
        <v>26</v>
      </c>
      <c r="G18" s="14" t="s">
        <v>26</v>
      </c>
      <c r="H18" s="13">
        <v>59950.3</v>
      </c>
      <c r="I18" s="12">
        <v>-20.02</v>
      </c>
      <c r="J18" s="16">
        <v>45013</v>
      </c>
      <c r="K18" s="13">
        <v>13350</v>
      </c>
      <c r="L18" s="13">
        <v>2709</v>
      </c>
      <c r="M18" s="13">
        <v>2117</v>
      </c>
      <c r="N18" s="12">
        <v>3.09</v>
      </c>
      <c r="O18" s="12">
        <v>14120.92</v>
      </c>
      <c r="P18" s="12">
        <v>5188.47</v>
      </c>
      <c r="Q18" s="12">
        <v>6.92</v>
      </c>
    </row>
    <row r="19" spans="1:17" ht="12" customHeight="1" x14ac:dyDescent="0.2">
      <c r="A19" s="7" t="s">
        <v>30</v>
      </c>
      <c r="B19" s="12">
        <v>459.42</v>
      </c>
      <c r="C19" s="13">
        <v>203.7</v>
      </c>
      <c r="D19" s="13">
        <v>93602.3</v>
      </c>
      <c r="E19" s="13">
        <v>-2676</v>
      </c>
      <c r="F19" s="14" t="s">
        <v>26</v>
      </c>
      <c r="G19" s="14" t="s">
        <v>26</v>
      </c>
      <c r="H19" s="13">
        <v>90926.3</v>
      </c>
      <c r="I19" s="12">
        <v>22.41</v>
      </c>
      <c r="J19" s="16">
        <v>45043</v>
      </c>
      <c r="K19" s="13">
        <v>7619</v>
      </c>
      <c r="L19" s="13">
        <v>870</v>
      </c>
      <c r="M19" s="13">
        <v>412</v>
      </c>
      <c r="N19" s="12">
        <v>1.96</v>
      </c>
      <c r="O19" s="12">
        <v>9281.07</v>
      </c>
      <c r="P19" s="12">
        <v>3020.64</v>
      </c>
      <c r="Q19" s="12">
        <v>9.8800000000000008</v>
      </c>
    </row>
    <row r="20" spans="1:17" ht="12" customHeight="1" x14ac:dyDescent="0.2">
      <c r="A20" s="7" t="s">
        <v>31</v>
      </c>
      <c r="B20" s="12">
        <v>148.08000000000001</v>
      </c>
      <c r="C20" s="13">
        <v>325</v>
      </c>
      <c r="D20" s="13">
        <v>48126</v>
      </c>
      <c r="E20" s="13">
        <v>-4829.2</v>
      </c>
      <c r="F20" s="14" t="s">
        <v>26</v>
      </c>
      <c r="G20" s="12">
        <v>12.18</v>
      </c>
      <c r="H20" s="13">
        <v>43308.9</v>
      </c>
      <c r="I20" s="12">
        <v>14.19</v>
      </c>
      <c r="J20" s="16">
        <v>45014</v>
      </c>
      <c r="K20" s="13">
        <v>2065.6999999999998</v>
      </c>
      <c r="L20" s="13">
        <v>-783.6</v>
      </c>
      <c r="M20" s="13">
        <v>-837</v>
      </c>
      <c r="N20" s="12">
        <v>-2.5</v>
      </c>
      <c r="O20" s="12">
        <v>2886.76</v>
      </c>
      <c r="P20" s="12">
        <v>237.47</v>
      </c>
      <c r="Q20" s="12">
        <v>0.59</v>
      </c>
    </row>
    <row r="21" spans="1:17" ht="12" customHeight="1" x14ac:dyDescent="0.2">
      <c r="A21" s="7" t="s">
        <v>32</v>
      </c>
      <c r="B21" s="12">
        <v>105.45</v>
      </c>
      <c r="C21" s="13">
        <v>10260.4</v>
      </c>
      <c r="D21" s="13">
        <v>1081954.3</v>
      </c>
      <c r="E21" s="13">
        <v>114142</v>
      </c>
      <c r="F21" s="14" t="s">
        <v>26</v>
      </c>
      <c r="G21" s="14" t="s">
        <v>26</v>
      </c>
      <c r="H21" s="13">
        <v>1196096.3</v>
      </c>
      <c r="I21" s="12">
        <v>12.85</v>
      </c>
      <c r="J21" s="16">
        <v>45044</v>
      </c>
      <c r="K21" s="13">
        <v>524897</v>
      </c>
      <c r="L21" s="13">
        <v>57194</v>
      </c>
      <c r="M21" s="13">
        <v>13343</v>
      </c>
      <c r="N21" s="12">
        <v>0.42</v>
      </c>
      <c r="O21" s="14" t="s">
        <v>26</v>
      </c>
      <c r="P21" s="12">
        <v>92187.09</v>
      </c>
      <c r="Q21" s="12">
        <v>1.71</v>
      </c>
    </row>
    <row r="22" spans="1:17" ht="12" customHeight="1" x14ac:dyDescent="0.2">
      <c r="A22" s="7" t="s">
        <v>33</v>
      </c>
      <c r="B22" s="12">
        <v>377.56</v>
      </c>
      <c r="C22" s="13">
        <v>458.7</v>
      </c>
      <c r="D22" s="13">
        <v>173186.8</v>
      </c>
      <c r="E22" s="13">
        <v>-1527</v>
      </c>
      <c r="F22" s="14" t="s">
        <v>26</v>
      </c>
      <c r="G22" s="14" t="s">
        <v>26</v>
      </c>
      <c r="H22" s="13">
        <v>171659.8</v>
      </c>
      <c r="I22" s="12">
        <v>0.13</v>
      </c>
      <c r="J22" s="16">
        <v>45014</v>
      </c>
      <c r="K22" s="13">
        <v>17999</v>
      </c>
      <c r="L22" s="13">
        <v>6721</v>
      </c>
      <c r="M22" s="13">
        <v>6104</v>
      </c>
      <c r="N22" s="12">
        <v>10.14</v>
      </c>
      <c r="O22" s="12">
        <v>19792.57</v>
      </c>
      <c r="P22" s="12">
        <v>9731.4500000000007</v>
      </c>
      <c r="Q22" s="12">
        <v>15.94</v>
      </c>
    </row>
    <row r="23" spans="1:17" ht="12" customHeight="1" x14ac:dyDescent="0.2">
      <c r="A23" s="7" t="s">
        <v>34</v>
      </c>
      <c r="B23" s="12">
        <v>186.14</v>
      </c>
      <c r="C23" s="13">
        <v>259</v>
      </c>
      <c r="D23" s="13">
        <v>48213.2</v>
      </c>
      <c r="E23" s="13">
        <v>-2872.3</v>
      </c>
      <c r="F23" s="14" t="s">
        <v>26</v>
      </c>
      <c r="G23" s="14" t="s">
        <v>26</v>
      </c>
      <c r="H23" s="13">
        <v>45340.9</v>
      </c>
      <c r="I23" s="12">
        <v>9.3800000000000008</v>
      </c>
      <c r="J23" s="16">
        <v>44984</v>
      </c>
      <c r="K23" s="13">
        <v>6215.8</v>
      </c>
      <c r="L23" s="13">
        <v>142.19999999999999</v>
      </c>
      <c r="M23" s="13">
        <v>-222.2</v>
      </c>
      <c r="N23" s="12">
        <v>-1.44</v>
      </c>
      <c r="O23" s="12">
        <v>7197.8</v>
      </c>
      <c r="P23" s="12">
        <v>2026.14</v>
      </c>
      <c r="Q23" s="12">
        <v>5.1100000000000003</v>
      </c>
    </row>
    <row r="24" spans="1:17" ht="12" customHeight="1" x14ac:dyDescent="0.2">
      <c r="A24" s="7" t="s">
        <v>35</v>
      </c>
      <c r="B24" s="12">
        <v>86.24</v>
      </c>
      <c r="C24" s="13">
        <v>165.5</v>
      </c>
      <c r="D24" s="13">
        <v>14272.7</v>
      </c>
      <c r="E24" s="13">
        <v>2104.4</v>
      </c>
      <c r="F24" s="14" t="s">
        <v>26</v>
      </c>
      <c r="G24" s="14" t="s">
        <v>26</v>
      </c>
      <c r="H24" s="13">
        <v>16377.1</v>
      </c>
      <c r="I24" s="12">
        <v>-9.99</v>
      </c>
      <c r="J24" s="16">
        <v>45008</v>
      </c>
      <c r="K24" s="13">
        <v>3653.7</v>
      </c>
      <c r="L24" s="13">
        <v>-126</v>
      </c>
      <c r="M24" s="13">
        <v>-225.5</v>
      </c>
      <c r="N24" s="12">
        <v>-1.71</v>
      </c>
      <c r="O24" s="12">
        <v>3895.06</v>
      </c>
      <c r="P24" s="12">
        <v>737.7</v>
      </c>
      <c r="Q24" s="12">
        <v>2.78</v>
      </c>
    </row>
    <row r="25" spans="1:17" ht="10.5" x14ac:dyDescent="0.2">
      <c r="A25" s="7" t="s">
        <v>36</v>
      </c>
      <c r="B25" s="12">
        <v>307.26</v>
      </c>
      <c r="C25" s="13">
        <v>7435.5</v>
      </c>
      <c r="D25" s="13">
        <v>2284627.9</v>
      </c>
      <c r="E25" s="13">
        <v>-25107</v>
      </c>
      <c r="F25" s="14" t="s">
        <v>26</v>
      </c>
      <c r="G25" s="14" t="s">
        <v>26</v>
      </c>
      <c r="H25" s="13">
        <v>2259520.9</v>
      </c>
      <c r="I25" s="12">
        <v>15.71</v>
      </c>
      <c r="J25" s="16">
        <v>45041</v>
      </c>
      <c r="K25" s="13">
        <v>207591</v>
      </c>
      <c r="L25" s="13">
        <v>100080</v>
      </c>
      <c r="M25" s="13">
        <v>85974</v>
      </c>
      <c r="N25" s="12">
        <v>9.23</v>
      </c>
      <c r="O25" s="12">
        <v>227770.75</v>
      </c>
      <c r="P25" s="12">
        <v>113453.61</v>
      </c>
      <c r="Q25" s="12">
        <v>10.54</v>
      </c>
    </row>
    <row r="26" spans="1:17" ht="10.5" x14ac:dyDescent="0.2">
      <c r="A26" s="8"/>
      <c r="B26" s="8"/>
      <c r="C26" s="8"/>
      <c r="D26" s="8"/>
      <c r="E26" s="8"/>
      <c r="F26" s="8"/>
      <c r="G26" s="8"/>
      <c r="H26" s="8"/>
      <c r="I26" s="8"/>
      <c r="J26" s="8"/>
      <c r="K26" s="8"/>
      <c r="L26" s="8"/>
      <c r="M26" s="8"/>
      <c r="N26" s="8"/>
      <c r="O26" s="8"/>
      <c r="P26" s="8"/>
      <c r="Q26" s="8"/>
    </row>
    <row r="27" spans="1:17" ht="12" customHeight="1" x14ac:dyDescent="0.2">
      <c r="A27" s="7" t="s">
        <v>37</v>
      </c>
      <c r="B27" s="11" t="s">
        <v>9</v>
      </c>
      <c r="C27" s="11" t="s">
        <v>10</v>
      </c>
      <c r="D27" s="11" t="s">
        <v>11</v>
      </c>
      <c r="E27" s="11" t="s">
        <v>12</v>
      </c>
      <c r="F27" s="11" t="s">
        <v>13</v>
      </c>
      <c r="G27" s="11" t="s">
        <v>14</v>
      </c>
      <c r="H27" s="11" t="s">
        <v>15</v>
      </c>
      <c r="I27" s="11" t="s">
        <v>16</v>
      </c>
      <c r="J27" s="15" t="s">
        <v>17</v>
      </c>
      <c r="K27" s="11" t="s">
        <v>18</v>
      </c>
      <c r="L27" s="11" t="s">
        <v>19</v>
      </c>
      <c r="M27" s="11" t="s">
        <v>20</v>
      </c>
      <c r="N27" s="11" t="s">
        <v>21</v>
      </c>
      <c r="O27" s="11" t="s">
        <v>22</v>
      </c>
      <c r="P27" s="11" t="s">
        <v>23</v>
      </c>
      <c r="Q27" s="11" t="s">
        <v>24</v>
      </c>
    </row>
    <row r="28" spans="1:17" ht="10.5" x14ac:dyDescent="0.2">
      <c r="A28" s="7" t="s">
        <v>38</v>
      </c>
      <c r="B28" s="12">
        <v>459.42</v>
      </c>
      <c r="C28" s="13">
        <v>12697</v>
      </c>
      <c r="D28" s="13">
        <v>1368065.1</v>
      </c>
      <c r="E28" s="13">
        <v>114142</v>
      </c>
      <c r="F28" s="14" t="s">
        <v>26</v>
      </c>
      <c r="G28" s="12">
        <v>509</v>
      </c>
      <c r="H28" s="13">
        <v>1282456.1000000001</v>
      </c>
      <c r="I28" s="12">
        <v>22.41</v>
      </c>
      <c r="J28" s="17" t="s">
        <v>26</v>
      </c>
      <c r="K28" s="13">
        <v>524897</v>
      </c>
      <c r="L28" s="13">
        <v>87496</v>
      </c>
      <c r="M28" s="13">
        <v>72163</v>
      </c>
      <c r="N28" s="12">
        <v>10.14</v>
      </c>
      <c r="O28" s="12">
        <v>305544.75</v>
      </c>
      <c r="P28" s="12">
        <v>119349.94</v>
      </c>
      <c r="Q28" s="12">
        <v>15.94</v>
      </c>
    </row>
    <row r="29" spans="1:17" ht="10.5" x14ac:dyDescent="0.2">
      <c r="A29" s="7" t="s">
        <v>39</v>
      </c>
      <c r="B29" s="12">
        <v>86.24</v>
      </c>
      <c r="C29" s="13">
        <v>165.5</v>
      </c>
      <c r="D29" s="13">
        <v>14272.7</v>
      </c>
      <c r="E29" s="13">
        <v>-85609</v>
      </c>
      <c r="F29" s="14" t="s">
        <v>26</v>
      </c>
      <c r="G29" s="12">
        <v>12.18</v>
      </c>
      <c r="H29" s="13">
        <v>16377.1</v>
      </c>
      <c r="I29" s="12">
        <v>-27.64</v>
      </c>
      <c r="J29" s="17" t="s">
        <v>26</v>
      </c>
      <c r="K29" s="13">
        <v>2065.6999999999998</v>
      </c>
      <c r="L29" s="13">
        <v>-783.6</v>
      </c>
      <c r="M29" s="13">
        <v>-837</v>
      </c>
      <c r="N29" s="12">
        <v>-2.5</v>
      </c>
      <c r="O29" s="12">
        <v>2886.76</v>
      </c>
      <c r="P29" s="12">
        <v>237.47</v>
      </c>
      <c r="Q29" s="12">
        <v>0.59</v>
      </c>
    </row>
    <row r="30" spans="1:17" ht="10.5" x14ac:dyDescent="0.2">
      <c r="A30" s="7" t="s">
        <v>40</v>
      </c>
      <c r="B30" s="12">
        <v>188.84</v>
      </c>
      <c r="C30" s="13">
        <v>2847.8</v>
      </c>
      <c r="D30" s="13">
        <v>341729.6</v>
      </c>
      <c r="E30" s="13">
        <v>11052.3</v>
      </c>
      <c r="F30" s="14" t="s">
        <v>26</v>
      </c>
      <c r="G30" s="12">
        <v>260.58999999999997</v>
      </c>
      <c r="H30" s="13">
        <v>344233.6</v>
      </c>
      <c r="I30" s="12">
        <v>2.21</v>
      </c>
      <c r="J30" s="17" t="s">
        <v>26</v>
      </c>
      <c r="K30" s="13">
        <v>93972.2</v>
      </c>
      <c r="L30" s="13">
        <v>17826.2</v>
      </c>
      <c r="M30" s="13">
        <v>10869.5</v>
      </c>
      <c r="N30" s="12">
        <v>1.77</v>
      </c>
      <c r="O30" s="12">
        <v>49992.7</v>
      </c>
      <c r="P30" s="12">
        <v>26830.04</v>
      </c>
      <c r="Q30" s="12">
        <v>6.11</v>
      </c>
    </row>
    <row r="31" spans="1:17" ht="10.5" x14ac:dyDescent="0.2">
      <c r="A31" s="7" t="s">
        <v>41</v>
      </c>
      <c r="B31" s="12">
        <v>136.56</v>
      </c>
      <c r="C31" s="13">
        <v>443.6</v>
      </c>
      <c r="D31" s="13">
        <v>93602.3</v>
      </c>
      <c r="E31" s="13">
        <v>288.7</v>
      </c>
      <c r="F31" s="14" t="s">
        <v>26</v>
      </c>
      <c r="G31" s="12">
        <v>260.58999999999997</v>
      </c>
      <c r="H31" s="13">
        <v>131293</v>
      </c>
      <c r="I31" s="12">
        <v>6.05</v>
      </c>
      <c r="J31" s="17" t="s">
        <v>26</v>
      </c>
      <c r="K31" s="13">
        <v>15674.5</v>
      </c>
      <c r="L31" s="13">
        <v>4072.5</v>
      </c>
      <c r="M31" s="13">
        <v>1987.5</v>
      </c>
      <c r="N31" s="12">
        <v>1.19</v>
      </c>
      <c r="O31" s="12">
        <v>14120.92</v>
      </c>
      <c r="P31" s="12">
        <v>7459.96</v>
      </c>
      <c r="Q31" s="12">
        <v>5.5</v>
      </c>
    </row>
    <row r="32" spans="1:17" x14ac:dyDescent="0.2">
      <c r="A32" s="10"/>
      <c r="B32" s="10"/>
      <c r="C32" s="10"/>
      <c r="D32" s="10"/>
      <c r="E32" s="10"/>
      <c r="F32" s="10"/>
      <c r="G32" s="10"/>
      <c r="H32" s="10"/>
      <c r="I32" s="10"/>
      <c r="J32" s="10"/>
      <c r="K32" s="10"/>
      <c r="L32" s="10"/>
      <c r="M32" s="10"/>
      <c r="N32" s="10"/>
      <c r="O32" s="10"/>
      <c r="P32" s="10"/>
      <c r="Q32" s="10"/>
    </row>
    <row r="34" spans="1:1" x14ac:dyDescent="0.2">
      <c r="A34" s="6" t="s">
        <v>42</v>
      </c>
    </row>
    <row r="39" spans="1:1" x14ac:dyDescent="0.2">
      <c r="A39" t="s">
        <v>43</v>
      </c>
    </row>
    <row r="40" spans="1:1" x14ac:dyDescent="0.2">
      <c r="A40" t="s">
        <v>44</v>
      </c>
    </row>
    <row r="48" spans="1:1" ht="20" x14ac:dyDescent="0.2">
      <c r="A48" s="18" t="s">
        <v>45</v>
      </c>
    </row>
    <row r="50" ht="25" customHeight="1" x14ac:dyDescent="0.2"/>
  </sheetData>
  <pageMargins left="0.2" right="0.2" top="0.5" bottom="0.5" header="0.5" footer="0.5"/>
  <pageSetup fitToWidth="0" fitToHeight="0" orientation="landscape" horizontalDpi="300" verticalDpi="300"/>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9B561B-6165-4BB3-9D5B-B0C3DAEB836A}">
  <sheetPr codeName="Sheet4">
    <outlinePr summaryBelow="0" summaryRight="0"/>
  </sheetPr>
  <dimension ref="A4:IU50"/>
  <sheetViews>
    <sheetView defaultGridColor="0" colorId="0" workbookViewId="0"/>
  </sheetViews>
  <sheetFormatPr defaultRowHeight="10" x14ac:dyDescent="0.2"/>
  <cols>
    <col min="1" max="1" width="47.81640625" customWidth="1"/>
    <col min="2" max="9" width="20.81640625" customWidth="1"/>
  </cols>
  <sheetData>
    <row r="4" spans="1:255" ht="17" x14ac:dyDescent="0.35">
      <c r="A4" s="1" t="s">
        <v>46</v>
      </c>
    </row>
    <row r="7" spans="1:255" x14ac:dyDescent="0.2">
      <c r="A7" s="2" t="s">
        <v>1</v>
      </c>
      <c r="B7" s="2"/>
      <c r="C7" s="2"/>
      <c r="D7" s="2"/>
      <c r="E7" s="2"/>
      <c r="F7" s="2"/>
      <c r="G7" s="2"/>
      <c r="H7" s="2"/>
      <c r="I7" s="2"/>
      <c r="J7" s="41"/>
      <c r="K7" s="41"/>
      <c r="L7" s="41"/>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ht="10.5" x14ac:dyDescent="0.25">
      <c r="A8" s="3" t="s">
        <v>47</v>
      </c>
      <c r="B8" s="4" t="s">
        <v>3</v>
      </c>
    </row>
    <row r="9" spans="1:255" ht="10.5" x14ac:dyDescent="0.25">
      <c r="A9" s="3" t="s">
        <v>48</v>
      </c>
      <c r="B9" s="4" t="s">
        <v>5</v>
      </c>
    </row>
    <row r="10" spans="1:255" ht="10.5" x14ac:dyDescent="0.25">
      <c r="A10" s="3" t="s">
        <v>49</v>
      </c>
      <c r="B10" s="5">
        <v>45045</v>
      </c>
    </row>
    <row r="11" spans="1:255" x14ac:dyDescent="0.2">
      <c r="A11" s="6"/>
    </row>
    <row r="13" spans="1:255" x14ac:dyDescent="0.2">
      <c r="A13" s="2" t="s">
        <v>7</v>
      </c>
      <c r="B13" s="2"/>
      <c r="C13" s="2"/>
      <c r="D13" s="2"/>
      <c r="E13" s="2"/>
      <c r="F13" s="2"/>
      <c r="G13" s="2"/>
      <c r="H13" s="2"/>
      <c r="I13" s="2"/>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ht="21" x14ac:dyDescent="0.2">
      <c r="A14" s="7" t="s">
        <v>8</v>
      </c>
      <c r="B14" s="11" t="s">
        <v>50</v>
      </c>
      <c r="C14" s="11" t="s">
        <v>51</v>
      </c>
      <c r="D14" s="11" t="s">
        <v>52</v>
      </c>
      <c r="E14" s="11" t="s">
        <v>53</v>
      </c>
      <c r="F14" s="11" t="s">
        <v>54</v>
      </c>
      <c r="G14" s="11" t="s">
        <v>55</v>
      </c>
      <c r="H14" s="11" t="s">
        <v>56</v>
      </c>
      <c r="I14" s="11" t="s">
        <v>57</v>
      </c>
    </row>
    <row r="15" spans="1:255" ht="12" customHeight="1" x14ac:dyDescent="0.2">
      <c r="A15" s="7" t="s">
        <v>25</v>
      </c>
      <c r="B15" s="14" t="s">
        <v>26</v>
      </c>
      <c r="C15" s="14" t="s">
        <v>26</v>
      </c>
      <c r="D15" s="14" t="s">
        <v>26</v>
      </c>
      <c r="E15" s="14" t="s">
        <v>26</v>
      </c>
      <c r="F15" s="14" t="s">
        <v>26</v>
      </c>
      <c r="G15" s="19">
        <v>5.69</v>
      </c>
      <c r="H15" s="19">
        <v>19.02</v>
      </c>
      <c r="I15" s="19">
        <v>27.72</v>
      </c>
    </row>
    <row r="16" spans="1:255" ht="12" customHeight="1" x14ac:dyDescent="0.2">
      <c r="A16" s="7" t="s">
        <v>27</v>
      </c>
      <c r="B16" s="14" t="s">
        <v>26</v>
      </c>
      <c r="C16" s="14" t="s">
        <v>26</v>
      </c>
      <c r="D16" s="14" t="s">
        <v>26</v>
      </c>
      <c r="E16" s="14" t="s">
        <v>26</v>
      </c>
      <c r="F16" s="14" t="s">
        <v>26</v>
      </c>
      <c r="G16" s="19">
        <v>4.2</v>
      </c>
      <c r="H16" s="19">
        <v>10.75</v>
      </c>
      <c r="I16" s="19">
        <v>19.34</v>
      </c>
    </row>
    <row r="17" spans="1:9" ht="12" customHeight="1" x14ac:dyDescent="0.2">
      <c r="A17" s="7" t="s">
        <v>28</v>
      </c>
      <c r="B17" s="14" t="s">
        <v>26</v>
      </c>
      <c r="C17" s="14" t="s">
        <v>26</v>
      </c>
      <c r="D17" s="14" t="s">
        <v>26</v>
      </c>
      <c r="E17" s="14" t="s">
        <v>26</v>
      </c>
      <c r="F17" s="14" t="s">
        <v>26</v>
      </c>
      <c r="G17" s="19">
        <v>6.45</v>
      </c>
      <c r="H17" s="19">
        <v>13.32</v>
      </c>
      <c r="I17" s="19">
        <v>17.36</v>
      </c>
    </row>
    <row r="18" spans="1:9" ht="12" customHeight="1" x14ac:dyDescent="0.2">
      <c r="A18" s="7" t="s">
        <v>29</v>
      </c>
      <c r="B18" s="14" t="s">
        <v>26</v>
      </c>
      <c r="C18" s="14" t="s">
        <v>26</v>
      </c>
      <c r="D18" s="14" t="s">
        <v>26</v>
      </c>
      <c r="E18" s="14" t="s">
        <v>26</v>
      </c>
      <c r="F18" s="14" t="s">
        <v>26</v>
      </c>
      <c r="G18" s="19">
        <v>4.25</v>
      </c>
      <c r="H18" s="19">
        <v>11.55</v>
      </c>
      <c r="I18" s="19">
        <v>18.059999999999999</v>
      </c>
    </row>
    <row r="19" spans="1:9" ht="12" customHeight="1" x14ac:dyDescent="0.2">
      <c r="A19" s="7" t="s">
        <v>30</v>
      </c>
      <c r="B19" s="14" t="s">
        <v>26</v>
      </c>
      <c r="C19" s="14" t="s">
        <v>26</v>
      </c>
      <c r="D19" s="14" t="s">
        <v>26</v>
      </c>
      <c r="E19" s="14" t="s">
        <v>26</v>
      </c>
      <c r="F19" s="14" t="s">
        <v>26</v>
      </c>
      <c r="G19" s="19">
        <v>9.8000000000000007</v>
      </c>
      <c r="H19" s="19">
        <v>30.1</v>
      </c>
      <c r="I19" s="19">
        <v>46.5</v>
      </c>
    </row>
    <row r="20" spans="1:9" ht="12" customHeight="1" x14ac:dyDescent="0.2">
      <c r="A20" s="7" t="s">
        <v>31</v>
      </c>
      <c r="B20" s="14" t="s">
        <v>26</v>
      </c>
      <c r="C20" s="14" t="s">
        <v>26</v>
      </c>
      <c r="D20" s="14" t="s">
        <v>26</v>
      </c>
      <c r="E20" s="14" t="s">
        <v>26</v>
      </c>
      <c r="F20" s="14" t="s">
        <v>26</v>
      </c>
      <c r="G20" s="19">
        <v>15</v>
      </c>
      <c r="H20" s="19">
        <v>182.38</v>
      </c>
      <c r="I20" s="19">
        <v>249.62</v>
      </c>
    </row>
    <row r="21" spans="1:9" ht="12" customHeight="1" x14ac:dyDescent="0.2">
      <c r="A21" s="7" t="s">
        <v>32</v>
      </c>
      <c r="B21" s="14" t="s">
        <v>26</v>
      </c>
      <c r="C21" s="14" t="s">
        <v>26</v>
      </c>
      <c r="D21" s="14" t="s">
        <v>26</v>
      </c>
      <c r="E21" s="14" t="s">
        <v>26</v>
      </c>
      <c r="F21" s="14" t="s">
        <v>26</v>
      </c>
      <c r="G21" s="19">
        <v>2.09</v>
      </c>
      <c r="H21" s="19">
        <v>12.97</v>
      </c>
      <c r="I21" s="19">
        <v>61.71</v>
      </c>
    </row>
    <row r="22" spans="1:9" ht="12" customHeight="1" x14ac:dyDescent="0.2">
      <c r="A22" s="7" t="s">
        <v>33</v>
      </c>
      <c r="B22" s="14" t="s">
        <v>26</v>
      </c>
      <c r="C22" s="14" t="s">
        <v>26</v>
      </c>
      <c r="D22" s="14" t="s">
        <v>26</v>
      </c>
      <c r="E22" s="14" t="s">
        <v>26</v>
      </c>
      <c r="F22" s="14" t="s">
        <v>26</v>
      </c>
      <c r="G22" s="19">
        <v>8.67</v>
      </c>
      <c r="H22" s="19">
        <v>17.64</v>
      </c>
      <c r="I22" s="19">
        <v>23.68</v>
      </c>
    </row>
    <row r="23" spans="1:9" ht="12" customHeight="1" x14ac:dyDescent="0.2">
      <c r="A23" s="7" t="s">
        <v>34</v>
      </c>
      <c r="B23" s="14" t="s">
        <v>26</v>
      </c>
      <c r="C23" s="14" t="s">
        <v>26</v>
      </c>
      <c r="D23" s="14" t="s">
        <v>26</v>
      </c>
      <c r="E23" s="14" t="s">
        <v>26</v>
      </c>
      <c r="F23" s="14" t="s">
        <v>26</v>
      </c>
      <c r="G23" s="19">
        <v>6.3</v>
      </c>
      <c r="H23" s="19">
        <v>22.38</v>
      </c>
      <c r="I23" s="19">
        <v>36.39</v>
      </c>
    </row>
    <row r="24" spans="1:9" ht="12" customHeight="1" x14ac:dyDescent="0.2">
      <c r="A24" s="7" t="s">
        <v>35</v>
      </c>
      <c r="B24" s="14" t="s">
        <v>26</v>
      </c>
      <c r="C24" s="14" t="s">
        <v>26</v>
      </c>
      <c r="D24" s="14" t="s">
        <v>26</v>
      </c>
      <c r="E24" s="14" t="s">
        <v>26</v>
      </c>
      <c r="F24" s="14" t="s">
        <v>26</v>
      </c>
      <c r="G24" s="19">
        <v>4.2</v>
      </c>
      <c r="H24" s="19">
        <v>22.2</v>
      </c>
      <c r="I24" s="19">
        <v>31.07</v>
      </c>
    </row>
    <row r="25" spans="1:9" ht="10.5" x14ac:dyDescent="0.2">
      <c r="A25" s="7" t="s">
        <v>36</v>
      </c>
      <c r="B25" s="14" t="s">
        <v>26</v>
      </c>
      <c r="C25" s="14" t="s">
        <v>26</v>
      </c>
      <c r="D25" s="14" t="s">
        <v>26</v>
      </c>
      <c r="E25" s="14" t="s">
        <v>26</v>
      </c>
      <c r="F25" s="14" t="s">
        <v>26</v>
      </c>
      <c r="G25" s="19">
        <v>9.92</v>
      </c>
      <c r="H25" s="19">
        <v>19.920000000000002</v>
      </c>
      <c r="I25" s="19">
        <v>29.16</v>
      </c>
    </row>
    <row r="26" spans="1:9" ht="10.5" x14ac:dyDescent="0.2">
      <c r="A26" s="8"/>
      <c r="B26" s="8"/>
      <c r="C26" s="8"/>
      <c r="D26" s="8"/>
      <c r="E26" s="8"/>
      <c r="F26" s="8"/>
      <c r="G26" s="8"/>
      <c r="H26" s="8"/>
      <c r="I26" s="8"/>
    </row>
    <row r="27" spans="1:9" ht="12" customHeight="1" x14ac:dyDescent="0.2">
      <c r="A27" s="7" t="s">
        <v>37</v>
      </c>
      <c r="B27" s="11" t="s">
        <v>50</v>
      </c>
      <c r="C27" s="11" t="s">
        <v>51</v>
      </c>
      <c r="D27" s="11" t="s">
        <v>52</v>
      </c>
      <c r="E27" s="11" t="s">
        <v>53</v>
      </c>
      <c r="F27" s="11" t="s">
        <v>54</v>
      </c>
      <c r="G27" s="11" t="s">
        <v>55</v>
      </c>
      <c r="H27" s="11" t="s">
        <v>56</v>
      </c>
      <c r="I27" s="11" t="s">
        <v>57</v>
      </c>
    </row>
    <row r="28" spans="1:9" ht="10.5" x14ac:dyDescent="0.2">
      <c r="A28" s="7" t="s">
        <v>38</v>
      </c>
      <c r="B28" s="14" t="s">
        <v>26</v>
      </c>
      <c r="C28" s="14" t="s">
        <v>26</v>
      </c>
      <c r="D28" s="14" t="s">
        <v>26</v>
      </c>
      <c r="E28" s="14" t="s">
        <v>26</v>
      </c>
      <c r="F28" s="14" t="s">
        <v>26</v>
      </c>
      <c r="G28" s="19">
        <v>15</v>
      </c>
      <c r="H28" s="19">
        <v>182.38</v>
      </c>
      <c r="I28" s="19">
        <v>249.62</v>
      </c>
    </row>
    <row r="29" spans="1:9" ht="10.5" x14ac:dyDescent="0.2">
      <c r="A29" s="7" t="s">
        <v>39</v>
      </c>
      <c r="B29" s="14" t="s">
        <v>26</v>
      </c>
      <c r="C29" s="14" t="s">
        <v>26</v>
      </c>
      <c r="D29" s="14" t="s">
        <v>26</v>
      </c>
      <c r="E29" s="14" t="s">
        <v>26</v>
      </c>
      <c r="F29" s="14" t="s">
        <v>26</v>
      </c>
      <c r="G29" s="19">
        <v>2.09</v>
      </c>
      <c r="H29" s="19">
        <v>10.75</v>
      </c>
      <c r="I29" s="19">
        <v>17.36</v>
      </c>
    </row>
    <row r="30" spans="1:9" ht="10.5" x14ac:dyDescent="0.2">
      <c r="A30" s="7" t="s">
        <v>40</v>
      </c>
      <c r="B30" s="14" t="s">
        <v>26</v>
      </c>
      <c r="C30" s="14" t="s">
        <v>26</v>
      </c>
      <c r="D30" s="14" t="s">
        <v>26</v>
      </c>
      <c r="E30" s="14" t="s">
        <v>26</v>
      </c>
      <c r="F30" s="14" t="s">
        <v>26</v>
      </c>
      <c r="G30" s="19">
        <v>6.66</v>
      </c>
      <c r="H30" s="19">
        <v>34.229999999999997</v>
      </c>
      <c r="I30" s="19">
        <v>53.15</v>
      </c>
    </row>
    <row r="31" spans="1:9" ht="10.5" x14ac:dyDescent="0.2">
      <c r="A31" s="7" t="s">
        <v>41</v>
      </c>
      <c r="B31" s="14" t="s">
        <v>26</v>
      </c>
      <c r="C31" s="14" t="s">
        <v>26</v>
      </c>
      <c r="D31" s="14" t="s">
        <v>26</v>
      </c>
      <c r="E31" s="14" t="s">
        <v>26</v>
      </c>
      <c r="F31" s="14" t="s">
        <v>26</v>
      </c>
      <c r="G31" s="19">
        <v>5.99</v>
      </c>
      <c r="H31" s="19">
        <v>18.329999999999998</v>
      </c>
      <c r="I31" s="19">
        <v>29.39</v>
      </c>
    </row>
    <row r="32" spans="1:9" x14ac:dyDescent="0.2">
      <c r="A32" s="10"/>
      <c r="B32" s="10"/>
      <c r="C32" s="10"/>
      <c r="D32" s="10"/>
      <c r="E32" s="10"/>
      <c r="F32" s="10"/>
      <c r="G32" s="10"/>
      <c r="H32" s="10"/>
      <c r="I32" s="10"/>
    </row>
    <row r="34" spans="1:1" x14ac:dyDescent="0.2">
      <c r="A34" s="6" t="s">
        <v>42</v>
      </c>
    </row>
    <row r="39" spans="1:1" x14ac:dyDescent="0.2">
      <c r="A39" t="s">
        <v>43</v>
      </c>
    </row>
    <row r="40" spans="1:1" x14ac:dyDescent="0.2">
      <c r="A40" t="s">
        <v>44</v>
      </c>
    </row>
    <row r="48" spans="1:1" ht="20" x14ac:dyDescent="0.2">
      <c r="A48" s="18" t="s">
        <v>45</v>
      </c>
    </row>
    <row r="50" ht="25" customHeight="1" x14ac:dyDescent="0.2"/>
  </sheetData>
  <pageMargins left="0.2" right="0.2" top="0.5" bottom="0.5" header="0.5" footer="0.5"/>
  <pageSetup fitToWidth="0" fitToHeight="0" orientation="landscape" horizontalDpi="300" verticalDpi="300"/>
  <headerFooter alignWithMargins="0"/>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C1D971-2D2F-4BDC-9E48-25F9AA0FDB9E}">
  <sheetPr codeName="Sheet5">
    <outlinePr summaryBelow="0" summaryRight="0"/>
  </sheetPr>
  <dimension ref="A4:IU50"/>
  <sheetViews>
    <sheetView defaultGridColor="0" colorId="0" workbookViewId="0"/>
  </sheetViews>
  <sheetFormatPr defaultRowHeight="10" x14ac:dyDescent="0.2"/>
  <cols>
    <col min="1" max="1" width="47.81640625" customWidth="1"/>
    <col min="2" max="13" width="20.81640625" customWidth="1"/>
  </cols>
  <sheetData>
    <row r="4" spans="1:255" ht="17" x14ac:dyDescent="0.35">
      <c r="A4" s="1" t="s">
        <v>58</v>
      </c>
    </row>
    <row r="7" spans="1:255" x14ac:dyDescent="0.2">
      <c r="A7" s="2" t="s">
        <v>1</v>
      </c>
      <c r="B7" s="2"/>
      <c r="C7" s="2"/>
      <c r="D7" s="2"/>
      <c r="E7" s="2"/>
      <c r="F7" s="2"/>
      <c r="G7" s="2"/>
      <c r="H7" s="2"/>
      <c r="I7" s="2"/>
      <c r="J7" s="2"/>
      <c r="K7" s="2"/>
      <c r="L7" s="2"/>
      <c r="M7" s="2"/>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ht="10.5" x14ac:dyDescent="0.25">
      <c r="A8" s="3" t="s">
        <v>59</v>
      </c>
      <c r="B8" s="4" t="s">
        <v>3</v>
      </c>
    </row>
    <row r="9" spans="1:255" ht="10.5" x14ac:dyDescent="0.25">
      <c r="A9" s="3" t="s">
        <v>60</v>
      </c>
      <c r="B9" s="4" t="s">
        <v>5</v>
      </c>
    </row>
    <row r="10" spans="1:255" ht="10.5" x14ac:dyDescent="0.25">
      <c r="A10" s="3" t="s">
        <v>61</v>
      </c>
      <c r="B10" s="5">
        <v>45045</v>
      </c>
    </row>
    <row r="11" spans="1:255" x14ac:dyDescent="0.2">
      <c r="A11" s="6"/>
    </row>
    <row r="13" spans="1:255" x14ac:dyDescent="0.2">
      <c r="A13" s="2" t="s">
        <v>7</v>
      </c>
      <c r="B13" s="2"/>
      <c r="C13" s="2"/>
      <c r="D13" s="2"/>
      <c r="E13" s="2"/>
      <c r="F13" s="2"/>
      <c r="G13" s="2"/>
      <c r="H13" s="2"/>
      <c r="I13" s="2"/>
      <c r="J13" s="2"/>
      <c r="K13" s="2"/>
      <c r="L13" s="2"/>
      <c r="M13" s="2"/>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ht="21" x14ac:dyDescent="0.2">
      <c r="A14" s="7" t="s">
        <v>8</v>
      </c>
      <c r="B14" s="11" t="s">
        <v>62</v>
      </c>
      <c r="C14" s="11" t="s">
        <v>63</v>
      </c>
      <c r="D14" s="11" t="s">
        <v>64</v>
      </c>
      <c r="E14" s="11" t="s">
        <v>65</v>
      </c>
      <c r="F14" s="11" t="s">
        <v>66</v>
      </c>
      <c r="G14" s="11" t="s">
        <v>67</v>
      </c>
      <c r="H14" s="11" t="s">
        <v>68</v>
      </c>
      <c r="I14" s="11" t="s">
        <v>69</v>
      </c>
      <c r="J14" s="11" t="s">
        <v>70</v>
      </c>
      <c r="K14" s="11" t="s">
        <v>71</v>
      </c>
      <c r="L14" s="11" t="s">
        <v>72</v>
      </c>
      <c r="M14" s="11" t="s">
        <v>73</v>
      </c>
    </row>
    <row r="15" spans="1:255" ht="12" customHeight="1" x14ac:dyDescent="0.2">
      <c r="A15" s="7" t="s">
        <v>25</v>
      </c>
      <c r="B15" s="20">
        <v>0.73299999999999998</v>
      </c>
      <c r="C15" s="20">
        <v>0.17299999999999999</v>
      </c>
      <c r="D15" s="20">
        <v>5.8999999999999997E-2</v>
      </c>
      <c r="E15" s="21">
        <v>6.6E-3</v>
      </c>
      <c r="F15" s="21">
        <v>0.1835</v>
      </c>
      <c r="G15" s="21">
        <v>0.39379999999999998</v>
      </c>
      <c r="H15" s="21">
        <v>2.0863999999999998</v>
      </c>
      <c r="I15" s="21">
        <v>-0.85599999999999998</v>
      </c>
      <c r="J15" s="21">
        <v>0.20319999999999999</v>
      </c>
      <c r="K15" s="22">
        <v>2.2999999999999998</v>
      </c>
      <c r="L15" s="21">
        <v>0.24310000000000001</v>
      </c>
      <c r="M15" s="12">
        <v>1.24</v>
      </c>
    </row>
    <row r="16" spans="1:255" ht="12" customHeight="1" x14ac:dyDescent="0.2">
      <c r="A16" s="7" t="s">
        <v>27</v>
      </c>
      <c r="B16" s="20">
        <v>0.55300000000000005</v>
      </c>
      <c r="C16" s="20">
        <v>0.307</v>
      </c>
      <c r="D16" s="20">
        <v>0.254</v>
      </c>
      <c r="E16" s="21">
        <v>0.20580000000000001</v>
      </c>
      <c r="F16" s="21">
        <v>5.28E-2</v>
      </c>
      <c r="G16" s="21">
        <v>-8.7099999999999997E-2</v>
      </c>
      <c r="H16" s="21">
        <v>-0.1239</v>
      </c>
      <c r="I16" s="21">
        <v>-0.214</v>
      </c>
      <c r="J16" s="21">
        <v>0.1016</v>
      </c>
      <c r="K16" s="22">
        <v>0.3</v>
      </c>
      <c r="L16" s="21">
        <v>0.16889999999999999</v>
      </c>
      <c r="M16" s="12">
        <v>1.1000000000000001</v>
      </c>
    </row>
    <row r="17" spans="1:13" ht="12" customHeight="1" x14ac:dyDescent="0.2">
      <c r="A17" s="7" t="s">
        <v>28</v>
      </c>
      <c r="B17" s="20">
        <v>0.745</v>
      </c>
      <c r="C17" s="20">
        <v>0.38800000000000001</v>
      </c>
      <c r="D17" s="20">
        <v>0.29199999999999998</v>
      </c>
      <c r="E17" s="21">
        <v>0.17460000000000001</v>
      </c>
      <c r="F17" s="21">
        <v>0.14660000000000001</v>
      </c>
      <c r="G17" s="21">
        <v>1.11E-2</v>
      </c>
      <c r="H17" s="21">
        <v>-0.1186</v>
      </c>
      <c r="I17" s="21">
        <v>0.1075</v>
      </c>
      <c r="J17" s="21">
        <v>1.0213000000000001</v>
      </c>
      <c r="K17" s="22">
        <v>4.7</v>
      </c>
      <c r="L17" s="21">
        <v>0.1027</v>
      </c>
      <c r="M17" s="12">
        <v>1</v>
      </c>
    </row>
    <row r="18" spans="1:13" ht="12" customHeight="1" x14ac:dyDescent="0.2">
      <c r="A18" s="7" t="s">
        <v>29</v>
      </c>
      <c r="B18" s="20">
        <v>0.81399999999999995</v>
      </c>
      <c r="C18" s="20">
        <v>0.20300000000000001</v>
      </c>
      <c r="D18" s="20">
        <v>0.159</v>
      </c>
      <c r="E18" s="21">
        <v>9.8400000000000001E-2</v>
      </c>
      <c r="F18" s="21">
        <v>3.8800000000000001E-2</v>
      </c>
      <c r="G18" s="21">
        <v>-9.1200000000000003E-2</v>
      </c>
      <c r="H18" s="21">
        <v>-0.1135</v>
      </c>
      <c r="I18" s="21">
        <v>-0.27800000000000002</v>
      </c>
      <c r="J18" s="21">
        <v>0.8821</v>
      </c>
      <c r="K18" s="22">
        <v>3.9</v>
      </c>
      <c r="L18" s="21">
        <v>0.127</v>
      </c>
      <c r="M18" s="12">
        <v>0.84</v>
      </c>
    </row>
    <row r="19" spans="1:13" ht="12" customHeight="1" x14ac:dyDescent="0.2">
      <c r="A19" s="7" t="s">
        <v>30</v>
      </c>
      <c r="B19" s="20">
        <v>0.78400000000000003</v>
      </c>
      <c r="C19" s="20">
        <v>0.114</v>
      </c>
      <c r="D19" s="20">
        <v>5.3999999999999999E-2</v>
      </c>
      <c r="E19" s="21">
        <v>5.2499999999999998E-2</v>
      </c>
      <c r="F19" s="21">
        <v>0.2175</v>
      </c>
      <c r="G19" s="21">
        <v>0.2185</v>
      </c>
      <c r="H19" s="21">
        <v>0.66800000000000004</v>
      </c>
      <c r="I19" s="21">
        <v>0.79369999999999996</v>
      </c>
      <c r="J19" s="21">
        <v>0.28549999999999998</v>
      </c>
      <c r="K19" s="22">
        <v>2.2999999999999998</v>
      </c>
      <c r="L19" s="21">
        <v>0.31190000000000001</v>
      </c>
      <c r="M19" s="12">
        <v>1.04</v>
      </c>
    </row>
    <row r="20" spans="1:13" ht="12" customHeight="1" x14ac:dyDescent="0.2">
      <c r="A20" s="7" t="s">
        <v>31</v>
      </c>
      <c r="B20" s="20">
        <v>0.65300000000000002</v>
      </c>
      <c r="C20" s="20">
        <v>-0.379</v>
      </c>
      <c r="D20" s="20">
        <v>-0.40500000000000003</v>
      </c>
      <c r="E20" s="21">
        <v>-0.38569999999999999</v>
      </c>
      <c r="F20" s="21">
        <v>0.69410000000000005</v>
      </c>
      <c r="G20" s="14" t="s">
        <v>26</v>
      </c>
      <c r="H20" s="14" t="s">
        <v>26</v>
      </c>
      <c r="I20" s="14" t="s">
        <v>26</v>
      </c>
      <c r="J20" s="21">
        <v>4.3999999999999997E-2</v>
      </c>
      <c r="K20" s="14" t="s">
        <v>74</v>
      </c>
      <c r="L20" s="21">
        <v>0.3</v>
      </c>
      <c r="M20" s="12">
        <v>0.75</v>
      </c>
    </row>
    <row r="21" spans="1:13" ht="12" customHeight="1" x14ac:dyDescent="0.2">
      <c r="A21" s="7" t="s">
        <v>32</v>
      </c>
      <c r="B21" s="20">
        <v>0.44700000000000001</v>
      </c>
      <c r="C21" s="20">
        <v>0.109</v>
      </c>
      <c r="D21" s="20">
        <v>2.5000000000000001E-2</v>
      </c>
      <c r="E21" s="21">
        <v>8.2000000000000007E-3</v>
      </c>
      <c r="F21" s="21">
        <v>9.8699999999999996E-2</v>
      </c>
      <c r="G21" s="21">
        <v>2.1499999999999998E-2</v>
      </c>
      <c r="H21" s="21">
        <v>-0.3286</v>
      </c>
      <c r="I21" s="21">
        <v>-0.79949999999999999</v>
      </c>
      <c r="J21" s="21">
        <v>0.53610000000000002</v>
      </c>
      <c r="K21" s="22">
        <v>2.6</v>
      </c>
      <c r="L21" s="21">
        <v>0.37530000000000002</v>
      </c>
      <c r="M21" s="12">
        <v>1.26</v>
      </c>
    </row>
    <row r="22" spans="1:13" ht="12" customHeight="1" x14ac:dyDescent="0.2">
      <c r="A22" s="7" t="s">
        <v>33</v>
      </c>
      <c r="B22" s="20">
        <v>0.877</v>
      </c>
      <c r="C22" s="20">
        <v>0.373</v>
      </c>
      <c r="D22" s="20">
        <v>0.33900000000000002</v>
      </c>
      <c r="E22" s="21">
        <v>0.26319999999999999</v>
      </c>
      <c r="F22" s="21">
        <v>0.115</v>
      </c>
      <c r="G22" s="21">
        <v>3.0700000000000002E-2</v>
      </c>
      <c r="H22" s="21">
        <v>2.9700000000000001E-2</v>
      </c>
      <c r="I22" s="21">
        <v>-1.8599999999999998E-2</v>
      </c>
      <c r="J22" s="21">
        <v>0.22509999999999999</v>
      </c>
      <c r="K22" s="22">
        <v>0.6</v>
      </c>
      <c r="L22" s="21">
        <v>0.1474</v>
      </c>
      <c r="M22" s="12">
        <v>1.31</v>
      </c>
    </row>
    <row r="23" spans="1:13" ht="12" customHeight="1" x14ac:dyDescent="0.2">
      <c r="A23" s="7" t="s">
        <v>34</v>
      </c>
      <c r="B23" s="20">
        <v>0.72399999999999998</v>
      </c>
      <c r="C23" s="20">
        <v>2.3E-2</v>
      </c>
      <c r="D23" s="20">
        <v>-3.5999999999999997E-2</v>
      </c>
      <c r="E23" s="21">
        <v>-5.8999999999999997E-2</v>
      </c>
      <c r="F23" s="21">
        <v>0.20960000000000001</v>
      </c>
      <c r="G23" s="21">
        <v>-0.3745</v>
      </c>
      <c r="H23" s="14" t="s">
        <v>26</v>
      </c>
      <c r="I23" s="14" t="s">
        <v>26</v>
      </c>
      <c r="J23" s="21">
        <v>0.36780000000000002</v>
      </c>
      <c r="K23" s="22">
        <v>11.2</v>
      </c>
      <c r="L23" s="21">
        <v>0.29680000000000001</v>
      </c>
      <c r="M23" s="12">
        <v>1.28</v>
      </c>
    </row>
    <row r="24" spans="1:13" ht="12" customHeight="1" x14ac:dyDescent="0.2">
      <c r="A24" s="7" t="s">
        <v>35</v>
      </c>
      <c r="B24" s="20">
        <v>0.77700000000000002</v>
      </c>
      <c r="C24" s="20">
        <v>-3.4000000000000002E-2</v>
      </c>
      <c r="D24" s="20">
        <v>-6.2E-2</v>
      </c>
      <c r="E24" s="21">
        <v>-7.5999999999999998E-2</v>
      </c>
      <c r="F24" s="21">
        <v>0.36659999999999998</v>
      </c>
      <c r="G24" s="14" t="s">
        <v>26</v>
      </c>
      <c r="H24" s="14" t="s">
        <v>26</v>
      </c>
      <c r="I24" s="14" t="s">
        <v>26</v>
      </c>
      <c r="J24" s="21">
        <v>1.0276000000000001</v>
      </c>
      <c r="K24" s="14" t="s">
        <v>74</v>
      </c>
      <c r="L24" s="21">
        <v>0.67100000000000004</v>
      </c>
      <c r="M24" s="12">
        <v>1.29</v>
      </c>
    </row>
    <row r="25" spans="1:13" ht="10.5" x14ac:dyDescent="0.2">
      <c r="A25" s="7" t="s">
        <v>36</v>
      </c>
      <c r="B25" s="20">
        <v>0.68500000000000005</v>
      </c>
      <c r="C25" s="20">
        <v>0.48199999999999998</v>
      </c>
      <c r="D25" s="20">
        <v>0.41399999999999998</v>
      </c>
      <c r="E25" s="21">
        <v>0.33250000000000002</v>
      </c>
      <c r="F25" s="21">
        <v>7.8100000000000003E-2</v>
      </c>
      <c r="G25" s="21">
        <v>5.3699999999999998E-2</v>
      </c>
      <c r="H25" s="21">
        <v>4.9200000000000001E-2</v>
      </c>
      <c r="I25" s="21">
        <v>-4.7399999999999998E-2</v>
      </c>
      <c r="J25" s="21">
        <v>0.28949999999999998</v>
      </c>
      <c r="K25" s="22">
        <v>0.8</v>
      </c>
      <c r="L25" s="21">
        <v>0.1197</v>
      </c>
      <c r="M25" s="12">
        <v>0.93</v>
      </c>
    </row>
    <row r="26" spans="1:13" ht="10.5" x14ac:dyDescent="0.2">
      <c r="A26" s="8"/>
      <c r="B26" s="8"/>
      <c r="C26" s="8"/>
      <c r="D26" s="8"/>
      <c r="E26" s="8"/>
      <c r="F26" s="8"/>
      <c r="G26" s="8"/>
      <c r="H26" s="8"/>
      <c r="I26" s="8"/>
      <c r="J26" s="8"/>
      <c r="K26" s="8"/>
      <c r="L26" s="8"/>
      <c r="M26" s="8"/>
    </row>
    <row r="27" spans="1:13" ht="12" customHeight="1" x14ac:dyDescent="0.2">
      <c r="A27" s="7" t="s">
        <v>37</v>
      </c>
      <c r="B27" s="11" t="s">
        <v>62</v>
      </c>
      <c r="C27" s="11" t="s">
        <v>63</v>
      </c>
      <c r="D27" s="11" t="s">
        <v>64</v>
      </c>
      <c r="E27" s="11" t="s">
        <v>65</v>
      </c>
      <c r="F27" s="11" t="s">
        <v>66</v>
      </c>
      <c r="G27" s="11" t="s">
        <v>67</v>
      </c>
      <c r="H27" s="11" t="s">
        <v>68</v>
      </c>
      <c r="I27" s="11" t="s">
        <v>69</v>
      </c>
      <c r="J27" s="11" t="s">
        <v>70</v>
      </c>
      <c r="K27" s="11" t="s">
        <v>71</v>
      </c>
      <c r="L27" s="11" t="s">
        <v>72</v>
      </c>
      <c r="M27" s="11" t="s">
        <v>73</v>
      </c>
    </row>
    <row r="28" spans="1:13" ht="10.5" x14ac:dyDescent="0.2">
      <c r="A28" s="7" t="s">
        <v>38</v>
      </c>
      <c r="B28" s="20">
        <v>0.877</v>
      </c>
      <c r="C28" s="20">
        <v>0.38800000000000001</v>
      </c>
      <c r="D28" s="20">
        <v>0.33900000000000002</v>
      </c>
      <c r="E28" s="21">
        <v>0.26319999999999999</v>
      </c>
      <c r="F28" s="21">
        <v>0.69410000000000005</v>
      </c>
      <c r="G28" s="21">
        <v>0.39379999999999998</v>
      </c>
      <c r="H28" s="21">
        <v>2.0863999999999998</v>
      </c>
      <c r="I28" s="21">
        <v>0.79369999999999996</v>
      </c>
      <c r="J28" s="21">
        <v>1.0276000000000001</v>
      </c>
      <c r="K28" s="22">
        <v>11.2</v>
      </c>
      <c r="L28" s="21">
        <v>0.67100000000000004</v>
      </c>
      <c r="M28" s="12">
        <v>1.31</v>
      </c>
    </row>
    <row r="29" spans="1:13" ht="10.5" x14ac:dyDescent="0.2">
      <c r="A29" s="7" t="s">
        <v>39</v>
      </c>
      <c r="B29" s="20">
        <v>0.44700000000000001</v>
      </c>
      <c r="C29" s="20">
        <v>-0.379</v>
      </c>
      <c r="D29" s="20">
        <v>-0.40500000000000003</v>
      </c>
      <c r="E29" s="21">
        <v>-0.38569999999999999</v>
      </c>
      <c r="F29" s="21">
        <v>3.8800000000000001E-2</v>
      </c>
      <c r="G29" s="21">
        <v>-0.3745</v>
      </c>
      <c r="H29" s="21">
        <v>-0.3286</v>
      </c>
      <c r="I29" s="21">
        <v>-0.85599999999999998</v>
      </c>
      <c r="J29" s="21">
        <v>4.3999999999999997E-2</v>
      </c>
      <c r="K29" s="22">
        <v>0.3</v>
      </c>
      <c r="L29" s="21">
        <v>0.1027</v>
      </c>
      <c r="M29" s="12">
        <v>0.75</v>
      </c>
    </row>
    <row r="30" spans="1:13" ht="10.5" x14ac:dyDescent="0.2">
      <c r="A30" s="7" t="s">
        <v>40</v>
      </c>
      <c r="B30" s="20">
        <v>0.71099999999999997</v>
      </c>
      <c r="C30" s="20">
        <v>0.128</v>
      </c>
      <c r="D30" s="20">
        <v>6.8000000000000005E-2</v>
      </c>
      <c r="E30" s="21">
        <v>2.8899999999999999E-2</v>
      </c>
      <c r="F30" s="21">
        <v>0.21229999999999999</v>
      </c>
      <c r="G30" s="21">
        <v>1.54E-2</v>
      </c>
      <c r="H30" s="21">
        <v>0.2999</v>
      </c>
      <c r="I30" s="21">
        <v>-0.1807</v>
      </c>
      <c r="J30" s="21">
        <v>0.46939999999999998</v>
      </c>
      <c r="K30" s="22">
        <v>3.5</v>
      </c>
      <c r="L30" s="21">
        <v>0.27439999999999998</v>
      </c>
      <c r="M30" s="12">
        <v>1.1100000000000001</v>
      </c>
    </row>
    <row r="31" spans="1:13" ht="10.5" x14ac:dyDescent="0.2">
      <c r="A31" s="7" t="s">
        <v>41</v>
      </c>
      <c r="B31" s="20">
        <v>0.73899999999999999</v>
      </c>
      <c r="C31" s="20">
        <v>0.14399999999999999</v>
      </c>
      <c r="D31" s="20">
        <v>5.7000000000000002E-2</v>
      </c>
      <c r="E31" s="21">
        <v>3.0300000000000001E-2</v>
      </c>
      <c r="F31" s="21">
        <v>0.16500000000000001</v>
      </c>
      <c r="G31" s="21">
        <v>1.6299999999999999E-2</v>
      </c>
      <c r="H31" s="21">
        <v>-0.1135</v>
      </c>
      <c r="I31" s="21">
        <v>-0.214</v>
      </c>
      <c r="J31" s="21">
        <v>0.3266</v>
      </c>
      <c r="K31" s="22">
        <v>2.5</v>
      </c>
      <c r="L31" s="21">
        <v>0.26989999999999997</v>
      </c>
      <c r="M31" s="12">
        <v>1.17</v>
      </c>
    </row>
    <row r="32" spans="1:13" x14ac:dyDescent="0.2">
      <c r="A32" s="10"/>
      <c r="B32" s="10"/>
      <c r="C32" s="10"/>
      <c r="D32" s="10"/>
      <c r="E32" s="10"/>
      <c r="F32" s="10"/>
      <c r="G32" s="10"/>
      <c r="H32" s="10"/>
      <c r="I32" s="10"/>
      <c r="J32" s="10"/>
      <c r="K32" s="10"/>
      <c r="L32" s="10"/>
      <c r="M32" s="10"/>
    </row>
    <row r="34" spans="1:1" x14ac:dyDescent="0.2">
      <c r="A34" s="6" t="s">
        <v>42</v>
      </c>
    </row>
    <row r="39" spans="1:1" x14ac:dyDescent="0.2">
      <c r="A39" t="s">
        <v>43</v>
      </c>
    </row>
    <row r="40" spans="1:1" x14ac:dyDescent="0.2">
      <c r="A40" t="s">
        <v>44</v>
      </c>
    </row>
    <row r="48" spans="1:1" ht="20" x14ac:dyDescent="0.2">
      <c r="A48" s="18" t="s">
        <v>45</v>
      </c>
    </row>
    <row r="50" ht="25" customHeight="1" x14ac:dyDescent="0.2"/>
  </sheetData>
  <pageMargins left="0.2" right="0.2" top="0.5" bottom="0.5" header="0.5" footer="0.5"/>
  <pageSetup fitToWidth="0" fitToHeight="0" orientation="landscape" horizontalDpi="300" verticalDpi="300"/>
  <headerFooter alignWithMargins="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133AAE-90EA-47FD-991A-106F5CD3EAFE}">
  <sheetPr codeName="Sheet6">
    <outlinePr summaryBelow="0" summaryRight="0"/>
  </sheetPr>
  <dimension ref="A4:IU44"/>
  <sheetViews>
    <sheetView defaultGridColor="0" colorId="0" workbookViewId="0"/>
  </sheetViews>
  <sheetFormatPr defaultRowHeight="10" x14ac:dyDescent="0.2"/>
  <cols>
    <col min="1" max="1" width="47.81640625" customWidth="1"/>
    <col min="2" max="3" width="25.81640625" customWidth="1"/>
    <col min="4" max="9" width="9.26953125"/>
  </cols>
  <sheetData>
    <row r="4" spans="1:255" ht="17" x14ac:dyDescent="0.35">
      <c r="A4" s="1" t="s">
        <v>75</v>
      </c>
    </row>
    <row r="7" spans="1:255" x14ac:dyDescent="0.2">
      <c r="A7" s="2" t="s">
        <v>1</v>
      </c>
      <c r="B7" s="2"/>
      <c r="C7" s="2"/>
      <c r="D7" s="41"/>
      <c r="E7" s="41"/>
      <c r="F7" s="41"/>
      <c r="G7" s="41"/>
      <c r="H7" s="41"/>
      <c r="I7" s="41"/>
      <c r="J7" s="41"/>
      <c r="K7" s="41"/>
      <c r="L7" s="41"/>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ht="10.5" x14ac:dyDescent="0.25">
      <c r="A8" s="3" t="s">
        <v>76</v>
      </c>
      <c r="B8" s="4" t="s">
        <v>3</v>
      </c>
    </row>
    <row r="9" spans="1:255" ht="10.5" x14ac:dyDescent="0.25">
      <c r="A9" s="3" t="s">
        <v>77</v>
      </c>
      <c r="B9" s="4" t="s">
        <v>5</v>
      </c>
    </row>
    <row r="10" spans="1:255" ht="10.5" x14ac:dyDescent="0.25">
      <c r="A10" s="3" t="s">
        <v>78</v>
      </c>
      <c r="B10" s="5">
        <v>45045</v>
      </c>
    </row>
    <row r="11" spans="1:255" x14ac:dyDescent="0.2">
      <c r="A11" s="6"/>
    </row>
    <row r="13" spans="1:255" x14ac:dyDescent="0.2">
      <c r="A13" s="2" t="s">
        <v>7</v>
      </c>
      <c r="B13" s="2"/>
      <c r="C13" s="2"/>
      <c r="D13" s="41"/>
      <c r="E13" s="41"/>
      <c r="F13" s="41"/>
      <c r="G13" s="41"/>
      <c r="H13" s="41"/>
      <c r="I13" s="41"/>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ht="10.5" x14ac:dyDescent="0.2">
      <c r="A14" s="7" t="s">
        <v>8</v>
      </c>
      <c r="B14" s="7" t="s">
        <v>79</v>
      </c>
      <c r="C14" s="7" t="s">
        <v>80</v>
      </c>
    </row>
    <row r="15" spans="1:255" ht="12" customHeight="1" x14ac:dyDescent="0.2">
      <c r="A15" s="7" t="s">
        <v>25</v>
      </c>
      <c r="B15" s="23" t="s">
        <v>81</v>
      </c>
      <c r="C15" s="23" t="s">
        <v>82</v>
      </c>
    </row>
    <row r="16" spans="1:255" ht="12" customHeight="1" x14ac:dyDescent="0.2">
      <c r="A16" s="7" t="s">
        <v>27</v>
      </c>
      <c r="B16" s="23" t="s">
        <v>83</v>
      </c>
      <c r="C16" s="23" t="s">
        <v>84</v>
      </c>
    </row>
    <row r="17" spans="1:3" ht="12" customHeight="1" x14ac:dyDescent="0.2">
      <c r="A17" s="7" t="s">
        <v>28</v>
      </c>
      <c r="B17" s="23" t="s">
        <v>85</v>
      </c>
      <c r="C17" s="23" t="s">
        <v>86</v>
      </c>
    </row>
    <row r="18" spans="1:3" ht="12" customHeight="1" x14ac:dyDescent="0.2">
      <c r="A18" s="7" t="s">
        <v>29</v>
      </c>
      <c r="B18" s="23" t="s">
        <v>87</v>
      </c>
      <c r="C18" s="23" t="s">
        <v>88</v>
      </c>
    </row>
    <row r="19" spans="1:3" ht="12" customHeight="1" x14ac:dyDescent="0.2">
      <c r="A19" s="7" t="s">
        <v>30</v>
      </c>
      <c r="B19" s="23" t="s">
        <v>89</v>
      </c>
      <c r="C19" s="23" t="s">
        <v>90</v>
      </c>
    </row>
    <row r="20" spans="1:3" ht="12" customHeight="1" x14ac:dyDescent="0.2">
      <c r="A20" s="7" t="s">
        <v>31</v>
      </c>
      <c r="B20" s="23" t="s">
        <v>91</v>
      </c>
      <c r="C20" s="23" t="s">
        <v>92</v>
      </c>
    </row>
    <row r="21" spans="1:3" ht="12" customHeight="1" x14ac:dyDescent="0.2">
      <c r="A21" s="7" t="s">
        <v>32</v>
      </c>
      <c r="B21" s="23" t="s">
        <v>93</v>
      </c>
      <c r="C21" s="23" t="s">
        <v>94</v>
      </c>
    </row>
    <row r="22" spans="1:3" ht="12" customHeight="1" x14ac:dyDescent="0.2">
      <c r="A22" s="7" t="s">
        <v>33</v>
      </c>
      <c r="B22" s="23" t="s">
        <v>95</v>
      </c>
      <c r="C22" s="23" t="s">
        <v>96</v>
      </c>
    </row>
    <row r="23" spans="1:3" ht="12" customHeight="1" x14ac:dyDescent="0.2">
      <c r="A23" s="7" t="s">
        <v>34</v>
      </c>
      <c r="B23" s="23" t="s">
        <v>97</v>
      </c>
      <c r="C23" s="23" t="s">
        <v>98</v>
      </c>
    </row>
    <row r="24" spans="1:3" ht="12" customHeight="1" x14ac:dyDescent="0.2">
      <c r="A24" s="7" t="s">
        <v>35</v>
      </c>
      <c r="B24" s="23" t="s">
        <v>99</v>
      </c>
      <c r="C24" s="23" t="s">
        <v>100</v>
      </c>
    </row>
    <row r="25" spans="1:3" ht="10.5" x14ac:dyDescent="0.2">
      <c r="A25" s="8"/>
      <c r="B25" s="8"/>
      <c r="C25" s="8"/>
    </row>
    <row r="26" spans="1:3" ht="10.5" x14ac:dyDescent="0.2">
      <c r="A26" s="9"/>
      <c r="B26" s="9"/>
      <c r="C26" s="9"/>
    </row>
    <row r="27" spans="1:3" ht="12" customHeight="1" x14ac:dyDescent="0.2">
      <c r="A27" s="7" t="s">
        <v>36</v>
      </c>
      <c r="B27" s="23" t="s">
        <v>101</v>
      </c>
      <c r="C27" s="23" t="s">
        <v>102</v>
      </c>
    </row>
    <row r="28" spans="1:3" x14ac:dyDescent="0.2">
      <c r="A28" s="10"/>
      <c r="B28" s="10"/>
      <c r="C28" s="10"/>
    </row>
    <row r="30" spans="1:3" x14ac:dyDescent="0.2">
      <c r="A30" s="6" t="s">
        <v>42</v>
      </c>
    </row>
    <row r="35" spans="1:1" x14ac:dyDescent="0.2">
      <c r="A35" t="s">
        <v>43</v>
      </c>
    </row>
    <row r="36" spans="1:1" x14ac:dyDescent="0.2">
      <c r="A36" t="s">
        <v>44</v>
      </c>
    </row>
    <row r="44" spans="1:1" ht="25" customHeight="1" x14ac:dyDescent="0.2">
      <c r="A44" s="18" t="s">
        <v>45</v>
      </c>
    </row>
  </sheetData>
  <pageMargins left="0.2" right="0.2" top="0.5" bottom="0.5" header="0.5" footer="0.5"/>
  <pageSetup fitToWidth="0" fitToHeight="0" orientation="landscape" horizontalDpi="300" verticalDpi="300"/>
  <headerFooter alignWithMargins="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A4BDF5-2411-4B5F-A603-AD9DD6CB9A74}">
  <sheetPr codeName="Sheet7">
    <outlinePr summaryBelow="0" summaryRight="0"/>
  </sheetPr>
  <dimension ref="A4:IU69"/>
  <sheetViews>
    <sheetView defaultGridColor="0" colorId="0" workbookViewId="0"/>
  </sheetViews>
  <sheetFormatPr defaultRowHeight="10" x14ac:dyDescent="0.2"/>
  <cols>
    <col min="1" max="1" width="25.81640625" customWidth="1"/>
    <col min="2" max="3" width="20.81640625" customWidth="1"/>
    <col min="4" max="9" width="25.81640625" customWidth="1"/>
  </cols>
  <sheetData>
    <row r="4" spans="1:255" ht="17" x14ac:dyDescent="0.35">
      <c r="A4" s="1" t="s">
        <v>103</v>
      </c>
    </row>
    <row r="7" spans="1:255" x14ac:dyDescent="0.2">
      <c r="A7" s="2" t="s">
        <v>1</v>
      </c>
      <c r="B7" s="2"/>
      <c r="C7" s="2"/>
      <c r="D7" s="2"/>
      <c r="E7" s="2"/>
      <c r="F7" s="2"/>
      <c r="G7" s="2"/>
      <c r="H7" s="2"/>
      <c r="I7" s="2"/>
      <c r="J7" s="41"/>
      <c r="K7" s="41"/>
      <c r="L7" s="41"/>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ht="10.5" x14ac:dyDescent="0.25">
      <c r="A8" s="3" t="s">
        <v>104</v>
      </c>
      <c r="B8" s="4" t="s">
        <v>3</v>
      </c>
    </row>
    <row r="9" spans="1:255" ht="10.5" x14ac:dyDescent="0.25">
      <c r="A9" s="3" t="s">
        <v>105</v>
      </c>
      <c r="B9" s="4" t="s">
        <v>5</v>
      </c>
    </row>
    <row r="10" spans="1:255" ht="10.5" x14ac:dyDescent="0.25">
      <c r="A10" s="3" t="s">
        <v>106</v>
      </c>
      <c r="B10" s="5">
        <v>45045</v>
      </c>
    </row>
    <row r="11" spans="1:255" x14ac:dyDescent="0.2">
      <c r="A11" s="6"/>
    </row>
    <row r="13" spans="1:255" x14ac:dyDescent="0.2">
      <c r="A13" s="2" t="s">
        <v>7</v>
      </c>
      <c r="B13" s="2"/>
      <c r="C13" s="2"/>
      <c r="D13" s="2"/>
      <c r="E13" s="2"/>
      <c r="F13" s="2"/>
      <c r="G13" s="2"/>
      <c r="H13" s="2"/>
      <c r="I13" s="2"/>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ht="10.5" x14ac:dyDescent="0.2">
      <c r="A14" s="9" t="s">
        <v>8</v>
      </c>
      <c r="B14" s="11" t="s">
        <v>18</v>
      </c>
      <c r="C14" s="11" t="s">
        <v>19</v>
      </c>
      <c r="D14" s="11" t="s">
        <v>20</v>
      </c>
      <c r="E14" s="11" t="s">
        <v>22</v>
      </c>
      <c r="F14" s="11" t="s">
        <v>23</v>
      </c>
      <c r="G14" s="11" t="s">
        <v>107</v>
      </c>
      <c r="H14" s="11" t="s">
        <v>24</v>
      </c>
      <c r="I14" s="11" t="s">
        <v>16</v>
      </c>
    </row>
    <row r="15" spans="1:255" ht="12" customHeight="1" x14ac:dyDescent="0.2">
      <c r="A15" s="7" t="s">
        <v>36</v>
      </c>
      <c r="B15" s="13">
        <v>207591</v>
      </c>
      <c r="C15" s="13">
        <v>100080</v>
      </c>
      <c r="D15" s="13">
        <v>85974</v>
      </c>
      <c r="E15" s="12">
        <v>227770.75</v>
      </c>
      <c r="F15" s="12">
        <v>113453.61</v>
      </c>
      <c r="G15" s="12">
        <v>9.26</v>
      </c>
      <c r="H15" s="12">
        <v>10.54</v>
      </c>
      <c r="I15" s="12">
        <v>15.71</v>
      </c>
    </row>
    <row r="16" spans="1:255" ht="10.5" x14ac:dyDescent="0.2">
      <c r="A16" s="8"/>
      <c r="B16" s="8"/>
      <c r="C16" s="8"/>
      <c r="D16" s="8"/>
      <c r="E16" s="8"/>
      <c r="F16" s="8"/>
      <c r="G16" s="8"/>
      <c r="H16" s="8"/>
      <c r="I16" s="8"/>
    </row>
    <row r="17" spans="1:9" ht="10.5" x14ac:dyDescent="0.2">
      <c r="A17" s="9"/>
      <c r="B17" s="9" t="s">
        <v>108</v>
      </c>
      <c r="C17" s="9" t="s">
        <v>108</v>
      </c>
      <c r="D17" s="9" t="s">
        <v>108</v>
      </c>
      <c r="E17" s="9" t="s">
        <v>109</v>
      </c>
      <c r="F17" s="9" t="s">
        <v>108</v>
      </c>
      <c r="G17" s="9" t="s">
        <v>108</v>
      </c>
      <c r="H17" s="9" t="s">
        <v>110</v>
      </c>
      <c r="I17" s="9" t="s">
        <v>108</v>
      </c>
    </row>
    <row r="18" spans="1:9" ht="21" x14ac:dyDescent="0.2">
      <c r="A18" s="9"/>
      <c r="B18" s="11" t="s">
        <v>50</v>
      </c>
      <c r="C18" s="11" t="s">
        <v>51</v>
      </c>
      <c r="D18" s="11" t="s">
        <v>52</v>
      </c>
      <c r="E18" s="11" t="s">
        <v>111</v>
      </c>
      <c r="F18" s="11" t="s">
        <v>112</v>
      </c>
      <c r="G18" s="11" t="s">
        <v>53</v>
      </c>
      <c r="H18" s="11" t="s">
        <v>113</v>
      </c>
      <c r="I18" s="11" t="s">
        <v>54</v>
      </c>
    </row>
    <row r="19" spans="1:9" ht="10.5" x14ac:dyDescent="0.2">
      <c r="A19" s="9" t="s">
        <v>38</v>
      </c>
      <c r="B19" s="14" t="s">
        <v>74</v>
      </c>
      <c r="C19" s="14" t="s">
        <v>74</v>
      </c>
      <c r="D19" s="14" t="s">
        <v>74</v>
      </c>
      <c r="E19" s="19">
        <v>15</v>
      </c>
      <c r="F19" s="19">
        <v>182.38</v>
      </c>
      <c r="G19" s="14" t="s">
        <v>74</v>
      </c>
      <c r="H19" s="19">
        <v>249.62</v>
      </c>
      <c r="I19" s="14" t="s">
        <v>74</v>
      </c>
    </row>
    <row r="20" spans="1:9" ht="10.5" x14ac:dyDescent="0.2">
      <c r="A20" s="9" t="s">
        <v>39</v>
      </c>
      <c r="B20" s="14" t="s">
        <v>74</v>
      </c>
      <c r="C20" s="14" t="s">
        <v>74</v>
      </c>
      <c r="D20" s="14" t="s">
        <v>74</v>
      </c>
      <c r="E20" s="19">
        <v>2.09</v>
      </c>
      <c r="F20" s="19">
        <v>10.75</v>
      </c>
      <c r="G20" s="14" t="s">
        <v>74</v>
      </c>
      <c r="H20" s="19">
        <v>17.36</v>
      </c>
      <c r="I20" s="14" t="s">
        <v>74</v>
      </c>
    </row>
    <row r="21" spans="1:9" ht="10.5" x14ac:dyDescent="0.2">
      <c r="A21" s="9" t="s">
        <v>40</v>
      </c>
      <c r="B21" s="14" t="s">
        <v>74</v>
      </c>
      <c r="C21" s="14" t="s">
        <v>74</v>
      </c>
      <c r="D21" s="14" t="s">
        <v>74</v>
      </c>
      <c r="E21" s="19">
        <v>6.66</v>
      </c>
      <c r="F21" s="19">
        <v>34.229999999999997</v>
      </c>
      <c r="G21" s="14" t="s">
        <v>74</v>
      </c>
      <c r="H21" s="19">
        <v>53.15</v>
      </c>
      <c r="I21" s="14" t="s">
        <v>74</v>
      </c>
    </row>
    <row r="22" spans="1:9" ht="10.5" x14ac:dyDescent="0.2">
      <c r="A22" s="9" t="s">
        <v>41</v>
      </c>
      <c r="B22" s="14" t="s">
        <v>74</v>
      </c>
      <c r="C22" s="14" t="s">
        <v>74</v>
      </c>
      <c r="D22" s="14" t="s">
        <v>74</v>
      </c>
      <c r="E22" s="19">
        <v>5.99</v>
      </c>
      <c r="F22" s="19">
        <v>18.329999999999998</v>
      </c>
      <c r="G22" s="14" t="s">
        <v>74</v>
      </c>
      <c r="H22" s="19">
        <v>29.39</v>
      </c>
      <c r="I22" s="14" t="s">
        <v>74</v>
      </c>
    </row>
    <row r="23" spans="1:9" ht="10.5" x14ac:dyDescent="0.2">
      <c r="A23" s="8"/>
      <c r="B23" s="8"/>
      <c r="C23" s="8"/>
      <c r="D23" s="8"/>
      <c r="E23" s="8"/>
      <c r="F23" s="8"/>
      <c r="G23" s="8"/>
      <c r="H23" s="8"/>
      <c r="I23" s="8"/>
    </row>
    <row r="24" spans="1:9" ht="10.5" x14ac:dyDescent="0.2">
      <c r="A24" s="9" t="s">
        <v>114</v>
      </c>
      <c r="B24" s="9"/>
      <c r="C24" s="9"/>
      <c r="D24" s="9"/>
      <c r="E24" s="9"/>
      <c r="F24" s="9"/>
      <c r="G24" s="9"/>
      <c r="H24" s="9"/>
      <c r="I24" s="9"/>
    </row>
    <row r="25" spans="1:9" ht="10.5" x14ac:dyDescent="0.2">
      <c r="A25" s="7" t="s">
        <v>38</v>
      </c>
      <c r="B25" s="14" t="s">
        <v>115</v>
      </c>
      <c r="C25" s="14" t="s">
        <v>115</v>
      </c>
      <c r="D25" s="14" t="s">
        <v>115</v>
      </c>
      <c r="E25" s="12">
        <v>3417158.2</v>
      </c>
      <c r="F25" s="12">
        <v>20691356.91</v>
      </c>
      <c r="G25" s="8"/>
      <c r="H25" s="8"/>
      <c r="I25" s="8"/>
    </row>
    <row r="26" spans="1:9" ht="10.5" x14ac:dyDescent="0.2">
      <c r="A26" s="7" t="s">
        <v>39</v>
      </c>
      <c r="B26" s="14" t="s">
        <v>115</v>
      </c>
      <c r="C26" s="14" t="s">
        <v>115</v>
      </c>
      <c r="D26" s="14" t="s">
        <v>115</v>
      </c>
      <c r="E26" s="12">
        <v>475070.77</v>
      </c>
      <c r="F26" s="12">
        <v>1219098.07</v>
      </c>
      <c r="G26" s="8"/>
      <c r="H26" s="8"/>
      <c r="I26" s="8"/>
    </row>
    <row r="27" spans="1:9" ht="10.5" x14ac:dyDescent="0.2">
      <c r="A27" s="7" t="s">
        <v>40</v>
      </c>
      <c r="B27" s="14" t="s">
        <v>115</v>
      </c>
      <c r="C27" s="14" t="s">
        <v>115</v>
      </c>
      <c r="D27" s="14" t="s">
        <v>115</v>
      </c>
      <c r="E27" s="12">
        <v>1517943.51</v>
      </c>
      <c r="F27" s="12">
        <v>3883667.71</v>
      </c>
      <c r="G27" s="8"/>
      <c r="H27" s="8"/>
      <c r="I27" s="8"/>
    </row>
    <row r="28" spans="1:9" ht="10.5" x14ac:dyDescent="0.2">
      <c r="A28" s="7" t="s">
        <v>41</v>
      </c>
      <c r="B28" s="14" t="s">
        <v>115</v>
      </c>
      <c r="C28" s="14" t="s">
        <v>115</v>
      </c>
      <c r="D28" s="14" t="s">
        <v>115</v>
      </c>
      <c r="E28" s="12">
        <v>1364893.62</v>
      </c>
      <c r="F28" s="12">
        <v>2079567.92</v>
      </c>
      <c r="G28" s="8"/>
      <c r="H28" s="8"/>
      <c r="I28" s="8"/>
    </row>
    <row r="29" spans="1:9" ht="10.5" x14ac:dyDescent="0.2">
      <c r="A29" s="8"/>
      <c r="B29" s="8"/>
      <c r="C29" s="8"/>
      <c r="D29" s="8"/>
      <c r="E29" s="8"/>
      <c r="F29" s="8"/>
      <c r="G29" s="8"/>
      <c r="H29" s="8"/>
      <c r="I29" s="8"/>
    </row>
    <row r="30" spans="1:9" ht="12" customHeight="1" x14ac:dyDescent="0.2">
      <c r="A30" s="9" t="s">
        <v>116</v>
      </c>
      <c r="B30" s="13">
        <v>104419</v>
      </c>
      <c r="C30" s="13">
        <v>104419</v>
      </c>
      <c r="D30" s="13">
        <v>104419</v>
      </c>
      <c r="E30" s="13">
        <v>104419</v>
      </c>
      <c r="F30" s="13">
        <v>104419</v>
      </c>
      <c r="G30" s="8"/>
      <c r="H30" s="8"/>
      <c r="I30" s="8"/>
    </row>
    <row r="31" spans="1:9" ht="12" customHeight="1" x14ac:dyDescent="0.2">
      <c r="A31" s="9" t="s">
        <v>117</v>
      </c>
      <c r="B31" s="13">
        <v>79312</v>
      </c>
      <c r="C31" s="13">
        <v>79312</v>
      </c>
      <c r="D31" s="13">
        <v>79312</v>
      </c>
      <c r="E31" s="13">
        <v>79312</v>
      </c>
      <c r="F31" s="13">
        <v>79312</v>
      </c>
      <c r="G31" s="8"/>
      <c r="H31" s="8"/>
      <c r="I31" s="8"/>
    </row>
    <row r="32" spans="1:9" ht="12" customHeight="1" x14ac:dyDescent="0.2">
      <c r="A32" s="9" t="s">
        <v>118</v>
      </c>
      <c r="B32" s="14" t="s">
        <v>26</v>
      </c>
      <c r="C32" s="14" t="s">
        <v>26</v>
      </c>
      <c r="D32" s="14" t="s">
        <v>26</v>
      </c>
      <c r="E32" s="14" t="s">
        <v>26</v>
      </c>
      <c r="F32" s="14" t="s">
        <v>26</v>
      </c>
      <c r="G32" s="8"/>
      <c r="H32" s="8"/>
      <c r="I32" s="8"/>
    </row>
    <row r="33" spans="1:9" ht="12" customHeight="1" x14ac:dyDescent="0.2">
      <c r="A33" s="9" t="s">
        <v>119</v>
      </c>
      <c r="B33" s="14" t="s">
        <v>26</v>
      </c>
      <c r="C33" s="14" t="s">
        <v>26</v>
      </c>
      <c r="D33" s="14" t="s">
        <v>26</v>
      </c>
      <c r="E33" s="14" t="s">
        <v>26</v>
      </c>
      <c r="F33" s="14" t="s">
        <v>26</v>
      </c>
      <c r="G33" s="8"/>
      <c r="H33" s="8"/>
      <c r="I33" s="8"/>
    </row>
    <row r="34" spans="1:9" ht="10.5" x14ac:dyDescent="0.2">
      <c r="A34" s="8"/>
      <c r="B34" s="8"/>
      <c r="C34" s="8"/>
      <c r="D34" s="8"/>
      <c r="E34" s="8"/>
      <c r="F34" s="8"/>
      <c r="G34" s="8"/>
      <c r="H34" s="8"/>
      <c r="I34" s="8"/>
    </row>
    <row r="35" spans="1:9" ht="10.5" x14ac:dyDescent="0.2">
      <c r="A35" s="9" t="s">
        <v>120</v>
      </c>
      <c r="B35" s="9"/>
      <c r="C35" s="9"/>
      <c r="D35" s="9"/>
      <c r="E35" s="9"/>
      <c r="F35" s="9"/>
      <c r="G35" s="9"/>
      <c r="H35" s="9"/>
      <c r="I35" s="9"/>
    </row>
    <row r="36" spans="1:9" ht="10.5" x14ac:dyDescent="0.2">
      <c r="A36" s="7" t="s">
        <v>38</v>
      </c>
      <c r="B36" s="14" t="s">
        <v>115</v>
      </c>
      <c r="C36" s="14" t="s">
        <v>115</v>
      </c>
      <c r="D36" s="14" t="s">
        <v>115</v>
      </c>
      <c r="E36" s="12">
        <v>3442265.2</v>
      </c>
      <c r="F36" s="12">
        <v>20716463.91</v>
      </c>
      <c r="G36" s="14" t="s">
        <v>115</v>
      </c>
      <c r="H36" s="12">
        <v>19558330.579999998</v>
      </c>
      <c r="I36" s="14" t="s">
        <v>115</v>
      </c>
    </row>
    <row r="37" spans="1:9" ht="10.5" x14ac:dyDescent="0.2">
      <c r="A37" s="7" t="s">
        <v>39</v>
      </c>
      <c r="B37" s="14" t="s">
        <v>115</v>
      </c>
      <c r="C37" s="14" t="s">
        <v>115</v>
      </c>
      <c r="D37" s="14" t="s">
        <v>115</v>
      </c>
      <c r="E37" s="12">
        <v>500177.77</v>
      </c>
      <c r="F37" s="12">
        <v>1244205.07</v>
      </c>
      <c r="G37" s="14" t="s">
        <v>115</v>
      </c>
      <c r="H37" s="12">
        <v>1360523.53</v>
      </c>
      <c r="I37" s="14" t="s">
        <v>115</v>
      </c>
    </row>
    <row r="38" spans="1:9" ht="10.5" x14ac:dyDescent="0.2">
      <c r="A38" s="7" t="s">
        <v>40</v>
      </c>
      <c r="B38" s="14" t="s">
        <v>115</v>
      </c>
      <c r="C38" s="14" t="s">
        <v>115</v>
      </c>
      <c r="D38" s="14" t="s">
        <v>115</v>
      </c>
      <c r="E38" s="12">
        <v>1543050.51</v>
      </c>
      <c r="F38" s="12">
        <v>3908774.71</v>
      </c>
      <c r="G38" s="14" t="s">
        <v>115</v>
      </c>
      <c r="H38" s="12">
        <v>4164113.43</v>
      </c>
      <c r="I38" s="14" t="s">
        <v>115</v>
      </c>
    </row>
    <row r="39" spans="1:9" ht="10.5" x14ac:dyDescent="0.2">
      <c r="A39" s="7" t="s">
        <v>41</v>
      </c>
      <c r="B39" s="14" t="s">
        <v>115</v>
      </c>
      <c r="C39" s="14" t="s">
        <v>115</v>
      </c>
      <c r="D39" s="14" t="s">
        <v>115</v>
      </c>
      <c r="E39" s="12">
        <v>1390000.62</v>
      </c>
      <c r="F39" s="12">
        <v>2104674.92</v>
      </c>
      <c r="G39" s="14" t="s">
        <v>115</v>
      </c>
      <c r="H39" s="12">
        <v>2303150.9</v>
      </c>
      <c r="I39" s="14" t="s">
        <v>115</v>
      </c>
    </row>
    <row r="40" spans="1:9" ht="10.5" x14ac:dyDescent="0.2">
      <c r="A40" s="8"/>
      <c r="B40" s="8"/>
      <c r="C40" s="8"/>
      <c r="D40" s="8"/>
      <c r="E40" s="8"/>
      <c r="F40" s="8"/>
      <c r="G40" s="8"/>
      <c r="H40" s="8"/>
      <c r="I40" s="8"/>
    </row>
    <row r="41" spans="1:9" ht="12" customHeight="1" x14ac:dyDescent="0.2">
      <c r="A41" s="9" t="s">
        <v>121</v>
      </c>
      <c r="B41" s="12">
        <v>7435.49</v>
      </c>
      <c r="C41" s="12">
        <v>7435.49</v>
      </c>
      <c r="D41" s="12">
        <v>7435.49</v>
      </c>
      <c r="E41" s="12">
        <v>7435.49</v>
      </c>
      <c r="F41" s="12">
        <v>7435.49</v>
      </c>
      <c r="G41" s="12">
        <v>7435.49</v>
      </c>
      <c r="H41" s="12">
        <v>7435.49</v>
      </c>
      <c r="I41" s="12">
        <v>7435.49</v>
      </c>
    </row>
    <row r="42" spans="1:9" ht="10.5" x14ac:dyDescent="0.2">
      <c r="A42" s="8"/>
      <c r="B42" s="8"/>
      <c r="C42" s="8"/>
      <c r="D42" s="8"/>
      <c r="E42" s="8"/>
      <c r="F42" s="8"/>
      <c r="G42" s="8"/>
      <c r="H42" s="8"/>
      <c r="I42" s="8"/>
    </row>
    <row r="43" spans="1:9" ht="10.5" x14ac:dyDescent="0.2">
      <c r="A43" s="9" t="s">
        <v>122</v>
      </c>
      <c r="B43" s="9"/>
      <c r="C43" s="9"/>
      <c r="D43" s="9"/>
      <c r="E43" s="9"/>
      <c r="F43" s="9"/>
      <c r="G43" s="9"/>
      <c r="H43" s="9"/>
      <c r="I43" s="9"/>
    </row>
    <row r="44" spans="1:9" ht="10.5" x14ac:dyDescent="0.2">
      <c r="A44" s="7" t="s">
        <v>38</v>
      </c>
      <c r="B44" s="14" t="s">
        <v>115</v>
      </c>
      <c r="C44" s="14" t="s">
        <v>115</v>
      </c>
      <c r="D44" s="14" t="s">
        <v>115</v>
      </c>
      <c r="E44" s="12">
        <v>462.95</v>
      </c>
      <c r="F44" s="12">
        <v>2786.16</v>
      </c>
      <c r="G44" s="14" t="s">
        <v>115</v>
      </c>
      <c r="H44" s="12">
        <v>2630.4</v>
      </c>
      <c r="I44" s="14" t="s">
        <v>115</v>
      </c>
    </row>
    <row r="45" spans="1:9" ht="10.5" x14ac:dyDescent="0.2">
      <c r="A45" s="7" t="s">
        <v>39</v>
      </c>
      <c r="B45" s="14" t="s">
        <v>115</v>
      </c>
      <c r="C45" s="14" t="s">
        <v>115</v>
      </c>
      <c r="D45" s="14" t="s">
        <v>115</v>
      </c>
      <c r="E45" s="12">
        <v>67.27</v>
      </c>
      <c r="F45" s="12">
        <v>167.33</v>
      </c>
      <c r="G45" s="14" t="s">
        <v>115</v>
      </c>
      <c r="H45" s="12">
        <v>182.98</v>
      </c>
      <c r="I45" s="14" t="s">
        <v>115</v>
      </c>
    </row>
    <row r="46" spans="1:9" ht="10.5" x14ac:dyDescent="0.2">
      <c r="A46" s="7" t="s">
        <v>40</v>
      </c>
      <c r="B46" s="14" t="s">
        <v>115</v>
      </c>
      <c r="C46" s="14" t="s">
        <v>115</v>
      </c>
      <c r="D46" s="14" t="s">
        <v>115</v>
      </c>
      <c r="E46" s="12">
        <v>207.53</v>
      </c>
      <c r="F46" s="12">
        <v>525.69000000000005</v>
      </c>
      <c r="G46" s="14" t="s">
        <v>115</v>
      </c>
      <c r="H46" s="12">
        <v>560.03</v>
      </c>
      <c r="I46" s="14" t="s">
        <v>115</v>
      </c>
    </row>
    <row r="47" spans="1:9" ht="10.5" x14ac:dyDescent="0.2">
      <c r="A47" s="7" t="s">
        <v>41</v>
      </c>
      <c r="B47" s="14" t="s">
        <v>115</v>
      </c>
      <c r="C47" s="14" t="s">
        <v>115</v>
      </c>
      <c r="D47" s="14" t="s">
        <v>115</v>
      </c>
      <c r="E47" s="12">
        <v>186.94</v>
      </c>
      <c r="F47" s="12">
        <v>283.06</v>
      </c>
      <c r="G47" s="14" t="s">
        <v>115</v>
      </c>
      <c r="H47" s="12">
        <v>309.75</v>
      </c>
      <c r="I47" s="14" t="s">
        <v>115</v>
      </c>
    </row>
    <row r="48" spans="1:9" ht="10.5" x14ac:dyDescent="0.2">
      <c r="A48" s="8"/>
      <c r="B48" s="8"/>
      <c r="C48" s="8"/>
      <c r="D48" s="8"/>
      <c r="E48" s="8"/>
      <c r="F48" s="8"/>
      <c r="G48" s="8"/>
      <c r="H48" s="8"/>
      <c r="I48" s="8"/>
    </row>
    <row r="49" spans="1:9" ht="10.5" x14ac:dyDescent="0.2">
      <c r="A49" s="9" t="s">
        <v>123</v>
      </c>
      <c r="B49" s="11" t="s">
        <v>124</v>
      </c>
      <c r="C49" s="11" t="s">
        <v>125</v>
      </c>
      <c r="D49" s="9"/>
      <c r="E49" s="9"/>
      <c r="F49" s="9"/>
      <c r="G49" s="9"/>
      <c r="H49" s="9"/>
      <c r="I49" s="9"/>
    </row>
    <row r="50" spans="1:9" ht="10.5" x14ac:dyDescent="0.2">
      <c r="A50" s="9" t="s">
        <v>38</v>
      </c>
      <c r="B50" s="24">
        <v>14572353.23</v>
      </c>
      <c r="C50" s="24">
        <v>1959.84</v>
      </c>
      <c r="D50" s="8"/>
      <c r="E50" s="8"/>
      <c r="F50" s="8"/>
      <c r="G50" s="8"/>
      <c r="H50" s="8"/>
      <c r="I50" s="8"/>
    </row>
    <row r="51" spans="1:9" ht="10.5" x14ac:dyDescent="0.2">
      <c r="A51" s="9" t="s">
        <v>39</v>
      </c>
      <c r="B51" s="24">
        <v>1034968.79</v>
      </c>
      <c r="C51" s="24">
        <v>139.19</v>
      </c>
      <c r="D51" s="8"/>
      <c r="E51" s="8"/>
      <c r="F51" s="8"/>
      <c r="G51" s="8"/>
      <c r="H51" s="8"/>
      <c r="I51" s="8"/>
    </row>
    <row r="52" spans="1:9" ht="10.5" x14ac:dyDescent="0.2">
      <c r="A52" s="9" t="s">
        <v>40</v>
      </c>
      <c r="B52" s="24">
        <v>3205312.88</v>
      </c>
      <c r="C52" s="24">
        <v>431.08</v>
      </c>
      <c r="D52" s="8"/>
      <c r="E52" s="8"/>
      <c r="F52" s="8"/>
      <c r="G52" s="8"/>
      <c r="H52" s="8"/>
      <c r="I52" s="8"/>
    </row>
    <row r="53" spans="1:9" ht="10.5" x14ac:dyDescent="0.2">
      <c r="A53" s="9" t="s">
        <v>41</v>
      </c>
      <c r="B53" s="24">
        <v>1932608.81</v>
      </c>
      <c r="C53" s="24">
        <v>259.92</v>
      </c>
      <c r="D53" s="8"/>
      <c r="E53" s="8"/>
      <c r="F53" s="8"/>
      <c r="G53" s="8"/>
      <c r="H53" s="8"/>
      <c r="I53" s="8"/>
    </row>
    <row r="54" spans="1:9" x14ac:dyDescent="0.2">
      <c r="A54" s="10"/>
      <c r="B54" s="10"/>
      <c r="C54" s="10"/>
      <c r="D54" s="10"/>
      <c r="E54" s="10"/>
      <c r="F54" s="10"/>
      <c r="G54" s="10"/>
      <c r="H54" s="10"/>
      <c r="I54" s="10"/>
    </row>
    <row r="55" spans="1:9" x14ac:dyDescent="0.2">
      <c r="A55" s="6"/>
    </row>
    <row r="60" spans="1:9" x14ac:dyDescent="0.2">
      <c r="A60" t="s">
        <v>43</v>
      </c>
    </row>
    <row r="69" spans="1:1" ht="25" customHeight="1" x14ac:dyDescent="0.2">
      <c r="A69" s="18" t="s">
        <v>45</v>
      </c>
    </row>
  </sheetData>
  <pageMargins left="0.2" right="0.2" top="0.5" bottom="0.5" header="0.5" footer="0.5"/>
  <pageSetup fitToWidth="0" fitToHeight="0" orientation="landscape" horizontalDpi="300" verticalDpi="300"/>
  <headerFooter alignWithMargins="0"/>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D3795D-C6C2-409B-B0BA-D7039E9CFF85}">
  <sheetPr codeName="Sheet8">
    <outlinePr summaryBelow="0" summaryRight="0"/>
  </sheetPr>
  <dimension ref="A4:IU32"/>
  <sheetViews>
    <sheetView defaultGridColor="0" colorId="0" workbookViewId="0"/>
  </sheetViews>
  <sheetFormatPr defaultRowHeight="10" x14ac:dyDescent="0.2"/>
  <cols>
    <col min="1" max="1" width="25.81640625" customWidth="1"/>
    <col min="2" max="2" width="75.81640625" customWidth="1"/>
    <col min="3" max="8" width="9.26953125"/>
  </cols>
  <sheetData>
    <row r="4" spans="1:255" ht="17" x14ac:dyDescent="0.35">
      <c r="A4" s="1" t="s">
        <v>126</v>
      </c>
    </row>
    <row r="7" spans="1:255" x14ac:dyDescent="0.2">
      <c r="A7" s="2" t="s">
        <v>1</v>
      </c>
      <c r="B7" s="2"/>
      <c r="C7" s="41"/>
      <c r="D7" s="41"/>
      <c r="E7" s="41"/>
      <c r="F7" s="41"/>
      <c r="G7" s="41"/>
      <c r="H7" s="41"/>
      <c r="I7" s="41"/>
      <c r="J7" s="41"/>
      <c r="K7" s="41"/>
      <c r="L7" s="41"/>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ht="10.5" x14ac:dyDescent="0.25">
      <c r="A8" s="3" t="s">
        <v>127</v>
      </c>
      <c r="B8" s="4" t="s">
        <v>3</v>
      </c>
    </row>
    <row r="9" spans="1:255" ht="10.5" x14ac:dyDescent="0.25">
      <c r="A9" s="3" t="s">
        <v>128</v>
      </c>
      <c r="B9" s="4" t="s">
        <v>5</v>
      </c>
    </row>
    <row r="10" spans="1:255" ht="10.5" x14ac:dyDescent="0.25">
      <c r="A10" s="3" t="s">
        <v>129</v>
      </c>
      <c r="B10" s="5">
        <v>45045</v>
      </c>
    </row>
    <row r="11" spans="1:255" x14ac:dyDescent="0.2">
      <c r="A11" s="6"/>
    </row>
    <row r="13" spans="1:255" x14ac:dyDescent="0.2">
      <c r="A13" s="2" t="s">
        <v>7</v>
      </c>
      <c r="B13" s="2"/>
      <c r="C13" s="41"/>
      <c r="D13" s="41"/>
      <c r="E13" s="41"/>
      <c r="F13" s="41"/>
      <c r="G13" s="41"/>
      <c r="H13" s="41"/>
      <c r="I13" s="41"/>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ht="10.5" x14ac:dyDescent="0.2">
      <c r="A14" s="25"/>
      <c r="B14" s="27"/>
    </row>
    <row r="15" spans="1:255" ht="400" customHeight="1" x14ac:dyDescent="0.2">
      <c r="A15" s="26"/>
      <c r="B15" s="10"/>
    </row>
    <row r="18" spans="1:1" x14ac:dyDescent="0.2">
      <c r="A18" s="6"/>
    </row>
    <row r="23" spans="1:1" x14ac:dyDescent="0.2">
      <c r="A23" t="s">
        <v>43</v>
      </c>
    </row>
    <row r="32" spans="1:1" ht="25" customHeight="1" x14ac:dyDescent="0.2">
      <c r="A32" s="18" t="s">
        <v>45</v>
      </c>
    </row>
  </sheetData>
  <pageMargins left="0.2" right="0.2" top="0.5" bottom="0.5" header="0.5" footer="0.5"/>
  <pageSetup fitToWidth="0" fitToHeight="0" orientation="landscape" horizontalDpi="300" verticalDpi="300"/>
  <headerFooter alignWithMargins="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13C708-6D0C-4538-8880-BDD93A71F1B5}">
  <sheetPr codeName="Sheet9">
    <outlinePr summaryBelow="0" summaryRight="0"/>
  </sheetPr>
  <dimension ref="A4:IU48"/>
  <sheetViews>
    <sheetView defaultGridColor="0" colorId="0" workbookViewId="0"/>
  </sheetViews>
  <sheetFormatPr defaultRowHeight="10" x14ac:dyDescent="0.2"/>
  <cols>
    <col min="1" max="1" width="47.81640625" customWidth="1"/>
    <col min="2" max="5" width="13.81640625" customWidth="1"/>
    <col min="6" max="12" width="25.81640625" customWidth="1"/>
  </cols>
  <sheetData>
    <row r="4" spans="1:255" ht="17" x14ac:dyDescent="0.35">
      <c r="A4" s="1" t="s">
        <v>130</v>
      </c>
    </row>
    <row r="7" spans="1:255" x14ac:dyDescent="0.2">
      <c r="A7" s="2" t="s">
        <v>1</v>
      </c>
      <c r="B7" s="2"/>
      <c r="C7" s="2"/>
      <c r="D7" s="2"/>
      <c r="E7" s="2"/>
      <c r="F7" s="2"/>
      <c r="G7" s="2"/>
      <c r="H7" s="2"/>
      <c r="I7" s="2"/>
      <c r="J7" s="2"/>
      <c r="K7" s="2"/>
      <c r="L7" s="2"/>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ht="10.5" x14ac:dyDescent="0.25">
      <c r="A8" s="3" t="s">
        <v>131</v>
      </c>
      <c r="B8" s="4" t="s">
        <v>3</v>
      </c>
    </row>
    <row r="9" spans="1:255" ht="10.5" x14ac:dyDescent="0.25">
      <c r="A9" s="3" t="s">
        <v>132</v>
      </c>
      <c r="B9" s="4" t="s">
        <v>5</v>
      </c>
    </row>
    <row r="10" spans="1:255" ht="10.5" x14ac:dyDescent="0.25">
      <c r="A10" s="3" t="s">
        <v>133</v>
      </c>
      <c r="B10" s="5">
        <v>45045</v>
      </c>
    </row>
    <row r="11" spans="1:255" x14ac:dyDescent="0.2">
      <c r="A11" s="6"/>
    </row>
    <row r="13" spans="1:255" x14ac:dyDescent="0.2">
      <c r="A13" s="2" t="s">
        <v>7</v>
      </c>
      <c r="B13" s="2"/>
      <c r="C13" s="2"/>
      <c r="D13" s="2"/>
      <c r="E13" s="2"/>
      <c r="F13" s="2"/>
      <c r="G13" s="2"/>
      <c r="H13" s="2"/>
      <c r="I13" s="2"/>
      <c r="J13" s="2"/>
      <c r="K13" s="2"/>
      <c r="L13" s="2"/>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ht="21" x14ac:dyDescent="0.2">
      <c r="A14" s="28" t="s">
        <v>8</v>
      </c>
      <c r="B14" s="29" t="s">
        <v>134</v>
      </c>
      <c r="C14" s="29" t="s">
        <v>135</v>
      </c>
      <c r="D14" s="29" t="s">
        <v>136</v>
      </c>
      <c r="E14" s="29" t="s">
        <v>137</v>
      </c>
      <c r="F14" s="34" t="s">
        <v>138</v>
      </c>
      <c r="G14" s="34" t="s">
        <v>139</v>
      </c>
      <c r="H14" s="29" t="s">
        <v>140</v>
      </c>
      <c r="I14" s="29" t="s">
        <v>141</v>
      </c>
      <c r="J14" s="29" t="s">
        <v>142</v>
      </c>
      <c r="K14" s="28" t="s">
        <v>143</v>
      </c>
      <c r="L14" s="28" t="s">
        <v>144</v>
      </c>
    </row>
    <row r="15" spans="1:255" ht="12" customHeight="1" x14ac:dyDescent="0.2">
      <c r="A15" s="28" t="s">
        <v>27</v>
      </c>
      <c r="B15" s="30">
        <v>1</v>
      </c>
      <c r="C15" s="30">
        <v>1</v>
      </c>
      <c r="D15" s="30">
        <v>1</v>
      </c>
      <c r="E15" s="31">
        <v>2</v>
      </c>
      <c r="F15" s="35">
        <v>45016</v>
      </c>
      <c r="G15" s="35">
        <v>45043</v>
      </c>
      <c r="H15" s="36" t="s">
        <v>145</v>
      </c>
      <c r="I15" s="36" t="s">
        <v>146</v>
      </c>
      <c r="J15" s="36" t="s">
        <v>147</v>
      </c>
      <c r="K15" s="37" t="s">
        <v>148</v>
      </c>
      <c r="L15" s="37" t="s">
        <v>149</v>
      </c>
    </row>
    <row r="16" spans="1:255" ht="12" customHeight="1" x14ac:dyDescent="0.2">
      <c r="A16" s="28" t="s">
        <v>33</v>
      </c>
      <c r="B16" s="31">
        <v>2</v>
      </c>
      <c r="C16" s="31">
        <v>2</v>
      </c>
      <c r="D16" s="30">
        <v>1</v>
      </c>
      <c r="E16" s="32">
        <v>3</v>
      </c>
      <c r="F16" s="35">
        <v>45016</v>
      </c>
      <c r="G16" s="35">
        <v>45015</v>
      </c>
      <c r="H16" s="36" t="s">
        <v>150</v>
      </c>
      <c r="I16" s="36" t="s">
        <v>151</v>
      </c>
      <c r="J16" s="36" t="s">
        <v>152</v>
      </c>
      <c r="K16" s="37" t="s">
        <v>148</v>
      </c>
      <c r="L16" s="37" t="s">
        <v>153</v>
      </c>
    </row>
    <row r="17" spans="1:12" ht="12" customHeight="1" x14ac:dyDescent="0.2">
      <c r="A17" s="28" t="s">
        <v>30</v>
      </c>
      <c r="B17" s="31">
        <v>2</v>
      </c>
      <c r="C17" s="32">
        <v>3</v>
      </c>
      <c r="D17" s="31">
        <v>2</v>
      </c>
      <c r="E17" s="31">
        <v>2</v>
      </c>
      <c r="F17" s="35">
        <v>45016</v>
      </c>
      <c r="G17" s="35">
        <v>45043</v>
      </c>
      <c r="H17" s="36" t="s">
        <v>154</v>
      </c>
      <c r="I17" s="36" t="s">
        <v>155</v>
      </c>
      <c r="J17" s="36" t="s">
        <v>156</v>
      </c>
      <c r="K17" s="37" t="s">
        <v>148</v>
      </c>
      <c r="L17" s="37" t="s">
        <v>157</v>
      </c>
    </row>
    <row r="18" spans="1:12" ht="12" customHeight="1" x14ac:dyDescent="0.2">
      <c r="A18" s="28" t="s">
        <v>31</v>
      </c>
      <c r="B18" s="31">
        <v>2</v>
      </c>
      <c r="C18" s="33">
        <v>4</v>
      </c>
      <c r="D18" s="31">
        <v>2</v>
      </c>
      <c r="E18" s="30">
        <v>1</v>
      </c>
      <c r="F18" s="35">
        <v>44957</v>
      </c>
      <c r="G18" s="35">
        <v>45015</v>
      </c>
      <c r="H18" s="36" t="s">
        <v>26</v>
      </c>
      <c r="I18" s="36" t="s">
        <v>158</v>
      </c>
      <c r="J18" s="36" t="s">
        <v>159</v>
      </c>
      <c r="K18" s="37" t="s">
        <v>148</v>
      </c>
      <c r="L18" s="37" t="s">
        <v>160</v>
      </c>
    </row>
    <row r="19" spans="1:12" ht="12" customHeight="1" x14ac:dyDescent="0.2">
      <c r="A19" s="28" t="s">
        <v>32</v>
      </c>
      <c r="B19" s="32">
        <v>3</v>
      </c>
      <c r="C19" s="31">
        <v>2</v>
      </c>
      <c r="D19" s="32">
        <v>3</v>
      </c>
      <c r="E19" s="33">
        <v>4</v>
      </c>
      <c r="F19" s="35">
        <v>45016</v>
      </c>
      <c r="G19" s="35">
        <v>45045</v>
      </c>
      <c r="H19" s="36" t="s">
        <v>161</v>
      </c>
      <c r="I19" s="36" t="s">
        <v>162</v>
      </c>
      <c r="J19" s="36" t="s">
        <v>163</v>
      </c>
      <c r="K19" s="37" t="s">
        <v>148</v>
      </c>
      <c r="L19" s="37" t="s">
        <v>164</v>
      </c>
    </row>
    <row r="20" spans="1:12" ht="12" customHeight="1" x14ac:dyDescent="0.2">
      <c r="A20" s="28" t="s">
        <v>35</v>
      </c>
      <c r="B20" s="32">
        <v>3</v>
      </c>
      <c r="C20" s="32">
        <v>3</v>
      </c>
      <c r="D20" s="33">
        <v>4</v>
      </c>
      <c r="E20" s="32">
        <v>3</v>
      </c>
      <c r="F20" s="35">
        <v>44957</v>
      </c>
      <c r="G20" s="35">
        <v>45011</v>
      </c>
      <c r="H20" s="36" t="s">
        <v>26</v>
      </c>
      <c r="I20" s="36" t="s">
        <v>165</v>
      </c>
      <c r="J20" s="36" t="s">
        <v>166</v>
      </c>
      <c r="K20" s="37" t="s">
        <v>148</v>
      </c>
      <c r="L20" s="37" t="s">
        <v>153</v>
      </c>
    </row>
    <row r="21" spans="1:12" ht="12" customHeight="1" x14ac:dyDescent="0.2">
      <c r="A21" s="28" t="s">
        <v>34</v>
      </c>
      <c r="B21" s="32">
        <v>3</v>
      </c>
      <c r="C21" s="33">
        <v>4</v>
      </c>
      <c r="D21" s="32">
        <v>3</v>
      </c>
      <c r="E21" s="30">
        <v>1</v>
      </c>
      <c r="F21" s="35">
        <v>44957</v>
      </c>
      <c r="G21" s="35">
        <v>44986</v>
      </c>
      <c r="H21" s="36" t="s">
        <v>167</v>
      </c>
      <c r="I21" s="36" t="s">
        <v>168</v>
      </c>
      <c r="J21" s="36" t="s">
        <v>169</v>
      </c>
      <c r="K21" s="37" t="s">
        <v>148</v>
      </c>
      <c r="L21" s="37" t="s">
        <v>153</v>
      </c>
    </row>
    <row r="22" spans="1:12" ht="12" customHeight="1" x14ac:dyDescent="0.2">
      <c r="A22" s="28" t="s">
        <v>28</v>
      </c>
      <c r="B22" s="33">
        <v>4</v>
      </c>
      <c r="C22" s="31">
        <v>2</v>
      </c>
      <c r="D22" s="33">
        <v>4</v>
      </c>
      <c r="E22" s="33">
        <v>4</v>
      </c>
      <c r="F22" s="35">
        <v>44985</v>
      </c>
      <c r="G22" s="35">
        <v>44997</v>
      </c>
      <c r="H22" s="36" t="s">
        <v>167</v>
      </c>
      <c r="I22" s="36" t="s">
        <v>170</v>
      </c>
      <c r="J22" s="36" t="s">
        <v>171</v>
      </c>
      <c r="K22" s="37" t="s">
        <v>148</v>
      </c>
      <c r="L22" s="37" t="s">
        <v>157</v>
      </c>
    </row>
    <row r="23" spans="1:12" ht="12" customHeight="1" x14ac:dyDescent="0.2">
      <c r="A23" s="28" t="s">
        <v>25</v>
      </c>
      <c r="B23" s="33">
        <v>4</v>
      </c>
      <c r="C23" s="32">
        <v>3</v>
      </c>
      <c r="D23" s="32">
        <v>3</v>
      </c>
      <c r="E23" s="33">
        <v>4</v>
      </c>
      <c r="F23" s="35">
        <v>44957</v>
      </c>
      <c r="G23" s="35">
        <v>44994</v>
      </c>
      <c r="H23" s="36" t="s">
        <v>150</v>
      </c>
      <c r="I23" s="36" t="s">
        <v>170</v>
      </c>
      <c r="J23" s="36" t="s">
        <v>172</v>
      </c>
      <c r="K23" s="37" t="s">
        <v>148</v>
      </c>
      <c r="L23" s="37" t="s">
        <v>153</v>
      </c>
    </row>
    <row r="24" spans="1:12" ht="12" customHeight="1" x14ac:dyDescent="0.2">
      <c r="A24" s="28" t="s">
        <v>29</v>
      </c>
      <c r="B24" s="33">
        <v>4</v>
      </c>
      <c r="C24" s="33">
        <v>4</v>
      </c>
      <c r="D24" s="33">
        <v>4</v>
      </c>
      <c r="E24" s="32">
        <v>3</v>
      </c>
      <c r="F24" s="35">
        <v>44960</v>
      </c>
      <c r="G24" s="35">
        <v>45014</v>
      </c>
      <c r="H24" s="36" t="s">
        <v>173</v>
      </c>
      <c r="I24" s="36" t="s">
        <v>170</v>
      </c>
      <c r="J24" s="36" t="s">
        <v>174</v>
      </c>
      <c r="K24" s="37" t="s">
        <v>148</v>
      </c>
      <c r="L24" s="37" t="s">
        <v>157</v>
      </c>
    </row>
    <row r="25" spans="1:12" ht="10.5" x14ac:dyDescent="0.2">
      <c r="A25" s="8"/>
      <c r="B25" s="8"/>
      <c r="C25" s="8"/>
      <c r="D25" s="8"/>
      <c r="E25" s="8"/>
      <c r="F25" s="8"/>
      <c r="G25" s="8"/>
      <c r="H25" s="8"/>
      <c r="I25" s="8"/>
      <c r="J25" s="8"/>
      <c r="K25" s="8"/>
      <c r="L25" s="8"/>
    </row>
    <row r="26" spans="1:12" ht="10.5" x14ac:dyDescent="0.2">
      <c r="A26" s="9"/>
      <c r="B26" s="9"/>
      <c r="C26" s="9"/>
      <c r="D26" s="9"/>
      <c r="E26" s="9"/>
      <c r="F26" s="9"/>
      <c r="G26" s="9"/>
      <c r="H26" s="9"/>
      <c r="I26" s="9"/>
      <c r="J26" s="9"/>
      <c r="K26" s="9"/>
      <c r="L26" s="9"/>
    </row>
    <row r="27" spans="1:12" ht="12" customHeight="1" x14ac:dyDescent="0.2">
      <c r="A27" s="28" t="s">
        <v>36</v>
      </c>
      <c r="B27" s="30">
        <v>1</v>
      </c>
      <c r="C27" s="30">
        <v>1</v>
      </c>
      <c r="D27" s="31">
        <v>2</v>
      </c>
      <c r="E27" s="31">
        <v>2</v>
      </c>
      <c r="F27" s="35">
        <v>45016</v>
      </c>
      <c r="G27" s="35">
        <v>45042</v>
      </c>
      <c r="H27" s="36" t="s">
        <v>175</v>
      </c>
      <c r="I27" s="36" t="s">
        <v>146</v>
      </c>
      <c r="J27" s="36" t="s">
        <v>176</v>
      </c>
      <c r="K27" s="37" t="s">
        <v>148</v>
      </c>
      <c r="L27" s="37" t="s">
        <v>157</v>
      </c>
    </row>
    <row r="28" spans="1:12" x14ac:dyDescent="0.2">
      <c r="A28" s="10"/>
      <c r="B28" s="10"/>
      <c r="C28" s="10"/>
      <c r="D28" s="10"/>
      <c r="E28" s="10"/>
      <c r="F28" s="10"/>
      <c r="G28" s="10"/>
      <c r="H28" s="10"/>
      <c r="I28" s="10"/>
      <c r="J28" s="10"/>
      <c r="K28" s="10"/>
      <c r="L28" s="10"/>
    </row>
    <row r="30" spans="1:12" x14ac:dyDescent="0.2">
      <c r="A30" s="6" t="s">
        <v>42</v>
      </c>
    </row>
    <row r="35" spans="1:1" x14ac:dyDescent="0.2">
      <c r="A35" t="s">
        <v>43</v>
      </c>
    </row>
    <row r="38" spans="1:1" x14ac:dyDescent="0.2">
      <c r="A38" t="s">
        <v>177</v>
      </c>
    </row>
    <row r="45" spans="1:1" ht="25" customHeight="1" x14ac:dyDescent="0.2">
      <c r="A45" s="18" t="s">
        <v>178</v>
      </c>
    </row>
    <row r="48" spans="1:1" ht="120" customHeight="1" x14ac:dyDescent="0.2">
      <c r="A48" s="38" t="s">
        <v>179</v>
      </c>
    </row>
  </sheetData>
  <pageMargins left="0.2" right="0.2" top="0.5" bottom="0.5" header="0.5" footer="0.5"/>
  <pageSetup fitToWidth="0" fitToHeight="0" orientation="landscape" horizontalDpi="300" verticalDpi="300"/>
  <headerFooter alignWithMargins="0"/>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90467-1465-40EE-B423-6FCE10FDA79F}">
  <sheetPr codeName="Sheet10">
    <outlinePr summaryBelow="0" summaryRight="0"/>
  </sheetPr>
  <dimension ref="A6:A26"/>
  <sheetViews>
    <sheetView defaultGridColor="0" colorId="0" workbookViewId="0"/>
  </sheetViews>
  <sheetFormatPr defaultRowHeight="10" x14ac:dyDescent="0.2"/>
  <cols>
    <col min="1" max="1" width="150.81640625" customWidth="1"/>
    <col min="2" max="2" width="9.26953125"/>
  </cols>
  <sheetData>
    <row r="6" spans="1:1" ht="16.5" customHeight="1" x14ac:dyDescent="0.35">
      <c r="A6" s="1" t="s">
        <v>180</v>
      </c>
    </row>
    <row r="8" spans="1:1" x14ac:dyDescent="0.2">
      <c r="A8" t="s">
        <v>181</v>
      </c>
    </row>
    <row r="10" spans="1:1" ht="120" customHeight="1" x14ac:dyDescent="0.2">
      <c r="A10" s="39" t="s">
        <v>182</v>
      </c>
    </row>
    <row r="12" spans="1:1" ht="72" customHeight="1" x14ac:dyDescent="0.2">
      <c r="A12" s="39" t="s">
        <v>183</v>
      </c>
    </row>
    <row r="14" spans="1:1" ht="36" customHeight="1" x14ac:dyDescent="0.2">
      <c r="A14" s="39" t="s">
        <v>184</v>
      </c>
    </row>
    <row r="16" spans="1:1" ht="36" customHeight="1" x14ac:dyDescent="0.2">
      <c r="A16" s="40" t="s">
        <v>185</v>
      </c>
    </row>
    <row r="18" spans="1:1" ht="36" customHeight="1" x14ac:dyDescent="0.2">
      <c r="A18" s="40" t="s">
        <v>186</v>
      </c>
    </row>
    <row r="20" spans="1:1" ht="36" customHeight="1" x14ac:dyDescent="0.2">
      <c r="A20" s="40" t="s">
        <v>187</v>
      </c>
    </row>
    <row r="22" spans="1:1" ht="24" customHeight="1" x14ac:dyDescent="0.2">
      <c r="A22" s="40" t="s">
        <v>188</v>
      </c>
    </row>
    <row r="24" spans="1:1" ht="24" customHeight="1" x14ac:dyDescent="0.2">
      <c r="A24" s="40" t="s">
        <v>189</v>
      </c>
    </row>
    <row r="26" spans="1:1" ht="24" customHeight="1" x14ac:dyDescent="0.2">
      <c r="A26" s="40" t="s">
        <v>190</v>
      </c>
    </row>
  </sheetData>
  <pageMargins left="0.2" right="0.2" top="0.5" bottom="0.5" header="0.5" footer="0.5"/>
  <pageSetup fitToWidth="0" fitToHeight="0" orientation="landscape" horizontalDpi="300" verticalDpi="300"/>
  <headerFooter alignWithMargins="0"/>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F06A4-B324-43AC-9DA5-0CEC760F2CA6}">
  <sheetPr codeName="Sheet11"/>
  <dimension ref="A5"/>
  <sheetViews>
    <sheetView workbookViewId="0"/>
  </sheetViews>
  <sheetFormatPr defaultRowHeight="10" x14ac:dyDescent="0.2"/>
  <sheetData>
    <row r="5" spans="1:1" ht="23.25" customHeight="1" x14ac:dyDescent="0.45">
      <c r="A5" s="42" t="s">
        <v>191</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11</vt:i4>
      </vt:variant>
      <vt:variant>
        <vt:lpstr>Named Ranges</vt:lpstr>
      </vt:variant>
      <vt:variant>
        <vt:i4>8</vt:i4>
      </vt:variant>
    </vt:vector>
  </HeadingPairs>
  <TitlesOfParts>
    <vt:vector size="19" baseType="lpstr">
      <vt:lpstr>COMPCO</vt:lpstr>
      <vt:lpstr>BENCHMARKING</vt:lpstr>
      <vt:lpstr>Financial Data</vt:lpstr>
      <vt:lpstr>Trading Multiples</vt:lpstr>
      <vt:lpstr>Operating Statistics</vt:lpstr>
      <vt:lpstr>Business Description</vt:lpstr>
      <vt:lpstr>Implied Valuation</vt:lpstr>
      <vt:lpstr>Valuation Chart</vt:lpstr>
      <vt:lpstr>Credit Health Panel</vt:lpstr>
      <vt:lpstr>Disclaimer</vt:lpstr>
      <vt:lpstr>Evaluation Warning</vt:lpstr>
      <vt:lpstr>'Business Description'!Print_Titles</vt:lpstr>
      <vt:lpstr>'Credit Health Panel'!Print_Titles</vt:lpstr>
      <vt:lpstr>Disclaimer!Print_Titles</vt:lpstr>
      <vt:lpstr>'Financial Data'!Print_Titles</vt:lpstr>
      <vt:lpstr>'Implied Valuation'!Print_Titles</vt:lpstr>
      <vt:lpstr>'Operating Statistics'!Print_Titles</vt:lpstr>
      <vt:lpstr>'Trading Multiples'!Print_Titles</vt:lpstr>
      <vt:lpstr>'Valuation Chart'!Print_Titles</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dcterms:created xsi:type="dcterms:W3CDTF">2004-07-20T21:40:42Z</dcterms:created>
  <dcterms:modified xsi:type="dcterms:W3CDTF">2023-04-29T22:11:52Z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reated By">
    <vt:lpwstr>SoftArtisans OfficeWriter for Excel 8.6.2.281 (http://officewriter.softartisans.com)</vt:lpwstr>
  </property>
</Properties>
</file>