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66925"/>
  <xr:revisionPtr revIDLastSave="0" documentId="13_ncr:1_{6326A993-103D-46AD-91ED-2D69F773F674}" xr6:coauthVersionLast="47" xr6:coauthVersionMax="47" xr10:uidLastSave="{00000000-0000-0000-0000-000000000000}"/>
  <bookViews>
    <workbookView xWindow="-108" yWindow="-108" windowWidth="23256" windowHeight="14616" xr2:uid="{00000000-000D-0000-FFFF-FFFF00000000}"/>
  </bookViews>
  <sheets>
    <sheet name="COMPCO" sheetId="11" r:id="rId1"/>
    <sheet name="BENCHMARKING" sheetId="10" r:id="rId2"/>
    <sheet name="Financial Data" sheetId="1" r:id="rId3"/>
    <sheet name="Trading Multiples" sheetId="2" r:id="rId4"/>
    <sheet name="Operating Statistics" sheetId="3" r:id="rId5"/>
    <sheet name="Business Description" sheetId="4" r:id="rId6"/>
    <sheet name="Implied Valuation" sheetId="5" r:id="rId7"/>
    <sheet name="Valuation Chart" sheetId="6" r:id="rId8"/>
    <sheet name="Credit Health Panel" sheetId="7" r:id="rId9"/>
    <sheet name="Disclaimer" sheetId="8" r:id="rId10"/>
    <sheet name="Evaluation Warning" sheetId="9" r:id="rId11"/>
  </sheets>
  <definedNames>
    <definedName name="_xlnm.Print_Titles" localSheetId="5">'Business Description'!$1:$3</definedName>
    <definedName name="_xlnm.Print_Titles" localSheetId="8">'Credit Health Panel'!$1:$3</definedName>
    <definedName name="_xlnm.Print_Titles" localSheetId="9">Disclaimer!$1:$3</definedName>
    <definedName name="_xlnm.Print_Titles" localSheetId="2">'Financial Data'!$1:$3</definedName>
    <definedName name="_xlnm.Print_Titles" localSheetId="6">'Implied Valuation'!$1:$3</definedName>
    <definedName name="_xlnm.Print_Titles" localSheetId="4">'Operating Statistics'!$1:$3</definedName>
    <definedName name="_xlnm.Print_Titles" localSheetId="3">'Trading Multiples'!$1:$3</definedName>
    <definedName name="_xlnm.Print_Titles" localSheetId="7">'Valuation Chart'!$1:$3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4" i="11" l="1"/>
  <c r="J43" i="11"/>
  <c r="J42" i="11"/>
  <c r="J41" i="11"/>
  <c r="J40" i="11"/>
  <c r="J39" i="11"/>
  <c r="J38" i="11"/>
  <c r="J37" i="11"/>
  <c r="J36" i="11"/>
  <c r="J35" i="11"/>
  <c r="J34" i="11"/>
  <c r="J33" i="11"/>
  <c r="J32" i="11"/>
  <c r="J31" i="11"/>
  <c r="J30" i="11"/>
  <c r="J29" i="11"/>
  <c r="J28" i="11"/>
  <c r="J27" i="11"/>
  <c r="J26" i="11"/>
  <c r="J25" i="11"/>
  <c r="J24" i="11"/>
  <c r="I44" i="11"/>
  <c r="I43" i="11"/>
  <c r="I42" i="11"/>
  <c r="I41" i="11"/>
  <c r="I40" i="11"/>
  <c r="I39" i="11"/>
  <c r="I38" i="11"/>
  <c r="I37" i="11"/>
  <c r="I36" i="11"/>
  <c r="I35" i="11"/>
  <c r="I34" i="11"/>
  <c r="I33" i="11"/>
  <c r="I32" i="11"/>
  <c r="I31" i="11"/>
  <c r="I30" i="11"/>
  <c r="I29" i="11"/>
  <c r="I28" i="11"/>
  <c r="I27" i="11"/>
  <c r="I26" i="11"/>
  <c r="I25" i="11"/>
  <c r="I24" i="11"/>
  <c r="H44" i="11"/>
  <c r="H43" i="11"/>
  <c r="H42" i="11"/>
  <c r="H41" i="11"/>
  <c r="H40" i="11"/>
  <c r="H39" i="11"/>
  <c r="H38" i="11"/>
  <c r="H37" i="11"/>
  <c r="H36" i="11"/>
  <c r="H35" i="11"/>
  <c r="H34" i="11"/>
  <c r="H33" i="11"/>
  <c r="H32" i="11"/>
  <c r="H31" i="11"/>
  <c r="H30" i="11"/>
  <c r="H29" i="11"/>
  <c r="H28" i="11"/>
  <c r="H27" i="11"/>
  <c r="H26" i="11"/>
  <c r="H25" i="11"/>
  <c r="H24" i="11"/>
  <c r="O42" i="10"/>
  <c r="O41" i="10"/>
  <c r="O40" i="10"/>
  <c r="O39" i="10"/>
  <c r="O38" i="10"/>
  <c r="O37" i="10"/>
  <c r="O36" i="10"/>
  <c r="O35" i="10"/>
  <c r="O34" i="10"/>
  <c r="O33" i="10"/>
  <c r="O32" i="10"/>
  <c r="O31" i="10"/>
  <c r="O30" i="10"/>
  <c r="O29" i="10"/>
  <c r="O28" i="10"/>
  <c r="O27" i="10"/>
  <c r="O26" i="10"/>
  <c r="O25" i="10"/>
  <c r="O24" i="10"/>
  <c r="O23" i="10"/>
  <c r="O22" i="10"/>
  <c r="N42" i="10"/>
  <c r="N41" i="10"/>
  <c r="N40" i="10"/>
  <c r="N39" i="10"/>
  <c r="N38" i="10"/>
  <c r="N37" i="10"/>
  <c r="N36" i="10"/>
  <c r="N35" i="10"/>
  <c r="N34" i="10"/>
  <c r="N33" i="10"/>
  <c r="N32" i="10"/>
  <c r="N31" i="10"/>
  <c r="N30" i="10"/>
  <c r="N29" i="10"/>
  <c r="N28" i="10"/>
  <c r="N27" i="10"/>
  <c r="N26" i="10"/>
  <c r="N25" i="10"/>
  <c r="N24" i="10"/>
  <c r="N23" i="10"/>
  <c r="N22" i="10"/>
  <c r="M42" i="10"/>
  <c r="M41" i="10"/>
  <c r="M40" i="10"/>
  <c r="M39" i="10"/>
  <c r="M38" i="10"/>
  <c r="M37" i="10"/>
  <c r="M36" i="10"/>
  <c r="M35" i="10"/>
  <c r="M34" i="10"/>
  <c r="M33" i="10"/>
  <c r="M32" i="10"/>
  <c r="M31" i="10"/>
  <c r="M30" i="10"/>
  <c r="M29" i="10"/>
  <c r="M28" i="10"/>
  <c r="M27" i="10"/>
  <c r="M26" i="10"/>
  <c r="M25" i="10"/>
  <c r="M24" i="10"/>
  <c r="M23" i="10"/>
  <c r="M22" i="10"/>
  <c r="L42" i="10"/>
  <c r="L41" i="10"/>
  <c r="L40" i="10"/>
  <c r="L39" i="10"/>
  <c r="L38" i="10"/>
  <c r="L37" i="10"/>
  <c r="L36" i="10"/>
  <c r="L35" i="10"/>
  <c r="L34" i="10"/>
  <c r="L33" i="10"/>
  <c r="L32" i="10"/>
  <c r="L31" i="10"/>
  <c r="L30" i="10"/>
  <c r="L29" i="10"/>
  <c r="L28" i="10"/>
  <c r="L27" i="10"/>
  <c r="L26" i="10"/>
  <c r="L25" i="10"/>
  <c r="L24" i="10"/>
  <c r="L23" i="10"/>
  <c r="L22" i="10"/>
  <c r="K42" i="10"/>
  <c r="K41" i="10"/>
  <c r="K40" i="10"/>
  <c r="K39" i="10"/>
  <c r="K38" i="10"/>
  <c r="K37" i="10"/>
  <c r="K36" i="10"/>
  <c r="K35" i="10"/>
  <c r="K34" i="10"/>
  <c r="K33" i="10"/>
  <c r="K32" i="10"/>
  <c r="K31" i="10"/>
  <c r="K30" i="10"/>
  <c r="K29" i="10"/>
  <c r="K28" i="10"/>
  <c r="K27" i="10"/>
  <c r="K26" i="10"/>
  <c r="K25" i="10"/>
  <c r="K24" i="10"/>
  <c r="K23" i="10"/>
  <c r="K22" i="10"/>
  <c r="J42" i="10"/>
  <c r="J41" i="10"/>
  <c r="J40" i="10"/>
  <c r="J39" i="10"/>
  <c r="J38" i="10"/>
  <c r="J37" i="10"/>
  <c r="J36" i="10"/>
  <c r="J35" i="10"/>
  <c r="J34" i="10"/>
  <c r="J33" i="10"/>
  <c r="J32" i="10"/>
  <c r="J31" i="10"/>
  <c r="J30" i="10"/>
  <c r="J29" i="10"/>
  <c r="J28" i="10"/>
  <c r="J27" i="10"/>
  <c r="J26" i="10"/>
  <c r="J25" i="10"/>
  <c r="J24" i="10"/>
  <c r="J23" i="10"/>
  <c r="J22" i="10"/>
  <c r="I42" i="10"/>
  <c r="I41" i="10"/>
  <c r="I40" i="10"/>
  <c r="I39" i="10"/>
  <c r="I38" i="10"/>
  <c r="I37" i="10"/>
  <c r="I36" i="10"/>
  <c r="I35" i="10"/>
  <c r="I34" i="10"/>
  <c r="I33" i="10"/>
  <c r="I32" i="10"/>
  <c r="I31" i="10"/>
  <c r="I30" i="10"/>
  <c r="I29" i="10"/>
  <c r="I28" i="10"/>
  <c r="I27" i="10"/>
  <c r="I26" i="10"/>
  <c r="I25" i="10"/>
  <c r="I24" i="10"/>
  <c r="I23" i="10"/>
  <c r="I22" i="10"/>
  <c r="H42" i="10"/>
  <c r="H41" i="10"/>
  <c r="H40" i="10"/>
  <c r="H39" i="10"/>
  <c r="H38" i="10"/>
  <c r="H37" i="10"/>
  <c r="H36" i="10"/>
  <c r="H35" i="10"/>
  <c r="H34" i="10"/>
  <c r="H33" i="10"/>
  <c r="H32" i="10"/>
  <c r="H31" i="10"/>
  <c r="H30" i="10"/>
  <c r="H29" i="10"/>
  <c r="H28" i="10"/>
  <c r="H27" i="10"/>
  <c r="H26" i="10"/>
  <c r="H25" i="10"/>
  <c r="H24" i="10"/>
  <c r="H23" i="10"/>
  <c r="H22" i="10"/>
  <c r="G42" i="10"/>
  <c r="G41" i="10"/>
  <c r="G40" i="10"/>
  <c r="G39" i="10"/>
  <c r="G38" i="10"/>
  <c r="G37" i="10"/>
  <c r="G36" i="10"/>
  <c r="G35" i="10"/>
  <c r="G34" i="10"/>
  <c r="G33" i="10"/>
  <c r="G32" i="10"/>
  <c r="G31" i="10"/>
  <c r="G30" i="10"/>
  <c r="G29" i="10"/>
  <c r="G28" i="10"/>
  <c r="G27" i="10"/>
  <c r="G26" i="10"/>
  <c r="G25" i="10"/>
  <c r="G24" i="10"/>
  <c r="G23" i="10"/>
  <c r="G22" i="10"/>
  <c r="F42" i="10"/>
  <c r="F41" i="10"/>
  <c r="F40" i="10"/>
  <c r="F39" i="10"/>
  <c r="F38" i="10"/>
  <c r="F37" i="10"/>
  <c r="F36" i="10"/>
  <c r="F35" i="10"/>
  <c r="F34" i="10"/>
  <c r="F33" i="10"/>
  <c r="F32" i="10"/>
  <c r="F31" i="10"/>
  <c r="F30" i="10"/>
  <c r="F29" i="10"/>
  <c r="F28" i="10"/>
  <c r="F27" i="10"/>
  <c r="F26" i="10"/>
  <c r="F25" i="10"/>
  <c r="F24" i="10"/>
  <c r="F23" i="10"/>
  <c r="F22" i="10"/>
  <c r="E42" i="10"/>
  <c r="E41" i="10"/>
  <c r="E40" i="10"/>
  <c r="E39" i="10"/>
  <c r="E38" i="10"/>
  <c r="E37" i="10"/>
  <c r="E36" i="10"/>
  <c r="E35" i="10"/>
  <c r="E34" i="10"/>
  <c r="E33" i="10"/>
  <c r="E32" i="10"/>
  <c r="E31" i="10"/>
  <c r="E30" i="10"/>
  <c r="E29" i="10"/>
  <c r="E28" i="10"/>
  <c r="E27" i="10"/>
  <c r="E26" i="10"/>
  <c r="E25" i="10"/>
  <c r="E24" i="10"/>
  <c r="E23" i="10"/>
  <c r="E22" i="10"/>
  <c r="D42" i="10"/>
  <c r="D41" i="10"/>
  <c r="D40" i="10"/>
  <c r="D39" i="10"/>
  <c r="D38" i="10"/>
  <c r="D37" i="10"/>
  <c r="D36" i="10"/>
  <c r="D35" i="10"/>
  <c r="D34" i="10"/>
  <c r="D33" i="10"/>
  <c r="D32" i="10"/>
  <c r="D31" i="10"/>
  <c r="D30" i="10"/>
  <c r="D29" i="10"/>
  <c r="D28" i="10"/>
  <c r="D27" i="10"/>
  <c r="D26" i="10"/>
  <c r="D25" i="10"/>
  <c r="D24" i="10"/>
  <c r="D23" i="10"/>
  <c r="D22" i="10"/>
  <c r="O20" i="10" l="1"/>
  <c r="F20" i="10"/>
  <c r="N20" i="10"/>
  <c r="M20" i="10"/>
  <c r="E20" i="10"/>
  <c r="J20" i="10"/>
  <c r="D20" i="10"/>
  <c r="I20" i="10"/>
  <c r="K20" i="10"/>
  <c r="H20" i="10"/>
  <c r="G20" i="10"/>
  <c r="L20" i="10"/>
  <c r="D19" i="10" l="1"/>
  <c r="H22" i="11" s="1"/>
  <c r="E28" i="11" s="1"/>
  <c r="E34" i="11" s="1"/>
  <c r="E32" i="11" s="1"/>
  <c r="E30" i="11" s="1"/>
  <c r="D28" i="11" l="1"/>
  <c r="D30" i="11" s="1"/>
  <c r="D32" i="11" s="1"/>
  <c r="D34" i="11" s="1"/>
  <c r="C28" i="11"/>
  <c r="C30" i="11" s="1"/>
  <c r="C32" i="11" s="1"/>
  <c r="C34" i="11" s="1"/>
  <c r="C35" i="11" l="1"/>
  <c r="C37" i="11" s="1"/>
  <c r="D20" i="11" s="1"/>
</calcChain>
</file>

<file path=xl/sharedStrings.xml><?xml version="1.0" encoding="utf-8"?>
<sst xmlns="http://schemas.openxmlformats.org/spreadsheetml/2006/main" count="652" uniqueCount="199">
  <si>
    <t>Diamondback Energy, Inc. (NasdaqGS:FANG) &gt;  Quick Comparable Analysis &gt; Financial Data</t>
  </si>
  <si>
    <t>Details</t>
  </si>
  <si>
    <t>Template:</t>
  </si>
  <si>
    <t>Capital IQ Default Comps</t>
  </si>
  <si>
    <t>Currency:</t>
  </si>
  <si>
    <t>US Dollar</t>
  </si>
  <si>
    <t>As-Of Date:</t>
  </si>
  <si>
    <t>Company Comp Set</t>
  </si>
  <si>
    <t>Company Name</t>
  </si>
  <si>
    <t>Day Close Price Latest</t>
  </si>
  <si>
    <t>Shares Outstanding Latest</t>
  </si>
  <si>
    <t>Market Capitalization Latest</t>
  </si>
  <si>
    <t xml:space="preserve">LTM Net Debt </t>
  </si>
  <si>
    <t>LTM Total Pref. Equity</t>
  </si>
  <si>
    <t>LTM Minority Interest</t>
  </si>
  <si>
    <t>Total Enterprise Value Latest</t>
  </si>
  <si>
    <t xml:space="preserve">LTM Tangible Book Value/Share </t>
  </si>
  <si>
    <t xml:space="preserve">LTM Filing Date, Income Statement </t>
  </si>
  <si>
    <t xml:space="preserve">LTM Total Revenue </t>
  </si>
  <si>
    <t xml:space="preserve">LTM EBITDA </t>
  </si>
  <si>
    <t xml:space="preserve">LTM EBIT </t>
  </si>
  <si>
    <t xml:space="preserve">LTM Diluted EPS Excl. Extra Items </t>
  </si>
  <si>
    <t xml:space="preserve">NTM Revenue (Capital IQ) </t>
  </si>
  <si>
    <t xml:space="preserve">NTM EBITDA (Capital IQ) </t>
  </si>
  <si>
    <t xml:space="preserve">NTM EPS (Capital IQ) </t>
  </si>
  <si>
    <t>Coterra Energy Inc. (NYSE:CTRA)</t>
  </si>
  <si>
    <t>-</t>
  </si>
  <si>
    <t>Marathon Oil Corporation (NYSE:MRO)</t>
  </si>
  <si>
    <t>APA Corporation (NasdaqGS:APA)</t>
  </si>
  <si>
    <t>Hess Corporation (NYSE:HES)</t>
  </si>
  <si>
    <t>Range Resources Corporation (NYSE:RRC)</t>
  </si>
  <si>
    <t>Pioneer Natural Resources Company (NYSE:PXD)</t>
  </si>
  <si>
    <t>Devon Energy Corporation (NYSE:DVN)</t>
  </si>
  <si>
    <t>EQT Corporation (NYSE:EQT)</t>
  </si>
  <si>
    <t>Southwestern Energy Company (NYSE:SWN)</t>
  </si>
  <si>
    <t>Antero Resources Corporation (NYSE:AR)</t>
  </si>
  <si>
    <t>Diamondback Energy, Inc. (NasdaqGS:FANG)</t>
  </si>
  <si>
    <t>Summary Statistics</t>
  </si>
  <si>
    <t>High</t>
  </si>
  <si>
    <t>Low</t>
  </si>
  <si>
    <t>Mean</t>
  </si>
  <si>
    <t>Median</t>
  </si>
  <si>
    <t>Displaying 11 Companies.</t>
  </si>
  <si>
    <t>Values converted at today's spot rate.</t>
  </si>
  <si>
    <t>Companies by default are sorted by S&amp;P Capital IQ’s proprietary relevancy score.</t>
  </si>
  <si>
    <t>Historical Equity Pricing Data supplied by Interactive Data Pricing and Reference Data LLC</t>
  </si>
  <si>
    <t>Diamondback Energy, Inc. (NasdaqGS:FANG) &gt;  Quick Comparable Analysis &gt; Trading Multiples</t>
  </si>
  <si>
    <t>Template:</t>
  </si>
  <si>
    <t>Currency:</t>
  </si>
  <si>
    <t>As-Of Date:</t>
  </si>
  <si>
    <t>TEV/Total Revenues LTM - Latest</t>
  </si>
  <si>
    <t>TEV/EBITDA LTM - Latest</t>
  </si>
  <si>
    <t>TEV/EBIT LTM - Latest</t>
  </si>
  <si>
    <t>P/Diluted EPS Before Extra LTM - Latest</t>
  </si>
  <si>
    <t>P/TangBV LTM - Latest</t>
  </si>
  <si>
    <t xml:space="preserve">NTM TEV/Forward Total Revenue (Capital IQ) </t>
  </si>
  <si>
    <t xml:space="preserve">NTM TEV/Forward EBITDA (Capital IQ) </t>
  </si>
  <si>
    <t xml:space="preserve">NTM Forward P/E (Capital IQ) </t>
  </si>
  <si>
    <t>Diamondback Energy, Inc. (NasdaqGS:FANG) &gt;  Quick Comparable Analysis &gt; Operating Statistics</t>
  </si>
  <si>
    <t>Template:</t>
  </si>
  <si>
    <t>Currency:</t>
  </si>
  <si>
    <t>As-Of Date:</t>
  </si>
  <si>
    <t xml:space="preserve">LTM Gross Margin % </t>
  </si>
  <si>
    <t xml:space="preserve">LTM EBITDA Margin % </t>
  </si>
  <si>
    <t xml:space="preserve">LTM EBIT Margin % </t>
  </si>
  <si>
    <t xml:space="preserve">LTM Net Income Margin % </t>
  </si>
  <si>
    <t xml:space="preserve">LTM Total Revenues, 1 Yr Growth % </t>
  </si>
  <si>
    <t xml:space="preserve">LTM EBITDA, 1 Yr Growth % </t>
  </si>
  <si>
    <t xml:space="preserve">LTM EBIT, 1 Yr Growth % </t>
  </si>
  <si>
    <t xml:space="preserve">LTM Net Income, 1 Yr Growth % </t>
  </si>
  <si>
    <t>LTM Total Debt/Capital %</t>
  </si>
  <si>
    <t xml:space="preserve">LTM Total Debt/EBITDA </t>
  </si>
  <si>
    <t xml:space="preserve">NTM LT EPS Growth Rate (Capital IQ) </t>
  </si>
  <si>
    <t>5 Year Beta</t>
  </si>
  <si>
    <t>Diamondback Energy, Inc. (NasdaqGS:FANG) &gt;  Quick Comparable Analysis &gt; Business Description</t>
  </si>
  <si>
    <t>Template:</t>
  </si>
  <si>
    <t>Currency:</t>
  </si>
  <si>
    <t>As-Of Date:</t>
  </si>
  <si>
    <t>Business Description</t>
  </si>
  <si>
    <t>Headquarters</t>
  </si>
  <si>
    <t>Coterra Energy Inc., an independent oil and gas company, engages in the development, exploration and production of oil, natural gas, and natural gas liquids in the United States. The company primarily focuses on the Marcellus Shale with approximately 183,000 net acres in the dry gas window of the play located in Susquehanna County, Pennsylvania. It also holds Permian Basin properties with approximately 307,000 net acres; and Anadarko Basin properties with approximately 182,000 net acres located in Oklahoma. In addition, the company operates natural gas and saltwater disposal gathering systems in Texas. It sells its natural gas to industrial customers, local distribution companies, oil and gas marketers, major energy companies, pipeline companies, and power generation facilities. The company was incorporated in 1989 and is headquartered in Houston, Texas.</t>
  </si>
  <si>
    <t>Three Memorial City Plaza, Suite 1400, 840 Gessner Road, Houston, Texas, 77024, United States</t>
  </si>
  <si>
    <t>Marathon Oil Corporation operates as an independent exploration and production company in the United States and internationally. The company engages in the exploration, production, and marketing of crude oil and condensate, natural gas liquids, and natural gas; and the production and marketing of products manufactured from natural gas, such as liquefied natural gas and methanol. It also owns and operates central gathering and treating facilities; and the Sugarloaf gathering system, a 42-mile natural gas pipeline through Karnes and Atascosa Counties. The company was formerly known as USX Corporation and changed its name to Marathon Oil Corporation in December 2001. The company was founded in 1886 and is headquartered in Houston, Texas.</t>
  </si>
  <si>
    <t>990 Town and Country Boulevard, Houston, Texas, 77024-2217, United States</t>
  </si>
  <si>
    <t>APA Corporation, through its subsidiaries, explores for, develops, and produces natural gas, crude oil, and natural gas liquids. It has operations in the United States, Egypt, and the United Kingdom, as well as has exploration activities offshore Suriname. The company also operates gathering, compression, processing, and transmission assets in West Texas, as well as holds ownership in four Permian Basin long-haul pipeline. APA Corporation was founded in 1954 and is based in Houston, Texas.</t>
  </si>
  <si>
    <t>2000 Post Oak Boulevard, Suite 100, One Post Oak Central, Houston, Texas, 77056-4000, United States</t>
  </si>
  <si>
    <t>Hess Corporation, an exploration and production company, explores, develops, produces, purchases, transports, and sells crude oil, natural gas liquids (NGLs), and natural gas. The company operates in two segments, Exploration and Production, and Midstream. It conducts production operations primarily in the United States, Guyana, the Malaysia/Thailand Joint Development Area, and Malaysia; and exploration activities principally offshore Guyana, the U.S. Gulf of Mexico, and offshore Suriname and Canada. The company is also involved in gathering, compressing, and processing natural gas; fractionating NGLs; gathering, terminaling, loading, and transporting crude oil and NGL through rail car; and storing and terminaling propane, as well as providing water handling services primarily in the Bakken Shale plays in the Williston Basin area of North Dakota. The company was incorporated in 1920 and is headquartered in New York, New York.</t>
  </si>
  <si>
    <t>1185 Avenue of the Americas, 40th Floor, New York, New York, 10036, United States</t>
  </si>
  <si>
    <t>Range Resources Corporation operates as an independent natural gas, natural gas liquids (NGLs), and oil company in the United States. The company engages in the exploration, development, and acquisition of natural gas and oil properties. It markets and sells natural gas and NGLs to utilities, marketing and midstream companies, and industrial users; petrochemical end users, marketers/traders, and natural gas processors; and oil and condensate to crude oil processors, transporters, and refining and marketing companies. The company was formerly known as Lomak Petroleum, Inc. and changed its name to Range Resources Corporation in 1998. The company was founded in 1976 and is headquartered in Fort Worth, Texas.</t>
  </si>
  <si>
    <t>100 Throckmorton Street, Suite 1200, Fort Worth, Texas, 76102, United States</t>
  </si>
  <si>
    <t>Pioneer Natural Resources Company operates as an independent oil and gas exploration and production company in the United States. The company explores for, develops, and produces oil, natural gas liquids (NGLs), and gas. It has operations in the Midland Basin in West Texas. Pioneer Natural Resources Company was founded in 1997 and is headquartered in Irving, Texas.</t>
  </si>
  <si>
    <t>777 Hidden Ridge, Irving, Texas, 75038, United States</t>
  </si>
  <si>
    <t>Devon Energy Corporation, an independent energy company, explores for, develops, and produces oil, natural gas, and natural gas liquids in the United States. It operates in Delaware, Anadarko, Williston, Eagle Ford, and Powder River Basin. The company was incorporated in 1971 and is headquartered in Oklahoma City, Oklahoma.</t>
  </si>
  <si>
    <t>333 West Sheridan Avenue, Oklahoma City, Oklahoma, 73102-5015, United States</t>
  </si>
  <si>
    <t>EQT Corporation operates as a natural gas production company in the United States. As of December 31, 2022, it had 25.0 trillion cubic feet of proved natural gas, natural gas liquids, and crude oil reserves across approximately 2.0 million gross acres, including 1.8 million gross acres in the Marcellus play. The company was founded in 1878 and is headquartered in Pittsburgh, Pennsylvania.</t>
  </si>
  <si>
    <t>625 Liberty Avenue, Suite 1700, Pittsburgh, Pennsylvania, 15222-3111, United States</t>
  </si>
  <si>
    <t>Southwestern Energy Company, an independent energy company, engages in the exploration, development, and production of natural gas, oil, and natural gas liquids (NGLs) in the United States. It operates through two segments, Exploration and Production, and Marketing. The company focuses on the development of unconventional natural gas and oil reservoirs located in Pennsylvania, West Virginia, Ohio, and Louisiana. It also engages in the marketing and transportation of natural gas, oil, and NGLs. The company serves LNG exporters, energy companies, utilities, and industrial purchasers of natural gas. Southwestern Energy Company was incorporated in 1929 and is headquartered in Spring, Texas.</t>
  </si>
  <si>
    <t>10000 Energy Drive, Spring, Texas, 77389, United States</t>
  </si>
  <si>
    <t>Antero Resources Corporation, an independent oil and natural gas company, engages in the development, production, exploration, and acquisition of natural gas, natural gas liquids (NGLs), and oil properties in the United States. It operates through three segments: Exploration, Development and Production of Natural Gas, NGLs and Oil; Marketing and Utilization of Excess Firm Transportation Capacity; and Midstream Services Through Our Equity Method Investment in Antero Midstream. As of December 31, 2022, the company had approximately 504,000 net acres in the Appalachian Basin; and 174,000 net acres in the Upper Devonian Shale. It also owned and operated 620 miles of gas gathering pipelines in the Appalachian Basin; and 34 compressor stations. The company was formerly known as Antero Resources Appalachian Corporation and changed its name to Antero Resources Corporation in June 2013. Antero Resources Corporation was incorporated in 2002 and is headquartered in Denver, Colorado.</t>
  </si>
  <si>
    <t>1615 Wynkoop Street, Denver, Colorado, 80202, United States</t>
  </si>
  <si>
    <t>Diamondback Energy, Inc., an independent oil and natural gas company, focuses on the acquisition, development, exploration, and exploitation of unconventional and onshore oil and natural gas reserves in the Permian Basin in West Texas. It focuses on the development of the Spraberry and Wolfcamp formations of the Midland basin; and the Wolfcamp and Bone Spring formations of the Delaware basin, which are part of the Permian Basin in West Texas and New Mexico. The company also owns, operates, develops, and acquires midstream infrastructure assets, including 770 miles of crude oil gathering pipelines, natural gas gathering pipelines, and an integrated water system in the Midland and Delaware Basins of the Permian Basin. Diamondback Energy, Inc. was founded in 2007 and is headquartered in Midland, Texas.</t>
  </si>
  <si>
    <t>500 West Texas Avenue, Suite 1200, Midland, Texas, 79701, United States</t>
  </si>
  <si>
    <t>Diamondback Energy, Inc. (NasdaqGS:FANG) &gt;  Quick Comparable Analysis &gt; Implied Valuation</t>
  </si>
  <si>
    <t>Template:</t>
  </si>
  <si>
    <t>Currency:</t>
  </si>
  <si>
    <t>As-Of Date:</t>
  </si>
  <si>
    <t xml:space="preserve">LTM Basic EPS </t>
  </si>
  <si>
    <t xml:space="preserve"> </t>
  </si>
  <si>
    <t>Total Enterprise Value Multiples</t>
  </si>
  <si>
    <t>Pricing Multiples</t>
  </si>
  <si>
    <t xml:space="preserve">NTM TEV/Forward Total Revenue </t>
  </si>
  <si>
    <t xml:space="preserve">NTM TEV/Forward EBITDA </t>
  </si>
  <si>
    <t xml:space="preserve">NTM Forward P/E </t>
  </si>
  <si>
    <t>NM</t>
  </si>
  <si>
    <t>Implied Enterprise Value</t>
  </si>
  <si>
    <t>NA</t>
  </si>
  <si>
    <t>+ Total Cash &amp; ST Investments</t>
  </si>
  <si>
    <t>- Total Debt</t>
  </si>
  <si>
    <t>- Total Pref. Equity</t>
  </si>
  <si>
    <t>- Minority Interest</t>
  </si>
  <si>
    <t>= Implied Equity Value</t>
  </si>
  <si>
    <t>/ Shares Outstanding</t>
  </si>
  <si>
    <t>= Implied Price per Share</t>
  </si>
  <si>
    <t>Mean Equity Value Across Multiples</t>
  </si>
  <si>
    <t>Equity Value</t>
  </si>
  <si>
    <t>Price Per Share</t>
  </si>
  <si>
    <t>Diamondback Energy, Inc. (NasdaqGS:FANG) &gt;  Quick Comparable Analysis &gt; Valuation Chart</t>
  </si>
  <si>
    <t>Template:</t>
  </si>
  <si>
    <t>Currency:</t>
  </si>
  <si>
    <t>As-Of Date:</t>
  </si>
  <si>
    <t>Diamondback Energy, Inc. (NasdaqGS:FANG) &gt;  Quick Comparable Analysis &gt; Credit Health Panel</t>
  </si>
  <si>
    <t>Template:</t>
  </si>
  <si>
    <t>Currency:</t>
  </si>
  <si>
    <t>As-Of Date:</t>
  </si>
  <si>
    <t>Overall</t>
  </si>
  <si>
    <t>Operational</t>
  </si>
  <si>
    <t>Solvency</t>
  </si>
  <si>
    <t>Liquidity</t>
  </si>
  <si>
    <t>LTM Period Ending</t>
  </si>
  <si>
    <t>Financials Updated</t>
  </si>
  <si>
    <t>S&amp;P Issuer Credit Rating Foreign Currency LT Rating</t>
  </si>
  <si>
    <t>CreditModel Score</t>
  </si>
  <si>
    <t>Market Signal Probability of Default %</t>
  </si>
  <si>
    <t>Country/Region</t>
  </si>
  <si>
    <t>Primary Industry Classification</t>
  </si>
  <si>
    <t>BBB</t>
  </si>
  <si>
    <t>bbb+</t>
  </si>
  <si>
    <t>0.8524%</t>
  </si>
  <si>
    <t>United States</t>
  </si>
  <si>
    <t>Oil and Gas Exploration and Production</t>
  </si>
  <si>
    <t>a-</t>
  </si>
  <si>
    <t>0.8115%</t>
  </si>
  <si>
    <t>0.3833%</t>
  </si>
  <si>
    <t>BB</t>
  </si>
  <si>
    <t>bbb-</t>
  </si>
  <si>
    <t>1.4253%</t>
  </si>
  <si>
    <t>bbb</t>
  </si>
  <si>
    <t>1.7921%</t>
  </si>
  <si>
    <t>BBB-</t>
  </si>
  <si>
    <t>1.5309%</t>
  </si>
  <si>
    <t>0.9020%</t>
  </si>
  <si>
    <t>BB+</t>
  </si>
  <si>
    <t>2.1852%</t>
  </si>
  <si>
    <t>0.4440%</t>
  </si>
  <si>
    <t>2.7380%</t>
  </si>
  <si>
    <t>0.6171%</t>
  </si>
  <si>
    <t>Credit Health Panel metric values are calculated by converting all currencies to USD based on yesterday’s spot rate. Currencies displayed on the page are converted at today’s spot rate from yesterday’s USD value.</t>
  </si>
  <si>
    <t>S&amp;P Credit Ratings and Research provided by</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</si>
  <si>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S&amp;P Global Market Intelligence or its affiliates (collectively, S&amp;P Global). The Content shall not be used for any unlawful or unauthorized purposes. S&amp;P Global and any third-party providers, as well as their directors, officers, shareholders, employees or agents (collectively S&amp;P Global Parties) do not guarantee the accuracy, completeness, timeliness or availability of the Content. S&amp;P Global Parties are not responsible for any errors or omissions (negligent or otherwise), regardless of the cause, for the results obtained from the use of the Content, or for the security or maintenance of any data input by the user. The Content is provided on an "as is" basis. S&amp;P GLOBAL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Global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damages.Credit-related and other analyses, including ratings, and statements in the Content are statements of opinion as of the date they are expressed and not statements of fact. S&amp;P Global Market Intelligence’s opinions, analyses and rating acknowledgment decisions (described below) are not recommendations to purchase, hold, or sell any securities or to make any investment decisions, and do not address the suitability of any security. S&amp;P Global Market Intelligence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Global Market Intelligence does not act as a fiduciary or an investment advisor except where registered as such. While S&amp;P Global Market Intelligence has obtained information from sources it believes to be reliable, S&amp;P Global Market Intelligence does not perform an audit and undertakes no duty of due diligence or independent verification of any information it receives.S&amp;P Global keeps certain activities of its divisions separate from each other in order to preserve the independence and objectivity of their respective activities. As a result, certain divisions of S&amp;P Global may have information that is not available to other S&amp;P Global divisions. S&amp;P Global has established policies and procedures to maintain the confidentiality of certain non-public information received in connection with each analytical process.S&amp;P Global Ratings does not contribute to or participate in the creation of credit scores generated by S&amp;P Global Market Intelligence. Lowercase nomenclature is used to differentiate S&amp;P Global Market Intelligence PD credit model scores from the credit ratings issued by S&amp;P Global Ratings.S&amp;P Global may receive compensation for its ratings and certain analyses, normally from issuers or underwriters of securities or from obligors. S&amp;P Global reserves the right to disseminate its opinions and analyses. S&amp;P Global's public ratings and analyses are made available on its Web sites, http://www.standardandpoors.com (free of charge), and http://www.capitaliq.com (subscription), and may be distributed through other means, including via S&amp;P Global publications and third-party redistributors. Additional information about our ratings fees is available at http://www.standardandpoors.com/usratingsfees..</t>
  </si>
  <si>
    <t>Diamondback Energy, Inc. (NasdaqGS:FANG) &gt; Credit Health Panel &gt; Disclaimer</t>
  </si>
  <si>
    <t>Copyright © 2023 by Standard &amp; Poor’s Financial Services LLC. All rights reserved.</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</si>
  <si>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Standard &amp; Poor’s Financial Services LLC or its affiliates (collectively, S&amp;P). The Content shall not be used for any unlawful or unauthorized purposes. S&amp;P and any third-party providers, as well as their directors, officers, shareholders, employees or agents (collectively S&amp;P Parties) do not guarantee the accuracy, completeness, timeliness or availability of the Content. S&amp;P Parties are not responsible for any errors or omissions (negligent or otherwise), regardless of the cause, for the results obtained from the use of the Content, or for the security or maintenance of any data input by the user. The Content is provided on an “as is” basis. S&amp;P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t>
  </si>
  <si>
    <t>Credit-related and other analyses, including ratings, and statements in the Content are statements of opinion as of the date they are expressed and not statements of fact. S&amp;P’s opinions, analyses and rating acknowledgment decisions (described below) are not recommendations to purchase, hold, or sell any securities or to make any investment decisions, and do not address the suitability of any security. S&amp;P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does not act as a fiduciary or an investment advisor except where registered as such.  While S&amp;P has obtained information from sources it believes to be reliable, S&amp;P does not perform an audit and undertakes no duty of due diligence or independent verification of any information it receives.</t>
  </si>
  <si>
    <t>To the extent that regulatory authorities allow a rating agency to acknowledge in one jurisdiction a rating issued in another jurisdiction for certain regulatory purposes, S&amp;P reserves the right to assign, withdraw or suspend such acknowledgement at any time and in its sole discretion. S&amp;P Parties disclaim any duty whatsoever arising out of the assignment, withdrawal or suspension of an acknowledgment as well as any liability for any damage alleged to have been suffered on account thereof.</t>
  </si>
  <si>
    <t>S&amp;P keeps certain activities of its business units separate from each other in order to preserve the independence and objectivity of their respective activities. As a result, certain business units of S&amp;P may have information that is not available to other S&amp;P business units. S&amp;P has established policies and procedures to maintain the confidentiality of certain non-public information received in connection with each analytical process.</t>
  </si>
  <si>
    <t>S&amp;P may receive compensation for its ratings and certain analyses, normally from issuers or underwriters of securities or from obligors. S&amp;P reserves the right to disseminate its opinions and analyses. S&amp;P’s public ratings and analyses are made available on its Web sites, www.standardandpoors.com (free of charge), and www.ratingsdirect.com and www.globalcreditportal.com (subscription), and may be distributed through other means, including via S&amp;P publications and third-party redistributors. Additional information about our ratings fees is available at www.standardandpoors.com/usratingsfees.</t>
  </si>
  <si>
    <t>You are using a functionality that permits you to export content from the S&amp;P Capital IQ Platform. You are permitted to provide limited excerpts of information from this export to others provided you: (1) do so solely in the ordinary course of your internal business; (2) do not provide S&amp;P Capital IQ information in any manner that may obviate the need for the individuals who receive such excerpts to obtain their own S&amp;P Capital IQ Platform password/license; and, (3) provide S&amp;P with appropriate attribution and a disclaimer on S&amp;P’s behalf.</t>
  </si>
  <si>
    <t>To reprint, translate, or use the data or information other than as provided herein, contact Client Services, 55 Water Street, New York, NY 10041; (1) 877-773-4732 or by e-mail to: research_request@standardandpoors.com.</t>
  </si>
  <si>
    <t>Any Passwords/user IDs issued by S&amp;P Capital IQ to users are single user dedicated and may ONLY be used by the individual to whom they have been assigned. No sharing of passwords/user IDs and no simultaneous access via the same password/user ID is permitted.</t>
  </si>
  <si>
    <t>Standard &amp; Poor’s, S&amp;P, and Credit Health Panel are registered trademarks of Standard &amp; Poor’s Financial Services LLC.  Capital IQ is a registered trademark of Capital IQ, Excel is a registered trademark of Microsoft.</t>
  </si>
  <si>
    <t>Evaluation Only. Created with Aspose.Cells for .NET.Copyright 2003 - 2023 Aspose Pty Ltd.</t>
  </si>
  <si>
    <t>Percentile Average</t>
  </si>
  <si>
    <t>Company vs Peers</t>
  </si>
  <si>
    <t>Percentiles</t>
  </si>
  <si>
    <t>Applied Percentile</t>
  </si>
  <si>
    <t>NTM EV/REV</t>
  </si>
  <si>
    <t>NTM EV/EBITDA</t>
  </si>
  <si>
    <t>NTM P/E</t>
  </si>
  <si>
    <t>Weighting %</t>
  </si>
  <si>
    <t>Applied Multiple</t>
  </si>
  <si>
    <t>Company Metric</t>
  </si>
  <si>
    <t>EV</t>
  </si>
  <si>
    <t>Net Debt</t>
  </si>
  <si>
    <t>Shares Outstanding</t>
  </si>
  <si>
    <t>Implied Price / Share</t>
  </si>
  <si>
    <t>Weighted Price</t>
  </si>
  <si>
    <t>Current Price</t>
  </si>
  <si>
    <t>Implied Market Upside(Downside)</t>
  </si>
  <si>
    <t>Based on Benchmarking Analysis the Target Company Vs its Comps is Under(Overvalued) by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</si>
</sst>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mmm\-dd\-yyyy"/>
    <numFmt numFmtId="165" formatCode="_(\ #,##0.0#_);_(\(\ #,##0.0#\)_);_(\ &quot; - &quot;_)"/>
    <numFmt numFmtId="166" formatCode="_(\ #,##0.0_);_(\ \(#,##0.0\)_);_(\ &quot; - &quot;_)"/>
    <numFmt numFmtId="167" formatCode="#,##0.0\x"/>
    <numFmt numFmtId="168" formatCode="#,##0.00\x"/>
    <numFmt numFmtId="169" formatCode="_(#,##0.0%_);_(\(#,##0.0%\)_);_(#,##0.0%_)"/>
    <numFmt numFmtId="170" formatCode="_(#,##0.00%_);_(\(#,##0.00%\)_);_(#,##0.00%_)"/>
    <numFmt numFmtId="171" formatCode="_(\ #,##0_);_(\ \(#,##0\)_);_(\ &quot; - &quot;_)"/>
  </numFmts>
  <fonts count="25" x14ac:knownFonts="1">
    <font>
      <sz val="10"/>
      <name val="Arial"/>
    </font>
    <font>
      <sz val="8"/>
      <name val="Arial"/>
    </font>
    <font>
      <b/>
      <sz val="13"/>
      <color indexed="8"/>
      <name val="Verdana"/>
    </font>
    <font>
      <b/>
      <sz val="12"/>
      <color indexed="8"/>
      <name val="Verdana"/>
    </font>
    <font>
      <b/>
      <sz val="10"/>
      <color indexed="9"/>
      <name val="Arial"/>
    </font>
    <font>
      <b/>
      <u val="singleAccounting"/>
      <sz val="8"/>
      <color indexed="8"/>
      <name val="Verdana"/>
    </font>
    <font>
      <b/>
      <sz val="8"/>
      <color indexed="9"/>
      <name val="Verdana"/>
    </font>
    <font>
      <b/>
      <u val="singleAccounting"/>
      <sz val="8"/>
      <color indexed="8"/>
      <name val="Arial"/>
    </font>
    <font>
      <sz val="8"/>
      <color indexed="8"/>
      <name val="Arial"/>
    </font>
    <font>
      <vertAlign val="superscript"/>
      <sz val="8"/>
      <color indexed="8"/>
      <name val="Arial"/>
    </font>
    <font>
      <vertAlign val="subscript"/>
      <sz val="8"/>
      <color indexed="8"/>
      <name val="Arial"/>
    </font>
    <font>
      <b/>
      <sz val="8"/>
      <color indexed="8"/>
      <name val="Arial"/>
    </font>
    <font>
      <i/>
      <sz val="8"/>
      <color indexed="8"/>
      <name val="Arial"/>
    </font>
    <font>
      <sz val="1"/>
      <color indexed="9"/>
      <name val="Symbol"/>
    </font>
    <font>
      <sz val="10"/>
      <color indexed="8"/>
      <name val="Arial"/>
    </font>
    <font>
      <b/>
      <sz val="8"/>
      <color indexed="8"/>
      <name val="Verdana"/>
    </font>
    <font>
      <b/>
      <sz val="8"/>
      <name val="Arial"/>
    </font>
    <font>
      <b/>
      <sz val="8"/>
      <color indexed="9"/>
      <name val="Arial"/>
    </font>
    <font>
      <b/>
      <i/>
      <sz val="18"/>
      <color rgb="FF0000FF"/>
      <name val="Arial"/>
    </font>
    <font>
      <sz val="10"/>
      <name val="Arial"/>
    </font>
    <font>
      <sz val="11"/>
      <name val="Arial"/>
      <family val="2"/>
    </font>
    <font>
      <b/>
      <sz val="11"/>
      <name val="Arial"/>
      <family val="2"/>
    </font>
    <font>
      <sz val="11"/>
      <color rgb="FFFF0000"/>
      <name val="Arial"/>
      <family val="2"/>
    </font>
    <font>
      <sz val="12"/>
      <name val="Arial"/>
      <family val="2"/>
    </font>
    <font>
      <sz val="12"/>
      <color rgb="FFFF0000"/>
      <name val="Arial"/>
      <family val="2"/>
    </font>
  </fonts>
  <fills count="10">
    <fill>
      <patternFill patternType="none"/>
    </fill>
    <fill>
      <patternFill patternType="gray125"/>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0"/>
        <bgColor indexed="64"/>
      </patternFill>
    </fill>
    <fill>
      <patternFill patternType="solid">
        <fgColor indexed="55"/>
        <bgColor indexed="64"/>
      </patternFill>
    </fill>
    <fill>
      <patternFill patternType="solid">
        <fgColor indexed="54"/>
        <bgColor indexed="64"/>
      </patternFill>
    </fill>
    <fill>
      <patternFill patternType="solid">
        <fgColor indexed="53"/>
        <bgColor indexed="64"/>
      </patternFill>
    </fill>
    <fill>
      <patternFill patternType="solid">
        <fgColor indexed="52"/>
        <bgColor indexed="64"/>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s>
  <cellStyleXfs count="19">
    <xf numFmtId="0" fontId="0" fillId="0" borderId="0"/>
    <xf numFmtId="43"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2" fillId="0" borderId="0" applyAlignment="0"/>
    <xf numFmtId="0" fontId="3" fillId="0" borderId="0" applyAlignment="0"/>
    <xf numFmtId="0" fontId="4" fillId="2" borderId="0" applyAlignment="0"/>
    <xf numFmtId="0" fontId="5" fillId="3" borderId="0" applyAlignment="0"/>
    <xf numFmtId="0" fontId="6" fillId="4" borderId="0" applyAlignment="0"/>
    <xf numFmtId="0" fontId="7" fillId="5" borderId="0" applyAlignment="0"/>
    <xf numFmtId="0" fontId="8" fillId="0" borderId="0" applyAlignment="0"/>
    <xf numFmtId="0" fontId="9" fillId="0" borderId="0" applyAlignment="0"/>
    <xf numFmtId="0" fontId="10" fillId="0" borderId="0" applyAlignment="0"/>
    <xf numFmtId="0" fontId="11" fillId="0" borderId="0" applyAlignment="0"/>
    <xf numFmtId="0" fontId="12" fillId="0" borderId="0" applyAlignment="0"/>
    <xf numFmtId="0" fontId="11" fillId="0" borderId="0" applyAlignment="0"/>
    <xf numFmtId="0" fontId="13" fillId="0" borderId="0" applyAlignment="0"/>
    <xf numFmtId="0" fontId="14" fillId="0" borderId="0" applyAlignment="0"/>
    <xf numFmtId="0" fontId="15" fillId="0" borderId="0" applyAlignment="0"/>
  </cellStyleXfs>
  <cellXfs count="130">
    <xf numFmtId="0" fontId="1" fillId="0" borderId="0" xfId="0" applyFont="1" applyAlignment="1"/>
    <xf numFmtId="0" fontId="2" fillId="0" borderId="0" xfId="0" applyNumberFormat="1" applyFont="1" applyAlignment="1"/>
    <xf numFmtId="0" fontId="6" fillId="4" borderId="0" xfId="0" applyFont="1" applyFill="1" applyAlignment="1"/>
    <xf numFmtId="0" fontId="16" fillId="0" borderId="0" xfId="0" applyFont="1" applyAlignment="1"/>
    <xf numFmtId="0" fontId="1" fillId="0" borderId="0" xfId="0" applyFont="1" applyAlignment="1">
      <alignment horizontal="left"/>
    </xf>
    <xf numFmtId="164" fontId="1" fillId="0" borderId="0" xfId="0" applyNumberFormat="1" applyFont="1" applyAlignment="1">
      <alignment horizontal="left"/>
    </xf>
    <xf numFmtId="0" fontId="8" fillId="0" borderId="0" xfId="0" applyNumberFormat="1" applyFont="1" applyAlignment="1">
      <alignment horizontal="left" vertical="top"/>
    </xf>
    <xf numFmtId="0" fontId="11" fillId="5" borderId="0" xfId="0" applyFont="1" applyFill="1" applyAlignment="1">
      <alignment horizontal="left" vertical="top" wrapText="1"/>
    </xf>
    <xf numFmtId="0" fontId="11" fillId="0" borderId="0" xfId="0" applyFont="1" applyAlignment="1">
      <alignment vertical="top" wrapText="1"/>
    </xf>
    <xf numFmtId="0" fontId="11" fillId="5" borderId="0" xfId="0" applyFont="1" applyFill="1" applyAlignment="1">
      <alignment vertical="top" wrapText="1"/>
    </xf>
    <xf numFmtId="0" fontId="1" fillId="0" borderId="0" xfId="0" applyFont="1" applyAlignment="1">
      <alignment vertical="top" wrapText="1"/>
    </xf>
    <xf numFmtId="0" fontId="11" fillId="5" borderId="0" xfId="0" applyFont="1" applyFill="1" applyAlignment="1">
      <alignment horizontal="right" vertical="top" wrapText="1"/>
    </xf>
    <xf numFmtId="165" fontId="8" fillId="0" borderId="0" xfId="0" applyNumberFormat="1" applyFont="1" applyAlignment="1">
      <alignment horizontal="right" vertical="top" wrapText="1"/>
    </xf>
    <xf numFmtId="166" fontId="8" fillId="0" borderId="0" xfId="0" applyNumberFormat="1" applyFont="1" applyAlignment="1">
      <alignment horizontal="right" vertical="top" wrapText="1"/>
    </xf>
    <xf numFmtId="0" fontId="8" fillId="0" borderId="0" xfId="0" applyNumberFormat="1" applyFont="1" applyAlignment="1">
      <alignment horizontal="right" vertical="top" wrapText="1"/>
    </xf>
    <xf numFmtId="0" fontId="11" fillId="5" borderId="0" xfId="0" applyFont="1" applyFill="1" applyAlignment="1">
      <alignment horizontal="center" vertical="top" wrapText="1"/>
    </xf>
    <xf numFmtId="164" fontId="8" fillId="0" borderId="0" xfId="0" applyNumberFormat="1" applyFont="1" applyAlignment="1">
      <alignment horizontal="center" vertical="top" wrapText="1"/>
    </xf>
    <xf numFmtId="0" fontId="8" fillId="0" borderId="0" xfId="0" applyNumberFormat="1" applyFont="1" applyAlignment="1">
      <alignment horizontal="center" vertical="top" wrapText="1"/>
    </xf>
    <xf numFmtId="0" fontId="1" fillId="0" borderId="0" xfId="0" applyFont="1" applyAlignment="1">
      <alignment horizontal="right" wrapText="1"/>
    </xf>
    <xf numFmtId="168" fontId="8" fillId="0" borderId="0" xfId="0" applyNumberFormat="1" applyFont="1" applyAlignment="1">
      <alignment horizontal="right" vertical="top" wrapText="1"/>
    </xf>
    <xf numFmtId="169" fontId="8" fillId="0" borderId="0" xfId="0" applyNumberFormat="1" applyFont="1" applyAlignment="1">
      <alignment horizontal="right" vertical="top" wrapText="1"/>
    </xf>
    <xf numFmtId="170" fontId="8" fillId="0" borderId="0" xfId="0" applyNumberFormat="1" applyFont="1" applyAlignment="1">
      <alignment horizontal="right" vertical="top" wrapText="1"/>
    </xf>
    <xf numFmtId="167" fontId="8" fillId="0" borderId="0" xfId="0" applyNumberFormat="1" applyFont="1" applyAlignment="1">
      <alignment horizontal="right" vertical="top" wrapText="1"/>
    </xf>
    <xf numFmtId="0" fontId="8" fillId="0" borderId="0" xfId="0" applyNumberFormat="1" applyFont="1" applyAlignment="1">
      <alignment horizontal="left" vertical="top" wrapText="1"/>
    </xf>
    <xf numFmtId="165" fontId="8" fillId="0" borderId="0" xfId="0" applyNumberFormat="1" applyFont="1" applyAlignment="1">
      <alignment vertical="top" wrapText="1"/>
    </xf>
    <xf numFmtId="0" fontId="11" fillId="0" borderId="0" xfId="0" applyNumberFormat="1" applyFont="1" applyAlignment="1">
      <alignment vertical="top" wrapText="1"/>
    </xf>
    <xf numFmtId="0" fontId="1" fillId="0" borderId="0" xfId="0" applyFont="1" applyAlignment="1">
      <alignment horizontal="center" vertical="top" wrapText="1"/>
    </xf>
    <xf numFmtId="0" fontId="8" fillId="0" borderId="0" xfId="0" applyNumberFormat="1" applyFont="1" applyAlignment="1">
      <alignment vertical="top" wrapText="1"/>
    </xf>
    <xf numFmtId="0" fontId="11" fillId="5" borderId="1" xfId="0" applyFont="1" applyFill="1" applyBorder="1" applyAlignment="1">
      <alignment horizontal="left" vertical="top" wrapText="1"/>
    </xf>
    <xf numFmtId="0" fontId="11" fillId="5" borderId="1" xfId="0" applyFont="1" applyFill="1" applyBorder="1" applyAlignment="1">
      <alignment horizontal="center" vertical="center" wrapText="1"/>
    </xf>
    <xf numFmtId="171" fontId="17" fillId="6" borderId="1" xfId="0" applyNumberFormat="1" applyFont="1" applyFill="1" applyBorder="1" applyAlignment="1">
      <alignment horizontal="center" vertical="top" wrapText="1"/>
    </xf>
    <xf numFmtId="171" fontId="17" fillId="7" borderId="1" xfId="0" applyNumberFormat="1" applyFont="1" applyFill="1" applyBorder="1" applyAlignment="1">
      <alignment horizontal="center" vertical="top" wrapText="1"/>
    </xf>
    <xf numFmtId="171" fontId="17" fillId="8" borderId="1" xfId="0" applyNumberFormat="1" applyFont="1" applyFill="1" applyBorder="1" applyAlignment="1">
      <alignment horizontal="center" vertical="top" wrapText="1"/>
    </xf>
    <xf numFmtId="171" fontId="17" fillId="9" borderId="1" xfId="0" applyNumberFormat="1" applyFont="1" applyFill="1" applyBorder="1" applyAlignment="1">
      <alignment horizontal="center" vertical="top" wrapText="1"/>
    </xf>
    <xf numFmtId="0" fontId="11" fillId="5" borderId="1" xfId="0" applyFont="1" applyFill="1" applyBorder="1" applyAlignment="1">
      <alignment horizontal="center" vertical="top" wrapText="1"/>
    </xf>
    <xf numFmtId="164" fontId="8" fillId="0" borderId="1" xfId="0" applyNumberFormat="1" applyFont="1" applyBorder="1" applyAlignment="1">
      <alignment horizontal="center" vertical="top" wrapText="1"/>
    </xf>
    <xf numFmtId="0" fontId="8" fillId="0" borderId="1" xfId="0" applyNumberFormat="1" applyFont="1" applyBorder="1" applyAlignment="1">
      <alignment horizontal="center" vertical="top" wrapText="1"/>
    </xf>
    <xf numFmtId="0" fontId="8" fillId="0" borderId="1" xfId="0" applyNumberFormat="1" applyFont="1" applyBorder="1" applyAlignment="1">
      <alignment horizontal="left" vertical="top" wrapText="1"/>
    </xf>
    <xf numFmtId="0" fontId="1" fillId="0" borderId="0" xfId="0" applyFont="1" applyAlignment="1">
      <alignment horizontal="left" wrapText="1"/>
    </xf>
    <xf numFmtId="0" fontId="1" fillId="0" borderId="0" xfId="0" applyFont="1" applyAlignment="1">
      <alignment vertical="center" wrapText="1"/>
    </xf>
    <xf numFmtId="0" fontId="1" fillId="0" borderId="0" xfId="0" applyFont="1" applyAlignment="1">
      <alignment wrapText="1"/>
    </xf>
    <xf numFmtId="0" fontId="13" fillId="0" borderId="0" xfId="16" applyFont="1" applyAlignment="1"/>
    <xf numFmtId="0" fontId="18" fillId="0" borderId="0" xfId="0" applyNumberFormat="1" applyFont="1" applyFill="1" applyBorder="1" applyAlignment="1" applyProtection="1"/>
    <xf numFmtId="0" fontId="20" fillId="0" borderId="0" xfId="0" applyFont="1" applyFill="1" applyBorder="1" applyAlignment="1"/>
    <xf numFmtId="0" fontId="21" fillId="0" borderId="5" xfId="0" applyFont="1" applyFill="1" applyBorder="1" applyAlignment="1">
      <alignment horizontal="left" vertical="top" wrapText="1"/>
    </xf>
    <xf numFmtId="0" fontId="21" fillId="0" borderId="21" xfId="0" applyFont="1" applyFill="1" applyBorder="1" applyAlignment="1">
      <alignment horizontal="right" vertical="top" wrapText="1"/>
    </xf>
    <xf numFmtId="0" fontId="21" fillId="0" borderId="16" xfId="0" applyFont="1" applyFill="1" applyBorder="1" applyAlignment="1">
      <alignment horizontal="right" vertical="top" wrapText="1"/>
    </xf>
    <xf numFmtId="0" fontId="21" fillId="0" borderId="19" xfId="0" applyFont="1" applyFill="1" applyBorder="1" applyAlignment="1">
      <alignment horizontal="left" vertical="top" wrapText="1"/>
    </xf>
    <xf numFmtId="169" fontId="20" fillId="0" borderId="5" xfId="0" applyNumberFormat="1" applyFont="1" applyFill="1" applyBorder="1" applyAlignment="1">
      <alignment horizontal="right" vertical="top" wrapText="1"/>
    </xf>
    <xf numFmtId="169" fontId="20" fillId="0" borderId="6" xfId="0" applyNumberFormat="1" applyFont="1" applyFill="1" applyBorder="1" applyAlignment="1">
      <alignment horizontal="right" vertical="top" wrapText="1"/>
    </xf>
    <xf numFmtId="170" fontId="20" fillId="0" borderId="6" xfId="0" applyNumberFormat="1" applyFont="1" applyFill="1" applyBorder="1" applyAlignment="1">
      <alignment horizontal="right" vertical="top" wrapText="1"/>
    </xf>
    <xf numFmtId="167" fontId="20" fillId="0" borderId="6" xfId="0" applyNumberFormat="1" applyFont="1" applyFill="1" applyBorder="1" applyAlignment="1">
      <alignment horizontal="right" vertical="top" wrapText="1"/>
    </xf>
    <xf numFmtId="165" fontId="20" fillId="0" borderId="11" xfId="0" applyNumberFormat="1" applyFont="1" applyFill="1" applyBorder="1" applyAlignment="1">
      <alignment horizontal="right" vertical="top" wrapText="1"/>
    </xf>
    <xf numFmtId="169" fontId="20" fillId="0" borderId="4" xfId="0" applyNumberFormat="1" applyFont="1" applyFill="1" applyBorder="1" applyAlignment="1">
      <alignment horizontal="right" vertical="top" wrapText="1"/>
    </xf>
    <xf numFmtId="169" fontId="20" fillId="0" borderId="2" xfId="0" applyNumberFormat="1" applyFont="1" applyFill="1" applyBorder="1" applyAlignment="1">
      <alignment horizontal="right" vertical="top" wrapText="1"/>
    </xf>
    <xf numFmtId="170" fontId="20" fillId="0" borderId="2" xfId="0" applyNumberFormat="1" applyFont="1" applyFill="1" applyBorder="1" applyAlignment="1">
      <alignment horizontal="right" vertical="top" wrapText="1"/>
    </xf>
    <xf numFmtId="167" fontId="20" fillId="0" borderId="2" xfId="0" applyNumberFormat="1" applyFont="1" applyFill="1" applyBorder="1" applyAlignment="1">
      <alignment horizontal="right" vertical="top" wrapText="1"/>
    </xf>
    <xf numFmtId="165" fontId="20" fillId="0" borderId="12" xfId="0" applyNumberFormat="1" applyFont="1" applyFill="1" applyBorder="1" applyAlignment="1">
      <alignment horizontal="right" vertical="top" wrapText="1"/>
    </xf>
    <xf numFmtId="0" fontId="20" fillId="0" borderId="2" xfId="0" applyNumberFormat="1" applyFont="1" applyFill="1" applyBorder="1" applyAlignment="1">
      <alignment horizontal="right" vertical="top" wrapText="1"/>
    </xf>
    <xf numFmtId="0" fontId="21" fillId="0" borderId="20" xfId="0" applyFont="1" applyFill="1" applyBorder="1" applyAlignment="1">
      <alignment horizontal="left" vertical="top" wrapText="1"/>
    </xf>
    <xf numFmtId="169" fontId="20" fillId="0" borderId="8" xfId="0" applyNumberFormat="1" applyFont="1" applyFill="1" applyBorder="1" applyAlignment="1">
      <alignment horizontal="right" vertical="top" wrapText="1"/>
    </xf>
    <xf numFmtId="169" fontId="20" fillId="0" borderId="9" xfId="0" applyNumberFormat="1" applyFont="1" applyFill="1" applyBorder="1" applyAlignment="1">
      <alignment horizontal="right" vertical="top" wrapText="1"/>
    </xf>
    <xf numFmtId="170" fontId="20" fillId="0" borderId="9" xfId="0" applyNumberFormat="1" applyFont="1" applyFill="1" applyBorder="1" applyAlignment="1">
      <alignment horizontal="right" vertical="top" wrapText="1"/>
    </xf>
    <xf numFmtId="167" fontId="20" fillId="0" borderId="9" xfId="0" applyNumberFormat="1" applyFont="1" applyFill="1" applyBorder="1" applyAlignment="1">
      <alignment horizontal="right" vertical="top" wrapText="1"/>
    </xf>
    <xf numFmtId="165" fontId="20" fillId="0" borderId="13" xfId="0" applyNumberFormat="1" applyFont="1" applyFill="1" applyBorder="1" applyAlignment="1">
      <alignment horizontal="right" vertical="top" wrapText="1"/>
    </xf>
    <xf numFmtId="0" fontId="20" fillId="0" borderId="18" xfId="0" applyFont="1" applyFill="1" applyBorder="1" applyAlignment="1"/>
    <xf numFmtId="9" fontId="22" fillId="0" borderId="15" xfId="0" applyNumberFormat="1" applyFont="1" applyFill="1" applyBorder="1" applyAlignment="1"/>
    <xf numFmtId="0" fontId="20" fillId="0" borderId="10" xfId="0" applyFont="1" applyFill="1" applyBorder="1" applyAlignment="1"/>
    <xf numFmtId="9" fontId="20" fillId="0" borderId="17" xfId="0" applyNumberFormat="1" applyFont="1" applyFill="1" applyBorder="1" applyAlignment="1"/>
    <xf numFmtId="9" fontId="20" fillId="0" borderId="14" xfId="0" applyNumberFormat="1" applyFont="1" applyFill="1" applyBorder="1" applyAlignment="1"/>
    <xf numFmtId="9" fontId="20" fillId="0" borderId="15" xfId="0" applyNumberFormat="1" applyFont="1" applyFill="1" applyBorder="1" applyAlignment="1"/>
    <xf numFmtId="9" fontId="20" fillId="0" borderId="5" xfId="0" applyNumberFormat="1" applyFont="1" applyFill="1" applyBorder="1" applyAlignment="1"/>
    <xf numFmtId="9" fontId="20" fillId="0" borderId="6" xfId="3" applyFont="1" applyFill="1" applyBorder="1" applyAlignment="1"/>
    <xf numFmtId="168" fontId="20" fillId="0" borderId="6" xfId="3" applyNumberFormat="1" applyFont="1" applyFill="1" applyBorder="1" applyAlignment="1"/>
    <xf numFmtId="43" fontId="20" fillId="0" borderId="11" xfId="1" applyFont="1" applyFill="1" applyBorder="1" applyAlignment="1"/>
    <xf numFmtId="9" fontId="20" fillId="0" borderId="4" xfId="0" applyNumberFormat="1" applyFont="1" applyFill="1" applyBorder="1" applyAlignment="1"/>
    <xf numFmtId="9" fontId="20" fillId="0" borderId="2" xfId="3" applyFont="1" applyFill="1" applyBorder="1" applyAlignment="1"/>
    <xf numFmtId="168" fontId="20" fillId="0" borderId="2" xfId="3" applyNumberFormat="1" applyFont="1" applyFill="1" applyBorder="1" applyAlignment="1"/>
    <xf numFmtId="43" fontId="20" fillId="0" borderId="12" xfId="1" applyFont="1" applyFill="1" applyBorder="1" applyAlignment="1"/>
    <xf numFmtId="9" fontId="20" fillId="0" borderId="8" xfId="0" applyNumberFormat="1" applyFont="1" applyFill="1" applyBorder="1" applyAlignment="1"/>
    <xf numFmtId="9" fontId="20" fillId="0" borderId="9" xfId="3" applyFont="1" applyFill="1" applyBorder="1" applyAlignment="1"/>
    <xf numFmtId="168" fontId="20" fillId="0" borderId="9" xfId="3" applyNumberFormat="1" applyFont="1" applyFill="1" applyBorder="1" applyAlignment="1"/>
    <xf numFmtId="43" fontId="20" fillId="0" borderId="13" xfId="1" applyFont="1" applyFill="1" applyBorder="1" applyAlignment="1"/>
    <xf numFmtId="0" fontId="23" fillId="0" borderId="0" xfId="0" applyFont="1"/>
    <xf numFmtId="0" fontId="23" fillId="0" borderId="5" xfId="0" applyFont="1" applyBorder="1" applyAlignment="1">
      <alignment wrapText="1"/>
    </xf>
    <xf numFmtId="0" fontId="23" fillId="0" borderId="6" xfId="0" applyFont="1" applyBorder="1" applyAlignment="1">
      <alignment wrapText="1"/>
    </xf>
    <xf numFmtId="0" fontId="23" fillId="0" borderId="11" xfId="0" applyFont="1" applyBorder="1" applyAlignment="1">
      <alignment wrapText="1"/>
    </xf>
    <xf numFmtId="0" fontId="23" fillId="0" borderId="4" xfId="0" applyFont="1" applyBorder="1" applyAlignment="1">
      <alignment wrapText="1"/>
    </xf>
    <xf numFmtId="44" fontId="23" fillId="0" borderId="2" xfId="2" applyFont="1" applyBorder="1" applyAlignment="1">
      <alignment wrapText="1"/>
    </xf>
    <xf numFmtId="43" fontId="23" fillId="0" borderId="2" xfId="1" applyFont="1" applyBorder="1" applyAlignment="1">
      <alignment wrapText="1"/>
    </xf>
    <xf numFmtId="168" fontId="23" fillId="0" borderId="2" xfId="2" applyNumberFormat="1" applyFont="1" applyBorder="1" applyAlignment="1">
      <alignment wrapText="1"/>
    </xf>
    <xf numFmtId="168" fontId="23" fillId="0" borderId="12" xfId="2" applyNumberFormat="1" applyFont="1" applyBorder="1" applyAlignment="1">
      <alignment wrapText="1"/>
    </xf>
    <xf numFmtId="0" fontId="23" fillId="0" borderId="8" xfId="0" applyFont="1" applyBorder="1" applyAlignment="1">
      <alignment wrapText="1"/>
    </xf>
    <xf numFmtId="44" fontId="23" fillId="0" borderId="9" xfId="2" applyFont="1" applyBorder="1" applyAlignment="1">
      <alignment wrapText="1"/>
    </xf>
    <xf numFmtId="43" fontId="23" fillId="0" borderId="9" xfId="1" applyFont="1" applyBorder="1" applyAlignment="1">
      <alignment wrapText="1"/>
    </xf>
    <xf numFmtId="168" fontId="23" fillId="0" borderId="9" xfId="2" applyNumberFormat="1" applyFont="1" applyBorder="1" applyAlignment="1">
      <alignment wrapText="1"/>
    </xf>
    <xf numFmtId="168" fontId="23" fillId="0" borderId="13" xfId="2" applyNumberFormat="1" applyFont="1" applyBorder="1" applyAlignment="1">
      <alignment wrapText="1"/>
    </xf>
    <xf numFmtId="0" fontId="23" fillId="0" borderId="0" xfId="0" applyFont="1" applyBorder="1" applyAlignment="1">
      <alignment wrapText="1"/>
    </xf>
    <xf numFmtId="9" fontId="24" fillId="0" borderId="0" xfId="3" applyFont="1"/>
    <xf numFmtId="0" fontId="23" fillId="0" borderId="7" xfId="0" applyFont="1" applyBorder="1"/>
    <xf numFmtId="9" fontId="24" fillId="0" borderId="15" xfId="3" applyFont="1" applyBorder="1"/>
    <xf numFmtId="9" fontId="23" fillId="0" borderId="5" xfId="3" applyFont="1" applyBorder="1"/>
    <xf numFmtId="168" fontId="23" fillId="0" borderId="6" xfId="0" applyNumberFormat="1" applyFont="1" applyBorder="1"/>
    <xf numFmtId="168" fontId="23" fillId="0" borderId="11" xfId="0" applyNumberFormat="1" applyFont="1" applyBorder="1"/>
    <xf numFmtId="9" fontId="23" fillId="0" borderId="4" xfId="3" applyFont="1" applyBorder="1"/>
    <xf numFmtId="168" fontId="23" fillId="0" borderId="2" xfId="0" applyNumberFormat="1" applyFont="1" applyBorder="1"/>
    <xf numFmtId="168" fontId="23" fillId="0" borderId="12" xfId="0" applyNumberFormat="1" applyFont="1" applyBorder="1"/>
    <xf numFmtId="0" fontId="23" fillId="0" borderId="5" xfId="0" applyFont="1" applyBorder="1"/>
    <xf numFmtId="0" fontId="23" fillId="0" borderId="6" xfId="0" applyFont="1" applyBorder="1"/>
    <xf numFmtId="0" fontId="23" fillId="0" borderId="11" xfId="0" applyFont="1" applyBorder="1"/>
    <xf numFmtId="0" fontId="23" fillId="0" borderId="4" xfId="0" applyFont="1" applyBorder="1"/>
    <xf numFmtId="9" fontId="23" fillId="0" borderId="2" xfId="3" applyFont="1" applyBorder="1"/>
    <xf numFmtId="9" fontId="23" fillId="0" borderId="12" xfId="3" applyFont="1" applyBorder="1"/>
    <xf numFmtId="168" fontId="23" fillId="0" borderId="2" xfId="2" applyNumberFormat="1" applyFont="1" applyBorder="1"/>
    <xf numFmtId="168" fontId="23" fillId="0" borderId="12" xfId="2" applyNumberFormat="1" applyFont="1" applyBorder="1"/>
    <xf numFmtId="44" fontId="23" fillId="0" borderId="2" xfId="2" applyFont="1" applyBorder="1"/>
    <xf numFmtId="44" fontId="23" fillId="0" borderId="12" xfId="2" applyFont="1" applyBorder="1"/>
    <xf numFmtId="43" fontId="23" fillId="0" borderId="2" xfId="1" applyFont="1" applyBorder="1"/>
    <xf numFmtId="43" fontId="23" fillId="0" borderId="12" xfId="1" applyFont="1" applyBorder="1"/>
    <xf numFmtId="0" fontId="23" fillId="0" borderId="22" xfId="0" applyFont="1" applyBorder="1"/>
    <xf numFmtId="44" fontId="23" fillId="0" borderId="3" xfId="2" applyFont="1" applyBorder="1"/>
    <xf numFmtId="44" fontId="23" fillId="0" borderId="9" xfId="2" applyFont="1" applyBorder="1"/>
    <xf numFmtId="44" fontId="23" fillId="0" borderId="13" xfId="2" applyFont="1" applyBorder="1"/>
    <xf numFmtId="44" fontId="23" fillId="0" borderId="11" xfId="2" applyFont="1" applyBorder="1"/>
    <xf numFmtId="44" fontId="23" fillId="0" borderId="0" xfId="2" applyFont="1"/>
    <xf numFmtId="0" fontId="23" fillId="0" borderId="8" xfId="0" applyFont="1" applyBorder="1"/>
    <xf numFmtId="9" fontId="23" fillId="0" borderId="13" xfId="3" applyFont="1" applyBorder="1"/>
    <xf numFmtId="9" fontId="23" fillId="0" borderId="8" xfId="3" applyFont="1" applyBorder="1"/>
    <xf numFmtId="168" fontId="23" fillId="0" borderId="9" xfId="0" applyNumberFormat="1" applyFont="1" applyBorder="1"/>
    <xf numFmtId="168" fontId="23" fillId="0" borderId="13" xfId="0" applyNumberFormat="1" applyFont="1" applyBorder="1"/>
  </cellXfs>
  <cellStyles count="19">
    <cellStyle name="ChartingText" xfId="17" xr:uid="{00000000-0005-0000-0000-000013000000}"/>
    <cellStyle name="CHPTop" xfId="18" xr:uid="{00000000-0005-0000-0000-000014000000}"/>
    <cellStyle name="ColumnHeaderNormal" xfId="9" xr:uid="{00000000-0005-0000-0000-00000B000000}"/>
    <cellStyle name="Comma" xfId="1" builtinId="3"/>
    <cellStyle name="Currency" xfId="2" builtinId="4"/>
    <cellStyle name="Invisible" xfId="16" xr:uid="{00000000-0005-0000-0000-000012000000}"/>
    <cellStyle name="NewColumnHeaderNormal" xfId="7" xr:uid="{00000000-0005-0000-0000-000009000000}"/>
    <cellStyle name="NewSectionHeaderNormal" xfId="6" xr:uid="{00000000-0005-0000-0000-000008000000}"/>
    <cellStyle name="NewTitleNormal" xfId="5" xr:uid="{00000000-0005-0000-0000-000007000000}"/>
    <cellStyle name="Normal" xfId="0" builtinId="0"/>
    <cellStyle name="Percent" xfId="3" builtinId="5"/>
    <cellStyle name="SectionHeaderNormal" xfId="8" xr:uid="{00000000-0005-0000-0000-00000A000000}"/>
    <cellStyle name="SubScript" xfId="12" xr:uid="{00000000-0005-0000-0000-00000E000000}"/>
    <cellStyle name="SuperScript" xfId="11" xr:uid="{00000000-0005-0000-0000-00000D000000}"/>
    <cellStyle name="TextBold" xfId="13" xr:uid="{00000000-0005-0000-0000-00000F000000}"/>
    <cellStyle name="TextItalic" xfId="14" xr:uid="{00000000-0005-0000-0000-000010000000}"/>
    <cellStyle name="TextNormal" xfId="10" xr:uid="{00000000-0005-0000-0000-00000C000000}"/>
    <cellStyle name="TitleNormal" xfId="4" xr:uid="{00000000-0005-0000-0000-000006000000}"/>
    <cellStyle name="Total" xfId="15" xr:uid="{00000000-0005-0000-0000-000011000000}"/>
  </cellStyles>
  <dxfs count="4">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C1302E"/>
      <rgbColor rgb="00F1C671"/>
      <rgbColor rgb="008AC37F"/>
      <rgbColor rgb="00009933"/>
      <rgbColor rgb="00002060"/>
      <rgbColor rgb="00FA4040"/>
      <rgbColor rgb="00FFFFEB"/>
      <rgbColor rgb="00EEEEEE"/>
      <rgbColor rgb="00F0F0DC"/>
      <rgbColor rgb="00993366"/>
      <rgbColor rgb="00F5F5E1"/>
      <rgbColor rgb="0000408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6438F321-C9F5-4FC6-8FF1-5BD51ACCBD91}"/>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47</xdr:row>
      <xdr:rowOff>0</xdr:rowOff>
    </xdr:from>
    <xdr:to>
      <xdr:col>3</xdr:col>
      <xdr:colOff>764586</xdr:colOff>
      <xdr:row>49</xdr:row>
      <xdr:rowOff>122709</xdr:rowOff>
    </xdr:to>
    <xdr:pic>
      <xdr:nvPicPr>
        <xdr:cNvPr id="3" name="Picture 3">
          <a:extLst>
            <a:ext uri="{FF2B5EF4-FFF2-40B4-BE49-F238E27FC236}">
              <a16:creationId xmlns:a16="http://schemas.microsoft.com/office/drawing/2014/main" id="{8B5183B1-0E23-4637-BF01-2F91855E9820}"/>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51B8312B-1F81-4540-80AE-515CD5B386C6}"/>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59DF3C51-B71A-4C9A-83AE-80D337412FF2}"/>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028E9622-58CA-4D29-875C-7BC19A9A5CBF}"/>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8F893F00-460D-456A-A21A-1EE1C6F837C4}"/>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03BD7E6F-43BD-4D92-AFFA-2939065BB5AC}"/>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4</xdr:col>
      <xdr:colOff>146921</xdr:colOff>
      <xdr:row>45</xdr:row>
      <xdr:rowOff>122709</xdr:rowOff>
    </xdr:to>
    <xdr:pic>
      <xdr:nvPicPr>
        <xdr:cNvPr id="3" name="Picture 3">
          <a:extLst>
            <a:ext uri="{FF2B5EF4-FFF2-40B4-BE49-F238E27FC236}">
              <a16:creationId xmlns:a16="http://schemas.microsoft.com/office/drawing/2014/main" id="{8973F0F9-4B93-476B-BB8E-054603B7AC21}"/>
            </a:ext>
          </a:extLst>
        </xdr:cNvPr>
        <xdr:cNvPicPr>
          <a:picLocks noChangeAspect="1"/>
        </xdr:cNvPicPr>
      </xdr:nvPicPr>
      <xdr:blipFill>
        <a:blip xmlns:r="http://schemas.openxmlformats.org/officeDocument/2006/relationships" r:embed="rId2"/>
        <a:stretch>
          <a:fillRect/>
        </a:stretch>
      </xdr:blipFill>
      <xdr:spPr>
        <a:xfrm>
          <a:off x="6638925" y="6858000"/>
          <a:ext cx="762000" cy="6000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915D9143-44E7-4CD3-9121-97EAA525927F}"/>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68</xdr:row>
      <xdr:rowOff>0</xdr:rowOff>
    </xdr:from>
    <xdr:to>
      <xdr:col>3</xdr:col>
      <xdr:colOff>764363</xdr:colOff>
      <xdr:row>70</xdr:row>
      <xdr:rowOff>122709</xdr:rowOff>
    </xdr:to>
    <xdr:pic>
      <xdr:nvPicPr>
        <xdr:cNvPr id="3" name="Picture 3">
          <a:extLst>
            <a:ext uri="{FF2B5EF4-FFF2-40B4-BE49-F238E27FC236}">
              <a16:creationId xmlns:a16="http://schemas.microsoft.com/office/drawing/2014/main" id="{C79524C8-EE16-4EBF-9FAD-BA782B139635}"/>
            </a:ext>
          </a:extLst>
        </xdr:cNvPr>
        <xdr:cNvPicPr>
          <a:picLocks noChangeAspect="1"/>
        </xdr:cNvPicPr>
      </xdr:nvPicPr>
      <xdr:blipFill>
        <a:blip xmlns:r="http://schemas.openxmlformats.org/officeDocument/2006/relationships" r:embed="rId2"/>
        <a:stretch>
          <a:fillRect/>
        </a:stretch>
      </xdr:blipFill>
      <xdr:spPr>
        <a:xfrm>
          <a:off x="4505325" y="10953750"/>
          <a:ext cx="762000"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8D32F677-0DF4-4BD1-ACD0-BD904AF9CD7D}"/>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0</xdr:col>
      <xdr:colOff>8418</xdr:colOff>
      <xdr:row>14</xdr:row>
      <xdr:rowOff>0</xdr:rowOff>
    </xdr:from>
    <xdr:to>
      <xdr:col>3</xdr:col>
      <xdr:colOff>218266</xdr:colOff>
      <xdr:row>14</xdr:row>
      <xdr:rowOff>3807619</xdr:rowOff>
    </xdr:to>
    <xdr:pic>
      <xdr:nvPicPr>
        <xdr:cNvPr id="3" name="Picture 3">
          <a:extLst>
            <a:ext uri="{FF2B5EF4-FFF2-40B4-BE49-F238E27FC236}">
              <a16:creationId xmlns:a16="http://schemas.microsoft.com/office/drawing/2014/main" id="{3E014AF1-2B32-4D85-BD3D-E78E9EEDB8EF}"/>
            </a:ext>
          </a:extLst>
        </xdr:cNvPr>
        <xdr:cNvPicPr>
          <a:picLocks noChangeAspect="1"/>
        </xdr:cNvPicPr>
      </xdr:nvPicPr>
      <xdr:blipFill>
        <a:blip xmlns:r="http://schemas.openxmlformats.org/officeDocument/2006/relationships" r:embed="rId2"/>
        <a:stretch>
          <a:fillRect/>
        </a:stretch>
      </xdr:blipFill>
      <xdr:spPr>
        <a:xfrm>
          <a:off x="9525" y="2266950"/>
          <a:ext cx="7610475" cy="3810000"/>
        </a:xfrm>
        <a:prstGeom prst="rect">
          <a:avLst/>
        </a:prstGeom>
      </xdr:spPr>
    </xdr:pic>
    <xdr:clientData/>
  </xdr:twoCellAnchor>
  <xdr:twoCellAnchor>
    <xdr:from>
      <xdr:col>3</xdr:col>
      <xdr:colOff>0</xdr:colOff>
      <xdr:row>31</xdr:row>
      <xdr:rowOff>0</xdr:rowOff>
    </xdr:from>
    <xdr:to>
      <xdr:col>4</xdr:col>
      <xdr:colOff>146921</xdr:colOff>
      <xdr:row>33</xdr:row>
      <xdr:rowOff>122709</xdr:rowOff>
    </xdr:to>
    <xdr:pic>
      <xdr:nvPicPr>
        <xdr:cNvPr id="4" name="Picture 4">
          <a:extLst>
            <a:ext uri="{FF2B5EF4-FFF2-40B4-BE49-F238E27FC236}">
              <a16:creationId xmlns:a16="http://schemas.microsoft.com/office/drawing/2014/main" id="{E8B57B26-3836-451E-A979-AA87021FCCAA}"/>
            </a:ext>
          </a:extLst>
        </xdr:cNvPr>
        <xdr:cNvPicPr>
          <a:picLocks noChangeAspect="1"/>
        </xdr:cNvPicPr>
      </xdr:nvPicPr>
      <xdr:blipFill>
        <a:blip xmlns:r="http://schemas.openxmlformats.org/officeDocument/2006/relationships" r:embed="rId3"/>
        <a:stretch>
          <a:fillRect/>
        </a:stretch>
      </xdr:blipFill>
      <xdr:spPr>
        <a:xfrm>
          <a:off x="7400925" y="9934575"/>
          <a:ext cx="762000" cy="6000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E0127F1B-7BF7-4EB1-8DAD-A633EF98697E}"/>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44</xdr:row>
      <xdr:rowOff>0</xdr:rowOff>
    </xdr:from>
    <xdr:to>
      <xdr:col>4</xdr:col>
      <xdr:colOff>49625</xdr:colOff>
      <xdr:row>46</xdr:row>
      <xdr:rowOff>151172</xdr:rowOff>
    </xdr:to>
    <xdr:pic>
      <xdr:nvPicPr>
        <xdr:cNvPr id="3" name="Picture 3">
          <a:extLst>
            <a:ext uri="{FF2B5EF4-FFF2-40B4-BE49-F238E27FC236}">
              <a16:creationId xmlns:a16="http://schemas.microsoft.com/office/drawing/2014/main" id="{52EB3FBE-B91D-4475-8E77-AE495F0264DB}"/>
            </a:ext>
          </a:extLst>
        </xdr:cNvPr>
        <xdr:cNvPicPr>
          <a:picLocks noChangeAspect="1"/>
        </xdr:cNvPicPr>
      </xdr:nvPicPr>
      <xdr:blipFill>
        <a:blip xmlns:r="http://schemas.openxmlformats.org/officeDocument/2006/relationships" r:embed="rId2"/>
        <a:stretch>
          <a:fillRect/>
        </a:stretch>
      </xdr:blipFill>
      <xdr:spPr>
        <a:xfrm>
          <a:off x="5038725" y="7019925"/>
          <a:ext cx="971550" cy="628650"/>
        </a:xfrm>
        <a:prstGeom prst="rect">
          <a:avLst/>
        </a:prstGeom>
      </xdr:spPr>
    </xdr:pic>
    <xdr:clientData/>
  </xdr:twoCellAnchor>
  <xdr:twoCellAnchor>
    <xdr:from>
      <xdr:col>0</xdr:col>
      <xdr:colOff>0</xdr:colOff>
      <xdr:row>10</xdr:row>
      <xdr:rowOff>0</xdr:rowOff>
    </xdr:from>
    <xdr:to>
      <xdr:col>1</xdr:col>
      <xdr:colOff>761516</xdr:colOff>
      <xdr:row>11</xdr:row>
      <xdr:rowOff>71475</xdr:rowOff>
    </xdr:to>
    <xdr:pic>
      <xdr:nvPicPr>
        <xdr:cNvPr id="4" name="Picture 4">
          <a:extLst>
            <a:ext uri="{FF2B5EF4-FFF2-40B4-BE49-F238E27FC236}">
              <a16:creationId xmlns:a16="http://schemas.microsoft.com/office/drawing/2014/main" id="{34E82E2E-2A93-471F-909C-E172037E0285}"/>
            </a:ext>
          </a:extLst>
        </xdr:cNvPr>
        <xdr:cNvPicPr>
          <a:picLocks noChangeAspect="1"/>
        </xdr:cNvPicPr>
      </xdr:nvPicPr>
      <xdr:blipFill>
        <a:blip xmlns:r="http://schemas.openxmlformats.org/officeDocument/2006/relationships" r:embed="rId3"/>
        <a:stretch>
          <a:fillRect/>
        </a:stretch>
      </xdr:blipFill>
      <xdr:spPr>
        <a:xfrm>
          <a:off x="0" y="1619250"/>
          <a:ext cx="3952875" cy="2381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913507</xdr:colOff>
      <xdr:row>2</xdr:row>
      <xdr:rowOff>113854</xdr:rowOff>
    </xdr:to>
    <xdr:pic>
      <xdr:nvPicPr>
        <xdr:cNvPr id="2" name="Picture 2">
          <a:extLst>
            <a:ext uri="{FF2B5EF4-FFF2-40B4-BE49-F238E27FC236}">
              <a16:creationId xmlns:a16="http://schemas.microsoft.com/office/drawing/2014/main" id="{A87ED358-C578-444E-B15E-9717226F3CC7}"/>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DD7C4-4084-484C-9122-EDD9641F206A}">
  <sheetPr codeName="Sheet1"/>
  <dimension ref="B5:M44"/>
  <sheetViews>
    <sheetView showGridLines="0" tabSelected="1" topLeftCell="A4" zoomScale="63" zoomScaleNormal="70" workbookViewId="0">
      <selection activeCell="P44" sqref="P44"/>
    </sheetView>
  </sheetViews>
  <sheetFormatPr defaultRowHeight="15" x14ac:dyDescent="0.25"/>
  <cols>
    <col min="1" max="1" width="8.88671875" style="83"/>
    <col min="2" max="2" width="36.21875" style="83" bestFit="1" customWidth="1"/>
    <col min="3" max="3" width="28.6640625" style="83" customWidth="1"/>
    <col min="4" max="4" width="19" style="83" bestFit="1" customWidth="1"/>
    <col min="5" max="5" width="21.77734375" style="83" bestFit="1" customWidth="1"/>
    <col min="6" max="6" width="23.21875" style="83" bestFit="1" customWidth="1"/>
    <col min="7" max="7" width="20" style="83" bestFit="1" customWidth="1"/>
    <col min="8" max="8" width="24.21875" style="83" bestFit="1" customWidth="1"/>
    <col min="9" max="9" width="15.44140625" style="83" bestFit="1" customWidth="1"/>
    <col min="10" max="10" width="14.88671875" style="83" bestFit="1" customWidth="1"/>
    <col min="11" max="11" width="19.109375" style="83" bestFit="1" customWidth="1"/>
    <col min="12" max="12" width="35.77734375" style="83" bestFit="1" customWidth="1"/>
    <col min="13" max="13" width="29.33203125" style="83" bestFit="1" customWidth="1"/>
    <col min="14" max="14" width="19.6640625" style="83" bestFit="1" customWidth="1"/>
    <col min="15" max="15" width="8.88671875" style="83"/>
    <col min="16" max="16" width="28.5546875" style="83" bestFit="1" customWidth="1"/>
    <col min="17" max="19" width="11.44140625" style="83" bestFit="1" customWidth="1"/>
    <col min="20" max="16384" width="8.88671875" style="83"/>
  </cols>
  <sheetData>
    <row r="5" spans="2:13" ht="15.6" thickBot="1" x14ac:dyDescent="0.3"/>
    <row r="6" spans="2:13" ht="60" x14ac:dyDescent="0.25">
      <c r="B6" s="84" t="s">
        <v>8</v>
      </c>
      <c r="C6" s="85" t="s">
        <v>9</v>
      </c>
      <c r="D6" s="85" t="s">
        <v>10</v>
      </c>
      <c r="E6" s="85" t="s">
        <v>11</v>
      </c>
      <c r="F6" s="85" t="s">
        <v>12</v>
      </c>
      <c r="G6" s="85" t="s">
        <v>15</v>
      </c>
      <c r="H6" s="85" t="s">
        <v>22</v>
      </c>
      <c r="I6" s="85" t="s">
        <v>23</v>
      </c>
      <c r="J6" s="85" t="s">
        <v>24</v>
      </c>
      <c r="K6" s="85" t="s">
        <v>55</v>
      </c>
      <c r="L6" s="85" t="s">
        <v>56</v>
      </c>
      <c r="M6" s="86" t="s">
        <v>57</v>
      </c>
    </row>
    <row r="7" spans="2:13" x14ac:dyDescent="0.25">
      <c r="B7" s="87" t="s">
        <v>25</v>
      </c>
      <c r="C7" s="88">
        <v>25.16</v>
      </c>
      <c r="D7" s="89">
        <v>765.5</v>
      </c>
      <c r="E7" s="88">
        <v>19260.099999999999</v>
      </c>
      <c r="F7" s="88">
        <v>1926</v>
      </c>
      <c r="G7" s="88">
        <v>21197.1</v>
      </c>
      <c r="H7" s="88">
        <v>6001.37</v>
      </c>
      <c r="I7" s="88">
        <v>4243.17</v>
      </c>
      <c r="J7" s="88">
        <v>2.4</v>
      </c>
      <c r="K7" s="90">
        <v>3.53</v>
      </c>
      <c r="L7" s="90">
        <v>5</v>
      </c>
      <c r="M7" s="91">
        <v>10.5</v>
      </c>
    </row>
    <row r="8" spans="2:13" ht="30" x14ac:dyDescent="0.25">
      <c r="B8" s="87" t="s">
        <v>27</v>
      </c>
      <c r="C8" s="88">
        <v>23.48</v>
      </c>
      <c r="D8" s="89">
        <v>622.9</v>
      </c>
      <c r="E8" s="88">
        <v>14625.1</v>
      </c>
      <c r="F8" s="88">
        <v>5730</v>
      </c>
      <c r="G8" s="88">
        <v>20355.099999999999</v>
      </c>
      <c r="H8" s="88">
        <v>6935.74</v>
      </c>
      <c r="I8" s="88">
        <v>4601.8</v>
      </c>
      <c r="J8" s="88">
        <v>2.91</v>
      </c>
      <c r="K8" s="90">
        <v>2.93</v>
      </c>
      <c r="L8" s="90">
        <v>4.42</v>
      </c>
      <c r="M8" s="91">
        <v>8.06</v>
      </c>
    </row>
    <row r="9" spans="2:13" ht="30" x14ac:dyDescent="0.25">
      <c r="B9" s="87" t="s">
        <v>28</v>
      </c>
      <c r="C9" s="88">
        <v>35.659999999999997</v>
      </c>
      <c r="D9" s="89">
        <v>311</v>
      </c>
      <c r="E9" s="88">
        <v>11091.9</v>
      </c>
      <c r="F9" s="88">
        <v>5508</v>
      </c>
      <c r="G9" s="88">
        <v>17521.900000000001</v>
      </c>
      <c r="H9" s="88">
        <v>8341.33</v>
      </c>
      <c r="I9" s="88">
        <v>5408.5</v>
      </c>
      <c r="J9" s="88">
        <v>5.86</v>
      </c>
      <c r="K9" s="90">
        <v>2.1</v>
      </c>
      <c r="L9" s="90">
        <v>3.24</v>
      </c>
      <c r="M9" s="91">
        <v>6.08</v>
      </c>
    </row>
    <row r="10" spans="2:13" x14ac:dyDescent="0.25">
      <c r="B10" s="87" t="s">
        <v>29</v>
      </c>
      <c r="C10" s="88">
        <v>141.47999999999999</v>
      </c>
      <c r="D10" s="89">
        <v>305.7</v>
      </c>
      <c r="E10" s="88">
        <v>43255.9</v>
      </c>
      <c r="F10" s="88">
        <v>7120</v>
      </c>
      <c r="G10" s="88">
        <v>50963.9</v>
      </c>
      <c r="H10" s="88">
        <v>10942.76</v>
      </c>
      <c r="I10" s="88">
        <v>5650.9</v>
      </c>
      <c r="J10" s="88">
        <v>6.09</v>
      </c>
      <c r="K10" s="90">
        <v>4.66</v>
      </c>
      <c r="L10" s="90">
        <v>9.02</v>
      </c>
      <c r="M10" s="91">
        <v>23.24</v>
      </c>
    </row>
    <row r="11" spans="2:13" ht="30" x14ac:dyDescent="0.25">
      <c r="B11" s="87" t="s">
        <v>30</v>
      </c>
      <c r="C11" s="88">
        <v>25.05</v>
      </c>
      <c r="D11" s="89">
        <v>233</v>
      </c>
      <c r="E11" s="88">
        <v>5836.5</v>
      </c>
      <c r="F11" s="88">
        <v>1624.6</v>
      </c>
      <c r="G11" s="88">
        <v>7461</v>
      </c>
      <c r="H11" s="88">
        <v>2982.02</v>
      </c>
      <c r="I11" s="88">
        <v>1355.06</v>
      </c>
      <c r="J11" s="88">
        <v>2.66</v>
      </c>
      <c r="K11" s="90">
        <v>2.5</v>
      </c>
      <c r="L11" s="90">
        <v>5.51</v>
      </c>
      <c r="M11" s="91">
        <v>9.43</v>
      </c>
    </row>
    <row r="12" spans="2:13" ht="30" x14ac:dyDescent="0.25">
      <c r="B12" s="87" t="s">
        <v>31</v>
      </c>
      <c r="C12" s="88">
        <v>212.81</v>
      </c>
      <c r="D12" s="89">
        <v>233.7</v>
      </c>
      <c r="E12" s="88">
        <v>49741.3</v>
      </c>
      <c r="F12" s="88">
        <v>4987</v>
      </c>
      <c r="G12" s="88">
        <v>54728.3</v>
      </c>
      <c r="H12" s="88">
        <v>20406.25</v>
      </c>
      <c r="I12" s="88">
        <v>9959.99</v>
      </c>
      <c r="J12" s="88">
        <v>22.21</v>
      </c>
      <c r="K12" s="90">
        <v>2.68</v>
      </c>
      <c r="L12" s="90">
        <v>5.49</v>
      </c>
      <c r="M12" s="91">
        <v>9.58</v>
      </c>
    </row>
    <row r="13" spans="2:13" ht="30" x14ac:dyDescent="0.25">
      <c r="B13" s="87" t="s">
        <v>32</v>
      </c>
      <c r="C13" s="88">
        <v>52.25</v>
      </c>
      <c r="D13" s="89">
        <v>643.79999999999995</v>
      </c>
      <c r="E13" s="88">
        <v>33640.800000000003</v>
      </c>
      <c r="F13" s="88">
        <v>5404</v>
      </c>
      <c r="G13" s="88">
        <v>39173.800000000003</v>
      </c>
      <c r="H13" s="88">
        <v>16241.76</v>
      </c>
      <c r="I13" s="88">
        <v>8293.56</v>
      </c>
      <c r="J13" s="88">
        <v>6.58</v>
      </c>
      <c r="K13" s="90">
        <v>2.41</v>
      </c>
      <c r="L13" s="90">
        <v>4.72</v>
      </c>
      <c r="M13" s="91">
        <v>7.94</v>
      </c>
    </row>
    <row r="14" spans="2:13" x14ac:dyDescent="0.25">
      <c r="B14" s="87" t="s">
        <v>33</v>
      </c>
      <c r="C14" s="88">
        <v>33.54</v>
      </c>
      <c r="D14" s="89">
        <v>361.6</v>
      </c>
      <c r="E14" s="88">
        <v>12129.5</v>
      </c>
      <c r="F14" s="88">
        <v>4268.3</v>
      </c>
      <c r="G14" s="88">
        <v>16438.7</v>
      </c>
      <c r="H14" s="88">
        <v>6471.61</v>
      </c>
      <c r="I14" s="88">
        <v>3700.42</v>
      </c>
      <c r="J14" s="88">
        <v>2.63</v>
      </c>
      <c r="K14" s="90">
        <v>2.54</v>
      </c>
      <c r="L14" s="90">
        <v>4.4400000000000004</v>
      </c>
      <c r="M14" s="91">
        <v>12.78</v>
      </c>
    </row>
    <row r="15" spans="2:13" ht="30" x14ac:dyDescent="0.25">
      <c r="B15" s="87" t="s">
        <v>34</v>
      </c>
      <c r="C15" s="88">
        <v>5.03</v>
      </c>
      <c r="D15" s="89">
        <v>1101.0999999999999</v>
      </c>
      <c r="E15" s="88">
        <v>5538.7</v>
      </c>
      <c r="F15" s="88">
        <v>4103</v>
      </c>
      <c r="G15" s="88">
        <v>9641.7000000000007</v>
      </c>
      <c r="H15" s="88">
        <v>8712</v>
      </c>
      <c r="I15" s="88" t="s">
        <v>26</v>
      </c>
      <c r="J15" s="88">
        <v>0.83</v>
      </c>
      <c r="K15" s="90">
        <v>1.1100000000000001</v>
      </c>
      <c r="L15" s="90" t="s">
        <v>26</v>
      </c>
      <c r="M15" s="91">
        <v>6.07</v>
      </c>
    </row>
    <row r="16" spans="2:13" ht="30" x14ac:dyDescent="0.25">
      <c r="B16" s="87" t="s">
        <v>35</v>
      </c>
      <c r="C16" s="88">
        <v>21.83</v>
      </c>
      <c r="D16" s="89">
        <v>300.10000000000002</v>
      </c>
      <c r="E16" s="88">
        <v>6552</v>
      </c>
      <c r="F16" s="88">
        <v>4717.1000000000004</v>
      </c>
      <c r="G16" s="88">
        <v>11528.1</v>
      </c>
      <c r="H16" s="88">
        <v>5180.17</v>
      </c>
      <c r="I16" s="88">
        <v>1673.79</v>
      </c>
      <c r="J16" s="88">
        <v>1.97</v>
      </c>
      <c r="K16" s="90">
        <v>2.23</v>
      </c>
      <c r="L16" s="90">
        <v>6.89</v>
      </c>
      <c r="M16" s="91">
        <v>11.11</v>
      </c>
    </row>
    <row r="17" spans="2:13" ht="30.6" thickBot="1" x14ac:dyDescent="0.3">
      <c r="B17" s="92" t="s">
        <v>36</v>
      </c>
      <c r="C17" s="93">
        <v>138.06</v>
      </c>
      <c r="D17" s="94">
        <v>181.4</v>
      </c>
      <c r="E17" s="93">
        <v>25047.3</v>
      </c>
      <c r="F17" s="93">
        <v>6284</v>
      </c>
      <c r="G17" s="93">
        <v>32012.3</v>
      </c>
      <c r="H17" s="93">
        <v>8507.84</v>
      </c>
      <c r="I17" s="93">
        <v>6504.92</v>
      </c>
      <c r="J17" s="93">
        <v>20.02</v>
      </c>
      <c r="K17" s="95">
        <v>3.76</v>
      </c>
      <c r="L17" s="95">
        <v>4.92</v>
      </c>
      <c r="M17" s="96">
        <v>6.9</v>
      </c>
    </row>
    <row r="20" spans="2:13" ht="45" x14ac:dyDescent="0.25">
      <c r="C20" s="97" t="s">
        <v>198</v>
      </c>
      <c r="D20" s="98">
        <f>C37</f>
        <v>1.0418015155462035E-2</v>
      </c>
    </row>
    <row r="21" spans="2:13" ht="15.6" thickBot="1" x14ac:dyDescent="0.3"/>
    <row r="22" spans="2:13" ht="15.6" thickBot="1" x14ac:dyDescent="0.3">
      <c r="G22" s="99" t="s">
        <v>184</v>
      </c>
      <c r="H22" s="100">
        <f>BENCHMARKING!D19</f>
        <v>0.52916666666666667</v>
      </c>
    </row>
    <row r="23" spans="2:13" ht="15.6" thickBot="1" x14ac:dyDescent="0.3">
      <c r="G23" s="83" t="s">
        <v>183</v>
      </c>
    </row>
    <row r="24" spans="2:13" x14ac:dyDescent="0.25">
      <c r="G24" s="101">
        <v>0</v>
      </c>
      <c r="H24" s="102">
        <f>PERCENTILE(K7:K16,G24)</f>
        <v>1.1100000000000001</v>
      </c>
      <c r="I24" s="102">
        <f>PERCENTILE(L7:L16,G24)</f>
        <v>3.24</v>
      </c>
      <c r="J24" s="103">
        <f>PERCENTILE(M7:M16,G24)</f>
        <v>6.07</v>
      </c>
    </row>
    <row r="25" spans="2:13" ht="15.6" thickBot="1" x14ac:dyDescent="0.3">
      <c r="G25" s="104">
        <v>0.05</v>
      </c>
      <c r="H25" s="105">
        <f>PERCENTILE(K7:K16,G25)</f>
        <v>1.5555000000000001</v>
      </c>
      <c r="I25" s="105">
        <f>PERCENTILE(L7:L16,G25)</f>
        <v>3.7120000000000002</v>
      </c>
      <c r="J25" s="106">
        <f>PERCENTILE(M7:M16,G25)</f>
        <v>6.0745000000000005</v>
      </c>
    </row>
    <row r="26" spans="2:13" x14ac:dyDescent="0.25">
      <c r="B26" s="107"/>
      <c r="C26" s="108" t="s">
        <v>185</v>
      </c>
      <c r="D26" s="108" t="s">
        <v>186</v>
      </c>
      <c r="E26" s="109" t="s">
        <v>187</v>
      </c>
      <c r="G26" s="104">
        <v>0.1</v>
      </c>
      <c r="H26" s="105">
        <f>PERCENTILE(K7:K16,G26)</f>
        <v>2.0009999999999999</v>
      </c>
      <c r="I26" s="105">
        <f>PERCENTILE(L7:L16,G26)</f>
        <v>4.1840000000000002</v>
      </c>
      <c r="J26" s="106">
        <f>PERCENTILE(M7:M16,G26)</f>
        <v>6.0789999999999997</v>
      </c>
    </row>
    <row r="27" spans="2:13" x14ac:dyDescent="0.25">
      <c r="B27" s="110" t="s">
        <v>188</v>
      </c>
      <c r="C27" s="111">
        <v>0.33333333333333331</v>
      </c>
      <c r="D27" s="111">
        <v>0.33333333333333331</v>
      </c>
      <c r="E27" s="112">
        <v>0.33333333333333331</v>
      </c>
      <c r="G27" s="104">
        <v>0.15</v>
      </c>
      <c r="H27" s="105">
        <f>PERCENTILE(K7:K16,G27)</f>
        <v>2.1455000000000002</v>
      </c>
      <c r="I27" s="105">
        <f>PERCENTILE(L7:L16,G27)</f>
        <v>4.4240000000000004</v>
      </c>
      <c r="J27" s="106">
        <f>PERCENTILE(M7:M16,G27)</f>
        <v>6.7309999999999999</v>
      </c>
    </row>
    <row r="28" spans="2:13" x14ac:dyDescent="0.25">
      <c r="B28" s="110" t="s">
        <v>189</v>
      </c>
      <c r="C28" s="113">
        <f>INDEX(H24:H44,MATCH($H$22,$G$24:$G$44))</f>
        <v>2.52</v>
      </c>
      <c r="D28" s="113">
        <f>INDEX(I24:I44,MATCH($H$22,$G$24:$G$44))</f>
        <v>5</v>
      </c>
      <c r="E28" s="114">
        <f>INDEX(J24:J44,MATCH($H$22,$G$24:$G$44))</f>
        <v>9.504999999999999</v>
      </c>
      <c r="G28" s="104">
        <v>0.2</v>
      </c>
      <c r="H28" s="105">
        <f>PERCENTILE(K7:K16,G28)</f>
        <v>2.2040000000000002</v>
      </c>
      <c r="I28" s="105">
        <f>PERCENTILE(L7:L16,G28)</f>
        <v>4.4320000000000004</v>
      </c>
      <c r="J28" s="106">
        <f>PERCENTILE(M7:M16,G28)</f>
        <v>7.5679999999999996</v>
      </c>
    </row>
    <row r="29" spans="2:13" x14ac:dyDescent="0.25">
      <c r="B29" s="110" t="s">
        <v>190</v>
      </c>
      <c r="C29" s="115">
        <v>8507.84</v>
      </c>
      <c r="D29" s="115">
        <v>6504.92</v>
      </c>
      <c r="E29" s="116">
        <v>20.02</v>
      </c>
      <c r="G29" s="104">
        <v>0.25</v>
      </c>
      <c r="H29" s="105">
        <f>PERCENTILE(K7:K16,G29)</f>
        <v>2.2749999999999999</v>
      </c>
      <c r="I29" s="105">
        <f>PERCENTILE(L7:L16,G29)</f>
        <v>4.4400000000000004</v>
      </c>
      <c r="J29" s="106">
        <f>PERCENTILE(M7:M16,G29)</f>
        <v>7.9700000000000006</v>
      </c>
    </row>
    <row r="30" spans="2:13" x14ac:dyDescent="0.25">
      <c r="B30" s="110" t="s">
        <v>191</v>
      </c>
      <c r="C30" s="115">
        <f>C29*C28</f>
        <v>21439.756799999999</v>
      </c>
      <c r="D30" s="115">
        <f>D29*D28</f>
        <v>32524.6</v>
      </c>
      <c r="E30" s="116">
        <f>E32+E31</f>
        <v>40802.624139999993</v>
      </c>
      <c r="G30" s="104">
        <v>0.3</v>
      </c>
      <c r="H30" s="105">
        <f>PERCENTILE(K7:K16,G30)</f>
        <v>2.3559999999999999</v>
      </c>
      <c r="I30" s="105">
        <f>PERCENTILE(L7:L16,G30)</f>
        <v>4.5520000000000005</v>
      </c>
      <c r="J30" s="106">
        <f>PERCENTILE(M7:M16,G30)</f>
        <v>8.0240000000000009</v>
      </c>
    </row>
    <row r="31" spans="2:13" x14ac:dyDescent="0.25">
      <c r="B31" s="110" t="s">
        <v>192</v>
      </c>
      <c r="C31" s="115">
        <v>6284</v>
      </c>
      <c r="D31" s="115">
        <v>6284</v>
      </c>
      <c r="E31" s="116">
        <v>6284</v>
      </c>
      <c r="G31" s="104">
        <v>0.35</v>
      </c>
      <c r="H31" s="105">
        <f>PERCENTILE(K7:K16,G31)</f>
        <v>2.4235000000000002</v>
      </c>
      <c r="I31" s="105">
        <f>PERCENTILE(L7:L16,G31)</f>
        <v>4.6639999999999997</v>
      </c>
      <c r="J31" s="106">
        <f>PERCENTILE(M7:M16,G31)</f>
        <v>8.2655000000000012</v>
      </c>
    </row>
    <row r="32" spans="2:13" x14ac:dyDescent="0.25">
      <c r="B32" s="110" t="s">
        <v>124</v>
      </c>
      <c r="C32" s="115">
        <f>C30-C31</f>
        <v>15155.756799999999</v>
      </c>
      <c r="D32" s="115">
        <f>D30-D31</f>
        <v>26240.6</v>
      </c>
      <c r="E32" s="116">
        <f>E33*E34</f>
        <v>34518.624139999993</v>
      </c>
      <c r="G32" s="104">
        <v>0.4</v>
      </c>
      <c r="H32" s="105">
        <f>PERCENTILE(K7:K16,G32)</f>
        <v>2.464</v>
      </c>
      <c r="I32" s="105">
        <f>PERCENTILE(L7:L16,G32)</f>
        <v>4.7759999999999998</v>
      </c>
      <c r="J32" s="106">
        <f>PERCENTILE(M7:M16,G32)</f>
        <v>8.8819999999999997</v>
      </c>
    </row>
    <row r="33" spans="2:10" x14ac:dyDescent="0.25">
      <c r="B33" s="110" t="s">
        <v>193</v>
      </c>
      <c r="C33" s="117">
        <v>181.4</v>
      </c>
      <c r="D33" s="117">
        <v>181.4</v>
      </c>
      <c r="E33" s="118">
        <v>181.4</v>
      </c>
      <c r="G33" s="104">
        <v>0.45</v>
      </c>
      <c r="H33" s="105">
        <f>PERCENTILE(K7:K16,G33)</f>
        <v>2.5019999999999998</v>
      </c>
      <c r="I33" s="105">
        <f>PERCENTILE(L7:L16,G33)</f>
        <v>4.8879999999999999</v>
      </c>
      <c r="J33" s="106">
        <f>PERCENTILE(M7:M16,G33)</f>
        <v>9.4375</v>
      </c>
    </row>
    <row r="34" spans="2:10" ht="15.6" thickBot="1" x14ac:dyDescent="0.3">
      <c r="B34" s="119" t="s">
        <v>194</v>
      </c>
      <c r="C34" s="120">
        <f>C32/C33</f>
        <v>83.54882469680264</v>
      </c>
      <c r="D34" s="121">
        <f>D32/D33</f>
        <v>144.65600882028664</v>
      </c>
      <c r="E34" s="122">
        <f>E28*E29</f>
        <v>190.29009999999997</v>
      </c>
      <c r="G34" s="104">
        <v>0.5</v>
      </c>
      <c r="H34" s="105">
        <f>PERCENTILE(K7:K16,G34)</f>
        <v>2.52</v>
      </c>
      <c r="I34" s="105">
        <f>PERCENTILE(L7:L16,G34)</f>
        <v>5</v>
      </c>
      <c r="J34" s="106">
        <f>PERCENTILE(M7:M16,G34)</f>
        <v>9.504999999999999</v>
      </c>
    </row>
    <row r="35" spans="2:10" x14ac:dyDescent="0.25">
      <c r="B35" s="107" t="s">
        <v>195</v>
      </c>
      <c r="C35" s="123">
        <f>SUMPRODUCT(C34:E34,C27:E27)</f>
        <v>139.49831117236309</v>
      </c>
      <c r="D35" s="124"/>
      <c r="E35" s="124"/>
      <c r="G35" s="104">
        <v>0.55000000000000004</v>
      </c>
      <c r="H35" s="105">
        <f>PERCENTILE(K7:K16,G35)</f>
        <v>2.5380000000000003</v>
      </c>
      <c r="I35" s="105">
        <f>PERCENTILE(L7:L16,G35)</f>
        <v>5.1960000000000006</v>
      </c>
      <c r="J35" s="106">
        <f>PERCENTILE(M7:M16,G35)</f>
        <v>9.5724999999999998</v>
      </c>
    </row>
    <row r="36" spans="2:10" x14ac:dyDescent="0.25">
      <c r="B36" s="110" t="s">
        <v>196</v>
      </c>
      <c r="C36" s="116">
        <v>138.06</v>
      </c>
      <c r="D36" s="124"/>
      <c r="E36" s="124"/>
      <c r="G36" s="104">
        <v>0.6</v>
      </c>
      <c r="H36" s="105">
        <f>PERCENTILE(K7:K16,G36)</f>
        <v>2.5960000000000001</v>
      </c>
      <c r="I36" s="105">
        <f>PERCENTILE(L7:L16,G36)</f>
        <v>5.3920000000000003</v>
      </c>
      <c r="J36" s="106">
        <f>PERCENTILE(M7:M16,G36)</f>
        <v>9.9480000000000004</v>
      </c>
    </row>
    <row r="37" spans="2:10" ht="15.6" thickBot="1" x14ac:dyDescent="0.3">
      <c r="B37" s="125" t="s">
        <v>197</v>
      </c>
      <c r="C37" s="126">
        <f>C35/C36-1</f>
        <v>1.0418015155462035E-2</v>
      </c>
      <c r="D37" s="124"/>
      <c r="E37" s="124"/>
      <c r="G37" s="104">
        <v>0.65</v>
      </c>
      <c r="H37" s="105">
        <f>PERCENTILE(K7:K16,G37)</f>
        <v>2.6590000000000003</v>
      </c>
      <c r="I37" s="105">
        <f>PERCENTILE(L7:L16,G37)</f>
        <v>5.4939999999999998</v>
      </c>
      <c r="J37" s="106">
        <f>PERCENTILE(M7:M16,G37)</f>
        <v>10.362</v>
      </c>
    </row>
    <row r="38" spans="2:10" x14ac:dyDescent="0.25">
      <c r="G38" s="104">
        <v>0.7</v>
      </c>
      <c r="H38" s="105">
        <f>PERCENTILE(K7:K16,G38)</f>
        <v>2.7549999999999999</v>
      </c>
      <c r="I38" s="105">
        <f>PERCENTILE(L7:L16,G38)</f>
        <v>5.5019999999999998</v>
      </c>
      <c r="J38" s="106">
        <f>PERCENTILE(M7:M16,G38)</f>
        <v>10.683</v>
      </c>
    </row>
    <row r="39" spans="2:10" x14ac:dyDescent="0.25">
      <c r="G39" s="104">
        <v>0.75</v>
      </c>
      <c r="H39" s="105">
        <f>PERCENTILE(K7:K16,G39)</f>
        <v>2.8675000000000002</v>
      </c>
      <c r="I39" s="105">
        <f>PERCENTILE(L7:L16,G39)</f>
        <v>5.51</v>
      </c>
      <c r="J39" s="106">
        <f>PERCENTILE(M7:M16,G39)</f>
        <v>10.9575</v>
      </c>
    </row>
    <row r="40" spans="2:10" x14ac:dyDescent="0.25">
      <c r="G40" s="104">
        <v>0.8</v>
      </c>
      <c r="H40" s="105">
        <f>PERCENTILE(K7:K16,G40)</f>
        <v>3.05</v>
      </c>
      <c r="I40" s="105">
        <f>PERCENTILE(L7:L16,G40)</f>
        <v>6.0620000000000003</v>
      </c>
      <c r="J40" s="106">
        <f>PERCENTILE(M7:M16,G40)</f>
        <v>11.443999999999999</v>
      </c>
    </row>
    <row r="41" spans="2:10" x14ac:dyDescent="0.25">
      <c r="G41" s="104">
        <v>0.85</v>
      </c>
      <c r="H41" s="105">
        <f>PERCENTILE(K7:K16,G41)</f>
        <v>3.319999999999999</v>
      </c>
      <c r="I41" s="105">
        <f>PERCENTILE(L7:L16,G41)</f>
        <v>6.613999999999999</v>
      </c>
      <c r="J41" s="106">
        <f>PERCENTILE(M7:M16,G41)</f>
        <v>12.195499999999997</v>
      </c>
    </row>
    <row r="42" spans="2:10" x14ac:dyDescent="0.25">
      <c r="G42" s="104">
        <v>0.9</v>
      </c>
      <c r="H42" s="105">
        <f>PERCENTILE(K7:K16,G42)</f>
        <v>3.6429999999999993</v>
      </c>
      <c r="I42" s="105">
        <f>PERCENTILE(L7:L16,G42)</f>
        <v>7.3159999999999981</v>
      </c>
      <c r="J42" s="106">
        <f>PERCENTILE(M7:M16,G42)</f>
        <v>13.825999999999995</v>
      </c>
    </row>
    <row r="43" spans="2:10" x14ac:dyDescent="0.25">
      <c r="G43" s="104">
        <v>0.95</v>
      </c>
      <c r="H43" s="105">
        <f>PERCENTILE(K7:K16,G43)</f>
        <v>4.1514999999999986</v>
      </c>
      <c r="I43" s="105">
        <f>PERCENTILE(L7:L16,G43)</f>
        <v>8.1679999999999993</v>
      </c>
      <c r="J43" s="106">
        <f>PERCENTILE(M7:M16,G43)</f>
        <v>18.532999999999987</v>
      </c>
    </row>
    <row r="44" spans="2:10" ht="15.6" thickBot="1" x14ac:dyDescent="0.3">
      <c r="G44" s="127">
        <v>1</v>
      </c>
      <c r="H44" s="128">
        <f>PERCENTILE(K7:K16,G44)</f>
        <v>4.66</v>
      </c>
      <c r="I44" s="128">
        <f>PERCENTILE(L7:L16,G44)</f>
        <v>9.02</v>
      </c>
      <c r="J44" s="129">
        <f>PERCENTILE(M7:M16,G44)</f>
        <v>23.24</v>
      </c>
    </row>
  </sheetData>
  <conditionalFormatting sqref="C37">
    <cfRule type="cellIs" dxfId="3" priority="1" operator="lessThan">
      <formula>0</formula>
    </cfRule>
    <cfRule type="cellIs" dxfId="2" priority="2" operator="greaterThan">
      <formula>0</formula>
    </cfRule>
    <cfRule type="cellIs" dxfId="1" priority="3" operator="lessThan">
      <formula>0</formula>
    </cfRule>
    <cfRule type="cellIs" dxfId="0" priority="4" operator="greater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CBAD9D-325D-4B22-9463-658C9ECF3FD9}">
  <sheetPr codeName="Sheet2"/>
  <dimension ref="C5:O42"/>
  <sheetViews>
    <sheetView showGridLines="0" topLeftCell="A4" zoomScale="51" zoomScaleNormal="70" workbookViewId="0">
      <selection activeCell="T15" sqref="T15"/>
    </sheetView>
  </sheetViews>
  <sheetFormatPr defaultRowHeight="13.8" x14ac:dyDescent="0.25"/>
  <cols>
    <col min="1" max="2" width="8.88671875" style="43"/>
    <col min="3" max="3" width="18.5546875" style="43" bestFit="1" customWidth="1"/>
    <col min="4" max="6" width="8.21875" style="43" bestFit="1" customWidth="1"/>
    <col min="7" max="7" width="9.33203125" style="43" bestFit="1" customWidth="1"/>
    <col min="8" max="9" width="10.44140625" style="43" bestFit="1" customWidth="1"/>
    <col min="10" max="10" width="12.21875" style="43" bestFit="1" customWidth="1"/>
    <col min="11" max="11" width="10.44140625" style="43" bestFit="1" customWidth="1"/>
    <col min="12" max="12" width="9.33203125" style="43" bestFit="1" customWidth="1"/>
    <col min="13" max="13" width="9" style="43" bestFit="1" customWidth="1"/>
    <col min="14" max="14" width="10.5546875" style="43" bestFit="1" customWidth="1"/>
    <col min="15" max="15" width="7.44140625" style="43" bestFit="1" customWidth="1"/>
    <col min="16" max="16384" width="8.88671875" style="43"/>
  </cols>
  <sheetData>
    <row r="5" spans="3:15" ht="14.4" thickBot="1" x14ac:dyDescent="0.3"/>
    <row r="6" spans="3:15" ht="83.4" thickBot="1" x14ac:dyDescent="0.3">
      <c r="C6" s="44" t="s">
        <v>8</v>
      </c>
      <c r="D6" s="45" t="s">
        <v>62</v>
      </c>
      <c r="E6" s="45" t="s">
        <v>63</v>
      </c>
      <c r="F6" s="45" t="s">
        <v>64</v>
      </c>
      <c r="G6" s="45" t="s">
        <v>65</v>
      </c>
      <c r="H6" s="45" t="s">
        <v>66</v>
      </c>
      <c r="I6" s="45" t="s">
        <v>67</v>
      </c>
      <c r="J6" s="45" t="s">
        <v>68</v>
      </c>
      <c r="K6" s="45" t="s">
        <v>69</v>
      </c>
      <c r="L6" s="45" t="s">
        <v>70</v>
      </c>
      <c r="M6" s="45" t="s">
        <v>71</v>
      </c>
      <c r="N6" s="45" t="s">
        <v>72</v>
      </c>
      <c r="O6" s="46" t="s">
        <v>73</v>
      </c>
    </row>
    <row r="7" spans="3:15" ht="41.4" x14ac:dyDescent="0.25">
      <c r="C7" s="47" t="s">
        <v>25</v>
      </c>
      <c r="D7" s="48">
        <v>0.84399999999999997</v>
      </c>
      <c r="E7" s="49">
        <v>0.76400000000000001</v>
      </c>
      <c r="F7" s="49">
        <v>0.58299999999999996</v>
      </c>
      <c r="G7" s="50">
        <v>0.4491</v>
      </c>
      <c r="H7" s="50">
        <v>1.6242000000000001</v>
      </c>
      <c r="I7" s="50">
        <v>1.9235</v>
      </c>
      <c r="J7" s="50">
        <v>2.1573000000000002</v>
      </c>
      <c r="K7" s="50">
        <v>2.5104000000000002</v>
      </c>
      <c r="L7" s="50">
        <v>0.17019999999999999</v>
      </c>
      <c r="M7" s="51">
        <v>0.4</v>
      </c>
      <c r="N7" s="50">
        <v>0.5504</v>
      </c>
      <c r="O7" s="52">
        <v>0.23</v>
      </c>
    </row>
    <row r="8" spans="3:15" ht="41.4" x14ac:dyDescent="0.25">
      <c r="C8" s="47" t="s">
        <v>27</v>
      </c>
      <c r="D8" s="53">
        <v>0.81200000000000006</v>
      </c>
      <c r="E8" s="54">
        <v>0.68899999999999995</v>
      </c>
      <c r="F8" s="54">
        <v>0.44900000000000001</v>
      </c>
      <c r="G8" s="55">
        <v>0.4768</v>
      </c>
      <c r="H8" s="55">
        <v>0.3488</v>
      </c>
      <c r="I8" s="55">
        <v>0.5766</v>
      </c>
      <c r="J8" s="55">
        <v>1.9531000000000001</v>
      </c>
      <c r="K8" s="55">
        <v>2.8182</v>
      </c>
      <c r="L8" s="55">
        <v>0.34760000000000002</v>
      </c>
      <c r="M8" s="56">
        <v>1.1000000000000001</v>
      </c>
      <c r="N8" s="55">
        <v>0.04</v>
      </c>
      <c r="O8" s="57">
        <v>2.4</v>
      </c>
    </row>
    <row r="9" spans="3:15" ht="55.2" x14ac:dyDescent="0.25">
      <c r="C9" s="47" t="s">
        <v>28</v>
      </c>
      <c r="D9" s="53">
        <v>0.69699999999999995</v>
      </c>
      <c r="E9" s="54">
        <v>0.59599999999999997</v>
      </c>
      <c r="F9" s="54">
        <v>0.47099999999999997</v>
      </c>
      <c r="G9" s="55">
        <v>0.3352</v>
      </c>
      <c r="H9" s="55">
        <v>0.36570000000000003</v>
      </c>
      <c r="I9" s="55">
        <v>0.48909999999999998</v>
      </c>
      <c r="J9" s="55">
        <v>0.78920000000000001</v>
      </c>
      <c r="K9" s="55">
        <v>2.7759999999999998</v>
      </c>
      <c r="L9" s="55">
        <v>0.8105</v>
      </c>
      <c r="M9" s="56">
        <v>0.9</v>
      </c>
      <c r="N9" s="55">
        <v>-0.03</v>
      </c>
      <c r="O9" s="57">
        <v>3.53</v>
      </c>
    </row>
    <row r="10" spans="3:15" ht="41.4" x14ac:dyDescent="0.25">
      <c r="C10" s="47" t="s">
        <v>29</v>
      </c>
      <c r="D10" s="53">
        <v>0.71299999999999997</v>
      </c>
      <c r="E10" s="54">
        <v>0.50700000000000001</v>
      </c>
      <c r="F10" s="54">
        <v>0.34100000000000003</v>
      </c>
      <c r="G10" s="55">
        <v>0.17879999999999999</v>
      </c>
      <c r="H10" s="55">
        <v>0.47260000000000002</v>
      </c>
      <c r="I10" s="55">
        <v>0.5696</v>
      </c>
      <c r="J10" s="55">
        <v>0.78390000000000004</v>
      </c>
      <c r="K10" s="55">
        <v>1.7969999999999999</v>
      </c>
      <c r="L10" s="55">
        <v>0.51390000000000002</v>
      </c>
      <c r="M10" s="56">
        <v>1.5</v>
      </c>
      <c r="N10" s="55">
        <v>7.0000000000000007E-2</v>
      </c>
      <c r="O10" s="57">
        <v>1.58</v>
      </c>
    </row>
    <row r="11" spans="3:15" ht="55.2" x14ac:dyDescent="0.25">
      <c r="C11" s="47" t="s">
        <v>30</v>
      </c>
      <c r="D11" s="53">
        <v>0.72899999999999998</v>
      </c>
      <c r="E11" s="54">
        <v>0.504</v>
      </c>
      <c r="F11" s="54">
        <v>0.443</v>
      </c>
      <c r="G11" s="55">
        <v>0.33400000000000002</v>
      </c>
      <c r="H11" s="55">
        <v>1.0699000000000001</v>
      </c>
      <c r="I11" s="55">
        <v>6.4633000000000003</v>
      </c>
      <c r="J11" s="55">
        <v>44.853099999999998</v>
      </c>
      <c r="K11" s="58" t="s">
        <v>26</v>
      </c>
      <c r="L11" s="55">
        <v>0.35909999999999997</v>
      </c>
      <c r="M11" s="56">
        <v>0.6</v>
      </c>
      <c r="N11" s="58" t="s">
        <v>26</v>
      </c>
      <c r="O11" s="57">
        <v>2.14</v>
      </c>
    </row>
    <row r="12" spans="3:15" ht="55.2" x14ac:dyDescent="0.25">
      <c r="C12" s="47" t="s">
        <v>31</v>
      </c>
      <c r="D12" s="53">
        <v>0.54100000000000004</v>
      </c>
      <c r="E12" s="54">
        <v>0.51</v>
      </c>
      <c r="F12" s="54">
        <v>0.39600000000000002</v>
      </c>
      <c r="G12" s="55">
        <v>0.30909999999999999</v>
      </c>
      <c r="H12" s="55">
        <v>8.9800000000000005E-2</v>
      </c>
      <c r="I12" s="55">
        <v>0.26690000000000003</v>
      </c>
      <c r="J12" s="55">
        <v>0.38329999999999997</v>
      </c>
      <c r="K12" s="55">
        <v>0.68169999999999997</v>
      </c>
      <c r="L12" s="55">
        <v>0.2238</v>
      </c>
      <c r="M12" s="56">
        <v>0.5</v>
      </c>
      <c r="N12" s="55">
        <v>6.7000000000000002E-3</v>
      </c>
      <c r="O12" s="57">
        <v>1.45</v>
      </c>
    </row>
    <row r="13" spans="3:15" ht="41.4" x14ac:dyDescent="0.25">
      <c r="C13" s="47" t="s">
        <v>32</v>
      </c>
      <c r="D13" s="53">
        <v>0.6</v>
      </c>
      <c r="E13" s="54">
        <v>0.54500000000000004</v>
      </c>
      <c r="F13" s="54">
        <v>0.42499999999999999</v>
      </c>
      <c r="G13" s="55">
        <v>0.31869999999999998</v>
      </c>
      <c r="H13" s="55">
        <v>0.43880000000000002</v>
      </c>
      <c r="I13" s="55">
        <v>0.86670000000000003</v>
      </c>
      <c r="J13" s="55">
        <v>1.4177999999999999</v>
      </c>
      <c r="K13" s="55">
        <v>1.1383000000000001</v>
      </c>
      <c r="L13" s="55">
        <v>0.37290000000000001</v>
      </c>
      <c r="M13" s="56">
        <v>0.7</v>
      </c>
      <c r="N13" s="55">
        <v>0.05</v>
      </c>
      <c r="O13" s="57">
        <v>2.36</v>
      </c>
    </row>
    <row r="14" spans="3:15" ht="41.4" x14ac:dyDescent="0.25">
      <c r="C14" s="47" t="s">
        <v>33</v>
      </c>
      <c r="D14" s="53">
        <v>0.80200000000000005</v>
      </c>
      <c r="E14" s="54">
        <v>0.71699999999999997</v>
      </c>
      <c r="F14" s="54">
        <v>0.56799999999999995</v>
      </c>
      <c r="G14" s="55">
        <v>0.39750000000000002</v>
      </c>
      <c r="H14" s="55">
        <v>0.40100000000000002</v>
      </c>
      <c r="I14" s="58" t="s">
        <v>26</v>
      </c>
      <c r="J14" s="58" t="s">
        <v>26</v>
      </c>
      <c r="K14" s="58" t="s">
        <v>26</v>
      </c>
      <c r="L14" s="55">
        <v>0.33810000000000001</v>
      </c>
      <c r="M14" s="56">
        <v>0.7</v>
      </c>
      <c r="N14" s="55">
        <v>0.11</v>
      </c>
      <c r="O14" s="57">
        <v>1.1499999999999999</v>
      </c>
    </row>
    <row r="15" spans="3:15" ht="55.2" x14ac:dyDescent="0.25">
      <c r="C15" s="47" t="s">
        <v>34</v>
      </c>
      <c r="D15" s="53">
        <v>0.58699999999999997</v>
      </c>
      <c r="E15" s="54">
        <v>0.56000000000000005</v>
      </c>
      <c r="F15" s="54">
        <v>0.47499999999999998</v>
      </c>
      <c r="G15" s="55">
        <v>0.45590000000000003</v>
      </c>
      <c r="H15" s="55">
        <v>0.66049999999999998</v>
      </c>
      <c r="I15" s="58" t="s">
        <v>26</v>
      </c>
      <c r="J15" s="58" t="s">
        <v>26</v>
      </c>
      <c r="K15" s="58" t="s">
        <v>26</v>
      </c>
      <c r="L15" s="55">
        <v>0.39629999999999999</v>
      </c>
      <c r="M15" s="56">
        <v>0.5</v>
      </c>
      <c r="N15" s="55">
        <v>-0.1474</v>
      </c>
      <c r="O15" s="57">
        <v>1.31</v>
      </c>
    </row>
    <row r="16" spans="3:15" ht="55.2" x14ac:dyDescent="0.25">
      <c r="C16" s="47" t="s">
        <v>35</v>
      </c>
      <c r="D16" s="53">
        <v>0.747</v>
      </c>
      <c r="E16" s="54">
        <v>0.48599999999999999</v>
      </c>
      <c r="F16" s="54">
        <v>0.38600000000000001</v>
      </c>
      <c r="G16" s="55">
        <v>0.27660000000000001</v>
      </c>
      <c r="H16" s="55">
        <v>0.18379999999999999</v>
      </c>
      <c r="I16" s="55">
        <v>6.5366999999999997</v>
      </c>
      <c r="J16" s="58" t="s">
        <v>26</v>
      </c>
      <c r="K16" s="58" t="s">
        <v>26</v>
      </c>
      <c r="L16" s="55">
        <v>0.39679999999999999</v>
      </c>
      <c r="M16" s="56">
        <v>0.8</v>
      </c>
      <c r="N16" s="58" t="s">
        <v>26</v>
      </c>
      <c r="O16" s="57">
        <v>3.48</v>
      </c>
    </row>
    <row r="17" spans="3:15" ht="55.8" thickBot="1" x14ac:dyDescent="0.3">
      <c r="C17" s="59" t="s">
        <v>36</v>
      </c>
      <c r="D17" s="60">
        <v>0.9</v>
      </c>
      <c r="E17" s="61">
        <v>0.80800000000000005</v>
      </c>
      <c r="F17" s="61">
        <v>0.66</v>
      </c>
      <c r="G17" s="62">
        <v>0.4829</v>
      </c>
      <c r="H17" s="62">
        <v>0.41970000000000002</v>
      </c>
      <c r="I17" s="62">
        <v>0.67689999999999995</v>
      </c>
      <c r="J17" s="62">
        <v>0.93289999999999995</v>
      </c>
      <c r="K17" s="62">
        <v>1.0101</v>
      </c>
      <c r="L17" s="62">
        <v>0.29099999999999998</v>
      </c>
      <c r="M17" s="63">
        <v>0.9</v>
      </c>
      <c r="N17" s="62">
        <v>-4.4999999999999998E-2</v>
      </c>
      <c r="O17" s="64">
        <v>2.0299999999999998</v>
      </c>
    </row>
    <row r="18" spans="3:15" ht="14.4" thickBot="1" x14ac:dyDescent="0.3"/>
    <row r="19" spans="3:15" ht="14.4" thickBot="1" x14ac:dyDescent="0.3">
      <c r="C19" s="65" t="s">
        <v>181</v>
      </c>
      <c r="D19" s="66">
        <f>AVERAGE(D20:O20)</f>
        <v>0.52916666666666667</v>
      </c>
    </row>
    <row r="20" spans="3:15" ht="14.4" thickBot="1" x14ac:dyDescent="0.3">
      <c r="C20" s="67" t="s">
        <v>182</v>
      </c>
      <c r="D20" s="68">
        <f>IFERROR(INDEX(C22:C42,MATCH(D17,D22:D42)),"NA")</f>
        <v>1</v>
      </c>
      <c r="E20" s="69">
        <f>IFERROR(INDEX(C22:C42,MATCH(E17,E22:E42)),"NA")</f>
        <v>1</v>
      </c>
      <c r="F20" s="69">
        <f>IFERROR(INDEX(C22:C42,MATCH(F17,F22:F42)),"NA")</f>
        <v>1</v>
      </c>
      <c r="G20" s="69">
        <f>IFERROR(INDEX(C22:C42,MATCH(G17,G22:G42)),"NA")</f>
        <v>1</v>
      </c>
      <c r="H20" s="69">
        <f>IFERROR(INDEX(C22:C42,MATCH(H17,H22:H42)),"NA")</f>
        <v>0.45</v>
      </c>
      <c r="I20" s="69">
        <f>IFERROR(INDEX(C22:C42,MATCH(I17,I22:I42)),"NA")</f>
        <v>0.45</v>
      </c>
      <c r="J20" s="69">
        <f>IFERROR(INDEX(C22:C42,MATCH(J17,J22:J42)),"NA")</f>
        <v>0.35</v>
      </c>
      <c r="K20" s="69">
        <f>IFERROR(INDEX(C22:C42,MATCH(K17,K22:K42)),"NA")</f>
        <v>0.1</v>
      </c>
      <c r="L20" s="69">
        <f>IFERROR(INDEX(C22:C42,MATCH(L17,L22:L42)),"NA")</f>
        <v>0.15</v>
      </c>
      <c r="M20" s="69">
        <f>IFERROR((1-INDEX(C22:C42,MATCH(M17,M22:M42))),"NA")</f>
        <v>0.25</v>
      </c>
      <c r="N20" s="69">
        <f>IFERROR(INDEX(C22:C42,MATCH(N17,N22:N42)),"NA")</f>
        <v>0.1</v>
      </c>
      <c r="O20" s="70">
        <f>IFERROR((1-INDEX(C22:C42,MATCH(O17,O22:O42))),"NA")</f>
        <v>0.5</v>
      </c>
    </row>
    <row r="21" spans="3:15" ht="14.4" thickBot="1" x14ac:dyDescent="0.3">
      <c r="C21" s="43" t="s">
        <v>183</v>
      </c>
    </row>
    <row r="22" spans="3:15" x14ac:dyDescent="0.25">
      <c r="C22" s="71">
        <v>0</v>
      </c>
      <c r="D22" s="72">
        <f>PERCENTILE(D7:D16,C22)</f>
        <v>0.54100000000000004</v>
      </c>
      <c r="E22" s="72">
        <f>PERCENTILE(E7:E16,C22)</f>
        <v>0.48599999999999999</v>
      </c>
      <c r="F22" s="72">
        <f>PERCENTILE(F7:F16,C22)</f>
        <v>0.34100000000000003</v>
      </c>
      <c r="G22" s="72">
        <f>PERCENTILE(G7:G16,C22)</f>
        <v>0.17879999999999999</v>
      </c>
      <c r="H22" s="72">
        <f>PERCENTILE(H7:H16,C22)</f>
        <v>8.9800000000000005E-2</v>
      </c>
      <c r="I22" s="72">
        <f>PERCENTILE(I7:I16,C22)</f>
        <v>0.26690000000000003</v>
      </c>
      <c r="J22" s="72">
        <f>PERCENTILE(J7:J16,C22)</f>
        <v>0.38329999999999997</v>
      </c>
      <c r="K22" s="72">
        <f>PERCENTILE(K7:K16,C22)</f>
        <v>0.68169999999999997</v>
      </c>
      <c r="L22" s="72">
        <f>PERCENTILE(L7:L16,C22)</f>
        <v>0.17019999999999999</v>
      </c>
      <c r="M22" s="73">
        <f>PERCENTILE(M7:M16,C22)</f>
        <v>0.4</v>
      </c>
      <c r="N22" s="72">
        <f>PERCENTILE(N7:N16,C22)</f>
        <v>-0.1474</v>
      </c>
      <c r="O22" s="74">
        <f>PERCENTILE(O7:O16,C22)</f>
        <v>0.23</v>
      </c>
    </row>
    <row r="23" spans="3:15" x14ac:dyDescent="0.25">
      <c r="C23" s="75">
        <v>0.05</v>
      </c>
      <c r="D23" s="76">
        <f>PERCENTILE(D7:D16,C23)</f>
        <v>0.56169999999999998</v>
      </c>
      <c r="E23" s="76">
        <f>PERCENTILE(E7:E16,C23)</f>
        <v>0.49409999999999998</v>
      </c>
      <c r="F23" s="76">
        <f>PERCENTILE(F7:F16,C23)</f>
        <v>0.36125000000000002</v>
      </c>
      <c r="G23" s="76">
        <f>PERCENTILE(G7:G16,C23)</f>
        <v>0.22281000000000001</v>
      </c>
      <c r="H23" s="76">
        <f>PERCENTILE(H7:H16,C23)</f>
        <v>0.1321</v>
      </c>
      <c r="I23" s="76">
        <f>PERCENTILE(I7:I16,C23)</f>
        <v>0.34467000000000003</v>
      </c>
      <c r="J23" s="76">
        <f>PERCENTILE(J7:J16,C23)</f>
        <v>0.50348000000000004</v>
      </c>
      <c r="K23" s="76">
        <f>PERCENTILE(K7:K16,C23)</f>
        <v>0.79584999999999995</v>
      </c>
      <c r="L23" s="76">
        <f>PERCENTILE(L7:L16,C23)</f>
        <v>0.19431999999999999</v>
      </c>
      <c r="M23" s="77">
        <f>PERCENTILE(M7:M16,C23)</f>
        <v>0.44500000000000001</v>
      </c>
      <c r="N23" s="76">
        <f>PERCENTILE(N7:N16,C23)</f>
        <v>-0.10630999999999999</v>
      </c>
      <c r="O23" s="78">
        <f>PERCENTILE(O7:O16,C23)</f>
        <v>0.64399999999999991</v>
      </c>
    </row>
    <row r="24" spans="3:15" x14ac:dyDescent="0.25">
      <c r="C24" s="75">
        <v>0.1</v>
      </c>
      <c r="D24" s="76">
        <f>PERCENTILE(D7:D16,C24)</f>
        <v>0.58239999999999992</v>
      </c>
      <c r="E24" s="76">
        <f>PERCENTILE(E7:E16,C24)</f>
        <v>0.50219999999999998</v>
      </c>
      <c r="F24" s="76">
        <f>PERCENTILE(F7:F16,C24)</f>
        <v>0.38150000000000001</v>
      </c>
      <c r="G24" s="76">
        <f>PERCENTILE(G7:G16,C24)</f>
        <v>0.26682</v>
      </c>
      <c r="H24" s="76">
        <f>PERCENTILE(H7:H16,C24)</f>
        <v>0.1744</v>
      </c>
      <c r="I24" s="76">
        <f>PERCENTILE(I7:I16,C24)</f>
        <v>0.42244000000000004</v>
      </c>
      <c r="J24" s="76">
        <f>PERCENTILE(J7:J16,C24)</f>
        <v>0.6236600000000001</v>
      </c>
      <c r="K24" s="76">
        <f>PERCENTILE(K7:K16,C24)</f>
        <v>0.91</v>
      </c>
      <c r="L24" s="76">
        <f>PERCENTILE(L7:L16,C24)</f>
        <v>0.21844</v>
      </c>
      <c r="M24" s="77">
        <f>PERCENTILE(M7:M16,C24)</f>
        <v>0.49</v>
      </c>
      <c r="N24" s="76">
        <f>PERCENTILE(N7:N16,C24)</f>
        <v>-6.5219999999999972E-2</v>
      </c>
      <c r="O24" s="78">
        <f>PERCENTILE(O7:O16,C24)</f>
        <v>1.0579999999999998</v>
      </c>
    </row>
    <row r="25" spans="3:15" x14ac:dyDescent="0.25">
      <c r="C25" s="75">
        <v>0.15</v>
      </c>
      <c r="D25" s="76">
        <f>PERCENTILE(D7:D16,C25)</f>
        <v>0.59155000000000002</v>
      </c>
      <c r="E25" s="76">
        <f>PERCENTILE(E7:E16,C25)</f>
        <v>0.50505</v>
      </c>
      <c r="F25" s="76">
        <f>PERCENTILE(F7:F16,C25)</f>
        <v>0.38950000000000001</v>
      </c>
      <c r="G25" s="76">
        <f>PERCENTILE(G7:G16,C25)</f>
        <v>0.28797499999999998</v>
      </c>
      <c r="H25" s="76">
        <f>PERCENTILE(H7:H16,C25)</f>
        <v>0.24154999999999993</v>
      </c>
      <c r="I25" s="76">
        <f>PERCENTILE(I7:I16,C25)</f>
        <v>0.49312499999999998</v>
      </c>
      <c r="J25" s="76">
        <f>PERCENTILE(J7:J16,C25)</f>
        <v>0.74384000000000006</v>
      </c>
      <c r="K25" s="76">
        <f>PERCENTILE(K7:K16,C25)</f>
        <v>1.0241500000000001</v>
      </c>
      <c r="L25" s="76">
        <f>PERCENTILE(L7:L16,C25)</f>
        <v>0.26380499999999996</v>
      </c>
      <c r="M25" s="77">
        <f>PERCENTILE(M7:M16,C25)</f>
        <v>0.5</v>
      </c>
      <c r="N25" s="76">
        <f>PERCENTILE(N7:N16,C25)</f>
        <v>-2.8165000000000006E-2</v>
      </c>
      <c r="O25" s="78">
        <f>PERCENTILE(O7:O16,C25)</f>
        <v>1.206</v>
      </c>
    </row>
    <row r="26" spans="3:15" x14ac:dyDescent="0.25">
      <c r="C26" s="75">
        <v>0.2</v>
      </c>
      <c r="D26" s="76">
        <f>PERCENTILE(D7:D16,C26)</f>
        <v>0.59739999999999993</v>
      </c>
      <c r="E26" s="76">
        <f>PERCENTILE(E7:E16,C26)</f>
        <v>0.50639999999999996</v>
      </c>
      <c r="F26" s="76">
        <f>PERCENTILE(F7:F16,C26)</f>
        <v>0.39400000000000002</v>
      </c>
      <c r="G26" s="76">
        <f>PERCENTILE(G7:G16,C26)</f>
        <v>0.30259999999999998</v>
      </c>
      <c r="H26" s="76">
        <f>PERCENTILE(H7:H16,C26)</f>
        <v>0.31579999999999997</v>
      </c>
      <c r="I26" s="76">
        <f>PERCENTILE(I7:I16,C26)</f>
        <v>0.52129999999999999</v>
      </c>
      <c r="J26" s="76">
        <f>PERCENTILE(J7:J16,C26)</f>
        <v>0.78495999999999999</v>
      </c>
      <c r="K26" s="76">
        <f>PERCENTILE(K7:K16,C26)</f>
        <v>1.1383000000000001</v>
      </c>
      <c r="L26" s="76">
        <f>PERCENTILE(L7:L16,C26)</f>
        <v>0.31523999999999996</v>
      </c>
      <c r="M26" s="77">
        <f>PERCENTILE(M7:M16,C26)</f>
        <v>0.5</v>
      </c>
      <c r="N26" s="76">
        <f>PERCENTILE(N7:N16,C26)</f>
        <v>-1.5319999999999986E-2</v>
      </c>
      <c r="O26" s="78">
        <f>PERCENTILE(O7:O16,C26)</f>
        <v>1.278</v>
      </c>
    </row>
    <row r="27" spans="3:15" x14ac:dyDescent="0.25">
      <c r="C27" s="75">
        <v>0.25</v>
      </c>
      <c r="D27" s="76">
        <f>PERCENTILE(D7:D16,C27)</f>
        <v>0.62424999999999997</v>
      </c>
      <c r="E27" s="76">
        <f>PERCENTILE(E7:E16,C27)</f>
        <v>0.50775000000000003</v>
      </c>
      <c r="F27" s="76">
        <f>PERCENTILE(F7:F16,C27)</f>
        <v>0.40325</v>
      </c>
      <c r="G27" s="76">
        <f>PERCENTILE(G7:G16,C27)</f>
        <v>0.3115</v>
      </c>
      <c r="H27" s="76">
        <f>PERCENTILE(H7:H16,C27)</f>
        <v>0.35302500000000003</v>
      </c>
      <c r="I27" s="76">
        <f>PERCENTILE(I7:I16,C27)</f>
        <v>0.54947499999999994</v>
      </c>
      <c r="J27" s="76">
        <f>PERCENTILE(J7:J16,C27)</f>
        <v>0.78655000000000008</v>
      </c>
      <c r="K27" s="76">
        <f>PERCENTILE(K7:K16,C27)</f>
        <v>1.302975</v>
      </c>
      <c r="L27" s="76">
        <f>PERCENTILE(L7:L16,C27)</f>
        <v>0.34047500000000003</v>
      </c>
      <c r="M27" s="77">
        <f>PERCENTILE(M7:M16,C27)</f>
        <v>0.52500000000000002</v>
      </c>
      <c r="N27" s="76">
        <f>PERCENTILE(N7:N16,C27)</f>
        <v>-2.4750000000000015E-3</v>
      </c>
      <c r="O27" s="78">
        <f>PERCENTILE(O7:O16,C27)</f>
        <v>1.345</v>
      </c>
    </row>
    <row r="28" spans="3:15" x14ac:dyDescent="0.25">
      <c r="C28" s="75">
        <v>0.3</v>
      </c>
      <c r="D28" s="76">
        <f>PERCENTILE(D7:D16,C28)</f>
        <v>0.66789999999999994</v>
      </c>
      <c r="E28" s="76">
        <f>PERCENTILE(E7:E16,C28)</f>
        <v>0.5091</v>
      </c>
      <c r="F28" s="76">
        <f>PERCENTILE(F7:F16,C28)</f>
        <v>0.4163</v>
      </c>
      <c r="G28" s="76">
        <f>PERCENTILE(G7:G16,C28)</f>
        <v>0.31581999999999999</v>
      </c>
      <c r="H28" s="76">
        <f>PERCENTILE(H7:H16,C28)</f>
        <v>0.36063000000000001</v>
      </c>
      <c r="I28" s="76">
        <f>PERCENTILE(I7:I16,C28)</f>
        <v>0.57030000000000003</v>
      </c>
      <c r="J28" s="76">
        <f>PERCENTILE(J7:J16,C28)</f>
        <v>0.78814000000000006</v>
      </c>
      <c r="K28" s="76">
        <f>PERCENTILE(K7:K16,C28)</f>
        <v>1.4676499999999999</v>
      </c>
      <c r="L28" s="76">
        <f>PERCENTILE(L7:L16,C28)</f>
        <v>0.34475</v>
      </c>
      <c r="M28" s="77">
        <f>PERCENTILE(M7:M16,C28)</f>
        <v>0.56999999999999995</v>
      </c>
      <c r="N28" s="76">
        <f>PERCENTILE(N7:N16,C28)</f>
        <v>1.0030000000000004E-2</v>
      </c>
      <c r="O28" s="78">
        <f>PERCENTILE(O7:O16,C28)</f>
        <v>1.4079999999999999</v>
      </c>
    </row>
    <row r="29" spans="3:15" x14ac:dyDescent="0.25">
      <c r="C29" s="75">
        <v>0.35</v>
      </c>
      <c r="D29" s="76">
        <f>PERCENTILE(D7:D16,C29)</f>
        <v>0.69939999999999991</v>
      </c>
      <c r="E29" s="76">
        <f>PERCENTILE(E7:E16,C29)</f>
        <v>0.51524999999999999</v>
      </c>
      <c r="F29" s="76">
        <f>PERCENTILE(F7:F16,C29)</f>
        <v>0.42770000000000002</v>
      </c>
      <c r="G29" s="76">
        <f>PERCENTILE(G7:G16,C29)</f>
        <v>0.32099499999999997</v>
      </c>
      <c r="H29" s="76">
        <f>PERCENTILE(H7:H16,C29)</f>
        <v>0.37099500000000002</v>
      </c>
      <c r="I29" s="76">
        <f>PERCENTILE(I7:I16,C29)</f>
        <v>0.57274999999999998</v>
      </c>
      <c r="J29" s="76">
        <f>PERCENTILE(J7:J16,C29)</f>
        <v>0.85205999999999982</v>
      </c>
      <c r="K29" s="76">
        <f>PERCENTILE(K7:K16,C29)</f>
        <v>1.632325</v>
      </c>
      <c r="L29" s="76">
        <f>PERCENTILE(L7:L16,C29)</f>
        <v>0.349325</v>
      </c>
      <c r="M29" s="77">
        <f>PERCENTILE(M7:M16,C29)</f>
        <v>0.61499999999999999</v>
      </c>
      <c r="N29" s="76">
        <f>PERCENTILE(N7:N16,C29)</f>
        <v>2.1684999999999992E-2</v>
      </c>
      <c r="O29" s="78">
        <f>PERCENTILE(O7:O16,C29)</f>
        <v>1.4695</v>
      </c>
    </row>
    <row r="30" spans="3:15" x14ac:dyDescent="0.25">
      <c r="C30" s="75">
        <v>0.4</v>
      </c>
      <c r="D30" s="76">
        <f>PERCENTILE(D7:D16,C30)</f>
        <v>0.70660000000000001</v>
      </c>
      <c r="E30" s="76">
        <f>PERCENTILE(E7:E16,C30)</f>
        <v>0.53100000000000003</v>
      </c>
      <c r="F30" s="76">
        <f>PERCENTILE(F7:F16,C30)</f>
        <v>0.43579999999999997</v>
      </c>
      <c r="G30" s="76">
        <f>PERCENTILE(G7:G16,C30)</f>
        <v>0.32788</v>
      </c>
      <c r="H30" s="76">
        <f>PERCENTILE(H7:H16,C30)</f>
        <v>0.38688</v>
      </c>
      <c r="I30" s="76">
        <f>PERCENTILE(I7:I16,C30)</f>
        <v>0.57520000000000004</v>
      </c>
      <c r="J30" s="76">
        <f>PERCENTILE(J7:J16,C30)</f>
        <v>1.0406400000000002</v>
      </c>
      <c r="K30" s="76">
        <f>PERCENTILE(K7:K16,C30)</f>
        <v>1.7969999999999999</v>
      </c>
      <c r="L30" s="76">
        <f>PERCENTILE(L7:L16,C30)</f>
        <v>0.35449999999999998</v>
      </c>
      <c r="M30" s="77">
        <f>PERCENTILE(M7:M16,C30)</f>
        <v>0.65999999999999992</v>
      </c>
      <c r="N30" s="76">
        <f>PERCENTILE(N7:N16,C30)</f>
        <v>3.3340000000000009E-2</v>
      </c>
      <c r="O30" s="78">
        <f>PERCENTILE(O7:O16,C30)</f>
        <v>1.528</v>
      </c>
    </row>
    <row r="31" spans="3:15" x14ac:dyDescent="0.25">
      <c r="C31" s="75">
        <v>0.45</v>
      </c>
      <c r="D31" s="76">
        <f>PERCENTILE(D7:D16,C31)</f>
        <v>0.71379999999999999</v>
      </c>
      <c r="E31" s="76">
        <f>PERCENTILE(E7:E16,C31)</f>
        <v>0.54575000000000007</v>
      </c>
      <c r="F31" s="76">
        <f>PERCENTILE(F7:F16,C31)</f>
        <v>0.44330000000000003</v>
      </c>
      <c r="G31" s="76">
        <f>PERCENTILE(G7:G16,C31)</f>
        <v>0.33406000000000002</v>
      </c>
      <c r="H31" s="76">
        <f>PERCENTILE(H7:H16,C31)</f>
        <v>0.40289000000000003</v>
      </c>
      <c r="I31" s="76">
        <f>PERCENTILE(I7:I16,C31)</f>
        <v>0.62011500000000008</v>
      </c>
      <c r="J31" s="76">
        <f>PERCENTILE(J7:J16,C31)</f>
        <v>1.2292200000000002</v>
      </c>
      <c r="K31" s="76">
        <f>PERCENTILE(K7:K16,C31)</f>
        <v>1.9753499999999999</v>
      </c>
      <c r="L31" s="76">
        <f>PERCENTILE(L7:L16,C31)</f>
        <v>0.35979</v>
      </c>
      <c r="M31" s="77">
        <f>PERCENTILE(M7:M16,C31)</f>
        <v>0.7</v>
      </c>
      <c r="N31" s="76">
        <f>PERCENTILE(N7:N16,C31)</f>
        <v>4.1500000000000002E-2</v>
      </c>
      <c r="O31" s="78">
        <f>PERCENTILE(O7:O16,C31)</f>
        <v>1.6079999999999999</v>
      </c>
    </row>
    <row r="32" spans="3:15" x14ac:dyDescent="0.25">
      <c r="C32" s="75">
        <v>0.5</v>
      </c>
      <c r="D32" s="76">
        <f>PERCENTILE(D7:D16,C32)</f>
        <v>0.72099999999999997</v>
      </c>
      <c r="E32" s="76">
        <f>PERCENTILE(E7:E16,C32)</f>
        <v>0.55249999999999999</v>
      </c>
      <c r="F32" s="76">
        <f>PERCENTILE(F7:F16,C32)</f>
        <v>0.44600000000000001</v>
      </c>
      <c r="G32" s="76">
        <f>PERCENTILE(G7:G16,C32)</f>
        <v>0.33460000000000001</v>
      </c>
      <c r="H32" s="76">
        <f>PERCENTILE(H7:H16,C32)</f>
        <v>0.41990000000000005</v>
      </c>
      <c r="I32" s="76">
        <f>PERCENTILE(I7:I16,C32)</f>
        <v>0.72165000000000001</v>
      </c>
      <c r="J32" s="76">
        <f>PERCENTILE(J7:J16,C32)</f>
        <v>1.4177999999999999</v>
      </c>
      <c r="K32" s="76">
        <f>PERCENTILE(K7:K16,C32)</f>
        <v>2.1537000000000002</v>
      </c>
      <c r="L32" s="76">
        <f>PERCENTILE(L7:L16,C32)</f>
        <v>0.36599999999999999</v>
      </c>
      <c r="M32" s="77">
        <f>PERCENTILE(M7:M16,C32)</f>
        <v>0.7</v>
      </c>
      <c r="N32" s="76">
        <f>PERCENTILE(N7:N16,C32)</f>
        <v>4.4999999999999998E-2</v>
      </c>
      <c r="O32" s="78">
        <f>PERCENTILE(O7:O16,C32)</f>
        <v>1.86</v>
      </c>
    </row>
    <row r="33" spans="3:15" x14ac:dyDescent="0.25">
      <c r="C33" s="75">
        <v>0.55000000000000004</v>
      </c>
      <c r="D33" s="76">
        <f>PERCENTILE(D7:D16,C33)</f>
        <v>0.72819999999999996</v>
      </c>
      <c r="E33" s="76">
        <f>PERCENTILE(E7:E16,C33)</f>
        <v>0.55925000000000002</v>
      </c>
      <c r="F33" s="76">
        <f>PERCENTILE(F7:F16,C33)</f>
        <v>0.44869999999999999</v>
      </c>
      <c r="G33" s="76">
        <f>PERCENTILE(G7:G16,C33)</f>
        <v>0.33513999999999999</v>
      </c>
      <c r="H33" s="76">
        <f>PERCENTILE(H7:H16,C33)</f>
        <v>0.43691000000000002</v>
      </c>
      <c r="I33" s="76">
        <f>PERCENTILE(I7:I16,C33)</f>
        <v>0.82318500000000017</v>
      </c>
      <c r="J33" s="76">
        <f>PERCENTILE(J7:J16,C33)</f>
        <v>1.5783900000000004</v>
      </c>
      <c r="K33" s="76">
        <f>PERCENTILE(K7:K16,C33)</f>
        <v>2.3320500000000002</v>
      </c>
      <c r="L33" s="76">
        <f>PERCENTILE(L7:L16,C33)</f>
        <v>0.37220999999999999</v>
      </c>
      <c r="M33" s="77">
        <f>PERCENTILE(M7:M16,C33)</f>
        <v>0.7</v>
      </c>
      <c r="N33" s="76">
        <f>PERCENTILE(N7:N16,C33)</f>
        <v>4.8500000000000008E-2</v>
      </c>
      <c r="O33" s="78">
        <f>PERCENTILE(O7:O16,C33)</f>
        <v>2.1120000000000001</v>
      </c>
    </row>
    <row r="34" spans="3:15" x14ac:dyDescent="0.25">
      <c r="C34" s="75">
        <v>0.6</v>
      </c>
      <c r="D34" s="76">
        <f>PERCENTILE(D7:D16,C34)</f>
        <v>0.73619999999999997</v>
      </c>
      <c r="E34" s="76">
        <f>PERCENTILE(E7:E16,C34)</f>
        <v>0.57440000000000002</v>
      </c>
      <c r="F34" s="76">
        <f>PERCENTILE(F7:F16,C34)</f>
        <v>0.45779999999999998</v>
      </c>
      <c r="G34" s="76">
        <f>PERCENTILE(G7:G16,C34)</f>
        <v>0.36012</v>
      </c>
      <c r="H34" s="76">
        <f>PERCENTILE(H7:H16,C34)</f>
        <v>0.45232</v>
      </c>
      <c r="I34" s="76">
        <f>PERCENTILE(I7:I16,C34)</f>
        <v>1.0780600000000002</v>
      </c>
      <c r="J34" s="76">
        <f>PERCENTILE(J7:J16,C34)</f>
        <v>1.7389799999999997</v>
      </c>
      <c r="K34" s="76">
        <f>PERCENTILE(K7:K16,C34)</f>
        <v>2.5104000000000002</v>
      </c>
      <c r="L34" s="76">
        <f>PERCENTILE(L7:L16,C34)</f>
        <v>0.38225999999999999</v>
      </c>
      <c r="M34" s="77">
        <f>PERCENTILE(M7:M16,C34)</f>
        <v>0.74</v>
      </c>
      <c r="N34" s="76">
        <f>PERCENTILE(N7:N16,C34)</f>
        <v>5.4000000000000006E-2</v>
      </c>
      <c r="O34" s="78">
        <f>PERCENTILE(O7:O16,C34)</f>
        <v>2.2279999999999998</v>
      </c>
    </row>
    <row r="35" spans="3:15" x14ac:dyDescent="0.25">
      <c r="C35" s="75">
        <v>0.65</v>
      </c>
      <c r="D35" s="76">
        <f>PERCENTILE(D7:D16,C35)</f>
        <v>0.74429999999999996</v>
      </c>
      <c r="E35" s="76">
        <f>PERCENTILE(E7:E16,C35)</f>
        <v>0.59060000000000001</v>
      </c>
      <c r="F35" s="76">
        <f>PERCENTILE(F7:F16,C35)</f>
        <v>0.4677</v>
      </c>
      <c r="G35" s="76">
        <f>PERCENTILE(G7:G16,C35)</f>
        <v>0.38815500000000003</v>
      </c>
      <c r="H35" s="76">
        <f>PERCENTILE(H7:H16,C35)</f>
        <v>0.46753000000000006</v>
      </c>
      <c r="I35" s="76">
        <f>PERCENTILE(I7:I16,C35)</f>
        <v>1.4479399999999998</v>
      </c>
      <c r="J35" s="76">
        <f>PERCENTILE(J7:J16,C35)</f>
        <v>1.8995700000000002</v>
      </c>
      <c r="K35" s="76">
        <f>PERCENTILE(K7:K16,C35)</f>
        <v>2.5768</v>
      </c>
      <c r="L35" s="76">
        <f>PERCENTILE(L7:L16,C35)</f>
        <v>0.39278999999999997</v>
      </c>
      <c r="M35" s="77">
        <f>PERCENTILE(M7:M16,C35)</f>
        <v>0.78500000000000014</v>
      </c>
      <c r="N35" s="76">
        <f>PERCENTILE(N7:N16,C35)</f>
        <v>6.0999999999999999E-2</v>
      </c>
      <c r="O35" s="78">
        <f>PERCENTILE(O7:O16,C35)</f>
        <v>2.327</v>
      </c>
    </row>
    <row r="36" spans="3:15" x14ac:dyDescent="0.25">
      <c r="C36" s="75">
        <v>0.7</v>
      </c>
      <c r="D36" s="76">
        <f>PERCENTILE(D7:D16,C36)</f>
        <v>0.76349999999999996</v>
      </c>
      <c r="E36" s="76">
        <f>PERCENTILE(E7:E16,C36)</f>
        <v>0.6238999999999999</v>
      </c>
      <c r="F36" s="76">
        <f>PERCENTILE(F7:F16,C36)</f>
        <v>0.47219999999999995</v>
      </c>
      <c r="G36" s="76">
        <f>PERCENTILE(G7:G16,C36)</f>
        <v>0.41298000000000001</v>
      </c>
      <c r="H36" s="76">
        <f>PERCENTILE(H7:H16,C36)</f>
        <v>0.52896999999999994</v>
      </c>
      <c r="I36" s="76">
        <f>PERCENTILE(I7:I16,C36)</f>
        <v>1.8178199999999993</v>
      </c>
      <c r="J36" s="76">
        <f>PERCENTILE(J7:J16,C36)</f>
        <v>1.99394</v>
      </c>
      <c r="K36" s="76">
        <f>PERCENTILE(K7:K16,C36)</f>
        <v>2.6432000000000002</v>
      </c>
      <c r="L36" s="76">
        <f>PERCENTILE(L7:L16,C36)</f>
        <v>0.39644999999999997</v>
      </c>
      <c r="M36" s="77">
        <f>PERCENTILE(M7:M16,C36)</f>
        <v>0.83000000000000007</v>
      </c>
      <c r="N36" s="76">
        <f>PERCENTILE(N7:N16,C36)</f>
        <v>6.7999999999999991E-2</v>
      </c>
      <c r="O36" s="78">
        <f>PERCENTILE(O7:O16,C36)</f>
        <v>2.3719999999999999</v>
      </c>
    </row>
    <row r="37" spans="3:15" x14ac:dyDescent="0.25">
      <c r="C37" s="75">
        <v>0.75</v>
      </c>
      <c r="D37" s="76">
        <f>PERCENTILE(D7:D16,C37)</f>
        <v>0.78825000000000001</v>
      </c>
      <c r="E37" s="76">
        <f>PERCENTILE(E7:E16,C37)</f>
        <v>0.66574999999999995</v>
      </c>
      <c r="F37" s="76">
        <f>PERCENTILE(F7:F16,C37)</f>
        <v>0.47399999999999998</v>
      </c>
      <c r="G37" s="76">
        <f>PERCENTILE(G7:G16,C37)</f>
        <v>0.43620000000000003</v>
      </c>
      <c r="H37" s="76">
        <f>PERCENTILE(H7:H16,C37)</f>
        <v>0.61352499999999999</v>
      </c>
      <c r="I37" s="76">
        <f>PERCENTILE(I7:I16,C37)</f>
        <v>3.0584500000000001</v>
      </c>
      <c r="J37" s="76">
        <f>PERCENTILE(J7:J16,C37)</f>
        <v>2.0552000000000001</v>
      </c>
      <c r="K37" s="76">
        <f>PERCENTILE(K7:K16,C37)</f>
        <v>2.7096</v>
      </c>
      <c r="L37" s="76">
        <f>PERCENTILE(L7:L16,C37)</f>
        <v>0.396675</v>
      </c>
      <c r="M37" s="77">
        <f>PERCENTILE(M7:M16,C37)</f>
        <v>0.875</v>
      </c>
      <c r="N37" s="76">
        <f>PERCENTILE(N7:N16,C37)</f>
        <v>0.08</v>
      </c>
      <c r="O37" s="78">
        <f>PERCENTILE(O7:O16,C37)</f>
        <v>2.3899999999999997</v>
      </c>
    </row>
    <row r="38" spans="3:15" x14ac:dyDescent="0.25">
      <c r="C38" s="75">
        <v>0.8</v>
      </c>
      <c r="D38" s="76">
        <f>PERCENTILE(D7:D16,C38)</f>
        <v>0.80400000000000005</v>
      </c>
      <c r="E38" s="76">
        <f>PERCENTILE(E7:E16,C38)</f>
        <v>0.69459999999999988</v>
      </c>
      <c r="F38" s="76">
        <f>PERCENTILE(F7:F16,C38)</f>
        <v>0.49359999999999993</v>
      </c>
      <c r="G38" s="76">
        <f>PERCENTILE(G7:G16,C38)</f>
        <v>0.45046000000000003</v>
      </c>
      <c r="H38" s="76">
        <f>PERCENTILE(H7:H16,C38)</f>
        <v>0.74237999999999971</v>
      </c>
      <c r="I38" s="76">
        <f>PERCENTILE(I7:I16,C38)</f>
        <v>4.6473800000000027</v>
      </c>
      <c r="J38" s="76">
        <f>PERCENTILE(J7:J16,C38)</f>
        <v>2.1164600000000005</v>
      </c>
      <c r="K38" s="76">
        <f>PERCENTILE(K7:K16,C38)</f>
        <v>2.7759999999999998</v>
      </c>
      <c r="L38" s="76">
        <f>PERCENTILE(L7:L16,C38)</f>
        <v>0.42021999999999993</v>
      </c>
      <c r="M38" s="77">
        <f>PERCENTILE(M7:M16,C38)</f>
        <v>0.94</v>
      </c>
      <c r="N38" s="76">
        <f>PERCENTILE(N7:N16,C38)</f>
        <v>9.4000000000000028E-2</v>
      </c>
      <c r="O38" s="78">
        <f>PERCENTILE(O7:O16,C38)</f>
        <v>2.6159999999999992</v>
      </c>
    </row>
    <row r="39" spans="3:15" x14ac:dyDescent="0.25">
      <c r="C39" s="75">
        <v>0.85</v>
      </c>
      <c r="D39" s="76">
        <f>PERCENTILE(D7:D16,C39)</f>
        <v>0.8085</v>
      </c>
      <c r="E39" s="76">
        <f>PERCENTILE(E7:E16,C39)</f>
        <v>0.70719999999999994</v>
      </c>
      <c r="F39" s="76">
        <f>PERCENTILE(F7:F16,C39)</f>
        <v>0.53544999999999987</v>
      </c>
      <c r="G39" s="76">
        <f>PERCENTILE(G7:G16,C39)</f>
        <v>0.45352000000000003</v>
      </c>
      <c r="H39" s="76">
        <f>PERCENTILE(H7:H16,C39)</f>
        <v>0.92660999999999949</v>
      </c>
      <c r="I39" s="76">
        <f>PERCENTILE(I7:I16,C39)</f>
        <v>6.2363100000000014</v>
      </c>
      <c r="J39" s="76">
        <f>PERCENTILE(J7:J16,C39)</f>
        <v>6.4268799999999846</v>
      </c>
      <c r="K39" s="76">
        <f>PERCENTILE(K7:K16,C39)</f>
        <v>2.7865500000000001</v>
      </c>
      <c r="L39" s="76">
        <f>PERCENTILE(L7:L16,C39)</f>
        <v>0.47291499999999986</v>
      </c>
      <c r="M39" s="77">
        <f>PERCENTILE(M7:M16,C39)</f>
        <v>1.0299999999999998</v>
      </c>
      <c r="N39" s="76">
        <f>PERCENTILE(N7:N16,C39)</f>
        <v>0.10800000000000001</v>
      </c>
      <c r="O39" s="78">
        <f>PERCENTILE(O7:O16,C39)</f>
        <v>3.1019999999999985</v>
      </c>
    </row>
    <row r="40" spans="3:15" x14ac:dyDescent="0.25">
      <c r="C40" s="75">
        <v>0.9</v>
      </c>
      <c r="D40" s="76">
        <f>PERCENTILE(D7:D16,C40)</f>
        <v>0.81520000000000004</v>
      </c>
      <c r="E40" s="76">
        <f>PERCENTILE(E7:E16,C40)</f>
        <v>0.72170000000000001</v>
      </c>
      <c r="F40" s="76">
        <f>PERCENTILE(F7:F16,C40)</f>
        <v>0.5694999999999999</v>
      </c>
      <c r="G40" s="76">
        <f>PERCENTILE(G7:G16,C40)</f>
        <v>0.45799000000000001</v>
      </c>
      <c r="H40" s="76">
        <f>PERCENTILE(H7:H16,C40)</f>
        <v>1.1253299999999999</v>
      </c>
      <c r="I40" s="76">
        <f>PERCENTILE(I7:I16,C40)</f>
        <v>6.4853199999999998</v>
      </c>
      <c r="J40" s="76">
        <f>PERCENTILE(J7:J16,C40)</f>
        <v>19.235620000000015</v>
      </c>
      <c r="K40" s="76">
        <f>PERCENTILE(K7:K16,C40)</f>
        <v>2.7970999999999999</v>
      </c>
      <c r="L40" s="76">
        <f>PERCENTILE(L7:L16,C40)</f>
        <v>0.54355999999999993</v>
      </c>
      <c r="M40" s="77">
        <f>PERCENTILE(M7:M16,C40)</f>
        <v>1.1399999999999999</v>
      </c>
      <c r="N40" s="76">
        <f>PERCENTILE(N7:N16,C40)</f>
        <v>0.24211999999999995</v>
      </c>
      <c r="O40" s="78">
        <f>PERCENTILE(O7:O16,C40)</f>
        <v>3.4849999999999999</v>
      </c>
    </row>
    <row r="41" spans="3:15" x14ac:dyDescent="0.25">
      <c r="C41" s="75">
        <v>0.95</v>
      </c>
      <c r="D41" s="76">
        <f>PERCENTILE(D7:D16,C41)</f>
        <v>0.8296</v>
      </c>
      <c r="E41" s="76">
        <f>PERCENTILE(E7:E16,C41)</f>
        <v>0.7428499999999999</v>
      </c>
      <c r="F41" s="76">
        <f>PERCENTILE(F7:F16,C41)</f>
        <v>0.57624999999999993</v>
      </c>
      <c r="G41" s="76">
        <f>PERCENTILE(G7:G16,C41)</f>
        <v>0.467395</v>
      </c>
      <c r="H41" s="76">
        <f>PERCENTILE(H7:H16,C41)</f>
        <v>1.3747649999999996</v>
      </c>
      <c r="I41" s="76">
        <f>PERCENTILE(I7:I16,C41)</f>
        <v>6.5110099999999997</v>
      </c>
      <c r="J41" s="76">
        <f>PERCENTILE(J7:J16,C41)</f>
        <v>32.044359999999969</v>
      </c>
      <c r="K41" s="76">
        <f>PERCENTILE(K7:K16,C41)</f>
        <v>2.8076499999999998</v>
      </c>
      <c r="L41" s="76">
        <f>PERCENTILE(L7:L16,C41)</f>
        <v>0.67702999999999969</v>
      </c>
      <c r="M41" s="77">
        <f>PERCENTILE(M7:M16,C41)</f>
        <v>1.3199999999999996</v>
      </c>
      <c r="N41" s="76">
        <f>PERCENTILE(N7:N16,C41)</f>
        <v>0.39625999999999978</v>
      </c>
      <c r="O41" s="78">
        <f>PERCENTILE(O7:O16,C41)</f>
        <v>3.5074999999999998</v>
      </c>
    </row>
    <row r="42" spans="3:15" ht="14.4" thickBot="1" x14ac:dyDescent="0.3">
      <c r="C42" s="79">
        <v>1</v>
      </c>
      <c r="D42" s="80">
        <f>PERCENTILE(D7:D16,C42)</f>
        <v>0.84399999999999997</v>
      </c>
      <c r="E42" s="80">
        <f>PERCENTILE(E7:E16,C42)</f>
        <v>0.76400000000000001</v>
      </c>
      <c r="F42" s="80">
        <f>PERCENTILE(F7:F16,C42)</f>
        <v>0.58299999999999996</v>
      </c>
      <c r="G42" s="80">
        <f>PERCENTILE(G7:G16,C42)</f>
        <v>0.4768</v>
      </c>
      <c r="H42" s="80">
        <f>PERCENTILE(H7:H16,C42)</f>
        <v>1.6242000000000001</v>
      </c>
      <c r="I42" s="80">
        <f>PERCENTILE(I7:I16,C42)</f>
        <v>6.5366999999999997</v>
      </c>
      <c r="J42" s="80">
        <f>PERCENTILE(J7:J16,C42)</f>
        <v>44.853099999999998</v>
      </c>
      <c r="K42" s="80">
        <f>PERCENTILE(K7:K16,C42)</f>
        <v>2.8182</v>
      </c>
      <c r="L42" s="80">
        <f>PERCENTILE(L7:L16,C42)</f>
        <v>0.8105</v>
      </c>
      <c r="M42" s="81">
        <f>PERCENTILE(M7:M16,C42)</f>
        <v>1.5</v>
      </c>
      <c r="N42" s="80">
        <f>PERCENTILE(N7:N16,C42)</f>
        <v>0.5504</v>
      </c>
      <c r="O42" s="82">
        <f>PERCENTILE(O7:O16,C42)</f>
        <v>3.53</v>
      </c>
    </row>
  </sheetData>
  <conditionalFormatting sqref="D20:O20">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8B6C0-2DC0-49F5-8253-9E79EFF2DCE6}">
  <sheetPr codeName="Sheet3">
    <outlinePr summaryBelow="0" summaryRight="0"/>
  </sheetPr>
  <dimension ref="A4:IU50"/>
  <sheetViews>
    <sheetView defaultGridColor="0" colorId="0" workbookViewId="0"/>
  </sheetViews>
  <sheetFormatPr defaultRowHeight="10.199999999999999" x14ac:dyDescent="0.2"/>
  <cols>
    <col min="1" max="1" width="47.88671875" customWidth="1"/>
    <col min="2" max="17" width="20.88671875" customWidth="1"/>
  </cols>
  <sheetData>
    <row r="4" spans="1:255" ht="16.2" x14ac:dyDescent="0.25">
      <c r="A4" s="1" t="s">
        <v>0</v>
      </c>
    </row>
    <row r="7" spans="1:255" x14ac:dyDescent="0.2">
      <c r="A7" s="2" t="s">
        <v>1</v>
      </c>
      <c r="B7" s="2"/>
      <c r="C7" s="2"/>
      <c r="D7" s="2"/>
      <c r="E7" s="2"/>
      <c r="F7" s="2"/>
      <c r="G7" s="2"/>
      <c r="H7" s="2"/>
      <c r="I7" s="2"/>
      <c r="J7" s="2"/>
      <c r="K7" s="2"/>
      <c r="L7" s="2"/>
      <c r="M7" s="2"/>
      <c r="N7" s="2"/>
      <c r="O7" s="2"/>
      <c r="P7" s="2"/>
      <c r="Q7" s="2"/>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2</v>
      </c>
      <c r="B8" s="4" t="s">
        <v>3</v>
      </c>
    </row>
    <row r="9" spans="1:255" x14ac:dyDescent="0.2">
      <c r="A9" s="3" t="s">
        <v>4</v>
      </c>
      <c r="B9" s="4" t="s">
        <v>5</v>
      </c>
    </row>
    <row r="10" spans="1:255" x14ac:dyDescent="0.2">
      <c r="A10" s="3" t="s">
        <v>6</v>
      </c>
      <c r="B10" s="5">
        <v>45044</v>
      </c>
    </row>
    <row r="11" spans="1:255" x14ac:dyDescent="0.2">
      <c r="A11" s="6"/>
    </row>
    <row r="13" spans="1:255" x14ac:dyDescent="0.2">
      <c r="A13" s="2" t="s">
        <v>7</v>
      </c>
      <c r="B13" s="2"/>
      <c r="C13" s="2"/>
      <c r="D13" s="2"/>
      <c r="E13" s="2"/>
      <c r="F13" s="2"/>
      <c r="G13" s="2"/>
      <c r="H13" s="2"/>
      <c r="I13" s="2"/>
      <c r="J13" s="2"/>
      <c r="K13" s="2"/>
      <c r="L13" s="2"/>
      <c r="M13" s="2"/>
      <c r="N13" s="2"/>
      <c r="O13" s="2"/>
      <c r="P13" s="2"/>
      <c r="Q13" s="2"/>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9</v>
      </c>
      <c r="C14" s="11" t="s">
        <v>10</v>
      </c>
      <c r="D14" s="11" t="s">
        <v>11</v>
      </c>
      <c r="E14" s="11" t="s">
        <v>12</v>
      </c>
      <c r="F14" s="11" t="s">
        <v>13</v>
      </c>
      <c r="G14" s="11" t="s">
        <v>14</v>
      </c>
      <c r="H14" s="11" t="s">
        <v>15</v>
      </c>
      <c r="I14" s="11" t="s">
        <v>16</v>
      </c>
      <c r="J14" s="15" t="s">
        <v>17</v>
      </c>
      <c r="K14" s="11" t="s">
        <v>18</v>
      </c>
      <c r="L14" s="11" t="s">
        <v>19</v>
      </c>
      <c r="M14" s="11" t="s">
        <v>20</v>
      </c>
      <c r="N14" s="11" t="s">
        <v>21</v>
      </c>
      <c r="O14" s="11" t="s">
        <v>22</v>
      </c>
      <c r="P14" s="11" t="s">
        <v>23</v>
      </c>
      <c r="Q14" s="11" t="s">
        <v>24</v>
      </c>
    </row>
    <row r="15" spans="1:255" ht="12" customHeight="1" x14ac:dyDescent="0.2">
      <c r="A15" s="7" t="s">
        <v>25</v>
      </c>
      <c r="B15" s="12">
        <v>25.16</v>
      </c>
      <c r="C15" s="13">
        <v>765.5</v>
      </c>
      <c r="D15" s="13">
        <v>19260.099999999999</v>
      </c>
      <c r="E15" s="13">
        <v>1926</v>
      </c>
      <c r="F15" s="12">
        <v>11</v>
      </c>
      <c r="G15" s="14" t="s">
        <v>26</v>
      </c>
      <c r="H15" s="13">
        <v>21197.1</v>
      </c>
      <c r="I15" s="12">
        <v>16.48</v>
      </c>
      <c r="J15" s="16">
        <v>44984</v>
      </c>
      <c r="K15" s="13">
        <v>9051</v>
      </c>
      <c r="L15" s="13">
        <v>6914</v>
      </c>
      <c r="M15" s="13">
        <v>5279</v>
      </c>
      <c r="N15" s="12">
        <v>5.08</v>
      </c>
      <c r="O15" s="12">
        <v>6001.37</v>
      </c>
      <c r="P15" s="12">
        <v>4243.17</v>
      </c>
      <c r="Q15" s="12">
        <v>2.4</v>
      </c>
    </row>
    <row r="16" spans="1:255" ht="12" customHeight="1" x14ac:dyDescent="0.2">
      <c r="A16" s="7" t="s">
        <v>27</v>
      </c>
      <c r="B16" s="12">
        <v>23.48</v>
      </c>
      <c r="C16" s="13">
        <v>622.9</v>
      </c>
      <c r="D16" s="13">
        <v>14625.1</v>
      </c>
      <c r="E16" s="13">
        <v>5730</v>
      </c>
      <c r="F16" s="14" t="s">
        <v>26</v>
      </c>
      <c r="G16" s="14" t="s">
        <v>26</v>
      </c>
      <c r="H16" s="13">
        <v>20355.099999999999</v>
      </c>
      <c r="I16" s="12">
        <v>18</v>
      </c>
      <c r="J16" s="16">
        <v>44973</v>
      </c>
      <c r="K16" s="13">
        <v>7575</v>
      </c>
      <c r="L16" s="13">
        <v>5217</v>
      </c>
      <c r="M16" s="13">
        <v>3399</v>
      </c>
      <c r="N16" s="12">
        <v>5.26</v>
      </c>
      <c r="O16" s="12">
        <v>6935.74</v>
      </c>
      <c r="P16" s="12">
        <v>4601.8</v>
      </c>
      <c r="Q16" s="12">
        <v>2.91</v>
      </c>
    </row>
    <row r="17" spans="1:17" ht="12" customHeight="1" x14ac:dyDescent="0.2">
      <c r="A17" s="7" t="s">
        <v>28</v>
      </c>
      <c r="B17" s="12">
        <v>35.659999999999997</v>
      </c>
      <c r="C17" s="13">
        <v>311</v>
      </c>
      <c r="D17" s="13">
        <v>11091.9</v>
      </c>
      <c r="E17" s="13">
        <v>5508</v>
      </c>
      <c r="F17" s="14" t="s">
        <v>26</v>
      </c>
      <c r="G17" s="12">
        <v>922</v>
      </c>
      <c r="H17" s="13">
        <v>17521.900000000001</v>
      </c>
      <c r="I17" s="12">
        <v>1.36</v>
      </c>
      <c r="J17" s="16">
        <v>44980</v>
      </c>
      <c r="K17" s="13">
        <v>10960</v>
      </c>
      <c r="L17" s="13">
        <v>6534</v>
      </c>
      <c r="M17" s="13">
        <v>5160</v>
      </c>
      <c r="N17" s="12">
        <v>11.02</v>
      </c>
      <c r="O17" s="12">
        <v>8341.33</v>
      </c>
      <c r="P17" s="12">
        <v>5408.5</v>
      </c>
      <c r="Q17" s="12">
        <v>5.86</v>
      </c>
    </row>
    <row r="18" spans="1:17" ht="12" customHeight="1" x14ac:dyDescent="0.2">
      <c r="A18" s="7" t="s">
        <v>29</v>
      </c>
      <c r="B18" s="12">
        <v>141.47999999999999</v>
      </c>
      <c r="C18" s="13">
        <v>305.7</v>
      </c>
      <c r="D18" s="13">
        <v>43255.9</v>
      </c>
      <c r="E18" s="13">
        <v>7120</v>
      </c>
      <c r="F18" s="14" t="s">
        <v>26</v>
      </c>
      <c r="G18" s="12">
        <v>588</v>
      </c>
      <c r="H18" s="13">
        <v>50963.9</v>
      </c>
      <c r="I18" s="12">
        <v>26.47</v>
      </c>
      <c r="J18" s="16">
        <v>45042</v>
      </c>
      <c r="K18" s="13">
        <v>11327</v>
      </c>
      <c r="L18" s="13">
        <v>5740</v>
      </c>
      <c r="M18" s="13">
        <v>3864</v>
      </c>
      <c r="N18" s="12">
        <v>6.56</v>
      </c>
      <c r="O18" s="12">
        <v>10942.76</v>
      </c>
      <c r="P18" s="12">
        <v>5650.9</v>
      </c>
      <c r="Q18" s="12">
        <v>6.09</v>
      </c>
    </row>
    <row r="19" spans="1:17" ht="12" customHeight="1" x14ac:dyDescent="0.2">
      <c r="A19" s="7" t="s">
        <v>30</v>
      </c>
      <c r="B19" s="12">
        <v>25.05</v>
      </c>
      <c r="C19" s="13">
        <v>233</v>
      </c>
      <c r="D19" s="13">
        <v>5836.5</v>
      </c>
      <c r="E19" s="13">
        <v>1624.6</v>
      </c>
      <c r="F19" s="14" t="s">
        <v>26</v>
      </c>
      <c r="G19" s="14" t="s">
        <v>26</v>
      </c>
      <c r="H19" s="13">
        <v>7461</v>
      </c>
      <c r="I19" s="12">
        <v>14.18</v>
      </c>
      <c r="J19" s="16">
        <v>45040</v>
      </c>
      <c r="K19" s="13">
        <v>6353</v>
      </c>
      <c r="L19" s="13">
        <v>3204.4</v>
      </c>
      <c r="M19" s="13">
        <v>2815.9</v>
      </c>
      <c r="N19" s="12">
        <v>8.49</v>
      </c>
      <c r="O19" s="12">
        <v>2982.02</v>
      </c>
      <c r="P19" s="12">
        <v>1355.06</v>
      </c>
      <c r="Q19" s="12">
        <v>2.66</v>
      </c>
    </row>
    <row r="20" spans="1:17" ht="12" customHeight="1" x14ac:dyDescent="0.2">
      <c r="A20" s="7" t="s">
        <v>31</v>
      </c>
      <c r="B20" s="12">
        <v>212.81</v>
      </c>
      <c r="C20" s="13">
        <v>233.7</v>
      </c>
      <c r="D20" s="13">
        <v>49741.3</v>
      </c>
      <c r="E20" s="13">
        <v>4987</v>
      </c>
      <c r="F20" s="14" t="s">
        <v>26</v>
      </c>
      <c r="G20" s="14" t="s">
        <v>26</v>
      </c>
      <c r="H20" s="13">
        <v>54728.3</v>
      </c>
      <c r="I20" s="12">
        <v>91.9</v>
      </c>
      <c r="J20" s="16">
        <v>45042</v>
      </c>
      <c r="K20" s="13">
        <v>22834</v>
      </c>
      <c r="L20" s="13">
        <v>11638</v>
      </c>
      <c r="M20" s="13">
        <v>9036</v>
      </c>
      <c r="N20" s="12">
        <v>28.32</v>
      </c>
      <c r="O20" s="12">
        <v>20406.25</v>
      </c>
      <c r="P20" s="12">
        <v>9959.99</v>
      </c>
      <c r="Q20" s="12">
        <v>22.21</v>
      </c>
    </row>
    <row r="21" spans="1:17" ht="12" customHeight="1" x14ac:dyDescent="0.2">
      <c r="A21" s="7" t="s">
        <v>32</v>
      </c>
      <c r="B21" s="12">
        <v>52.25</v>
      </c>
      <c r="C21" s="13">
        <v>643.79999999999995</v>
      </c>
      <c r="D21" s="13">
        <v>33640.800000000003</v>
      </c>
      <c r="E21" s="13">
        <v>5404</v>
      </c>
      <c r="F21" s="14" t="s">
        <v>26</v>
      </c>
      <c r="G21" s="12">
        <v>129</v>
      </c>
      <c r="H21" s="13">
        <v>39173.800000000003</v>
      </c>
      <c r="I21" s="12">
        <v>15.95</v>
      </c>
      <c r="J21" s="16">
        <v>44972</v>
      </c>
      <c r="K21" s="13">
        <v>18873</v>
      </c>
      <c r="L21" s="13">
        <v>10280</v>
      </c>
      <c r="M21" s="13">
        <v>8020</v>
      </c>
      <c r="N21" s="12">
        <v>9.1199999999999992</v>
      </c>
      <c r="O21" s="12">
        <v>16241.76</v>
      </c>
      <c r="P21" s="12">
        <v>8293.56</v>
      </c>
      <c r="Q21" s="12">
        <v>6.58</v>
      </c>
    </row>
    <row r="22" spans="1:17" ht="12" customHeight="1" x14ac:dyDescent="0.2">
      <c r="A22" s="7" t="s">
        <v>33</v>
      </c>
      <c r="B22" s="12">
        <v>33.54</v>
      </c>
      <c r="C22" s="13">
        <v>361.6</v>
      </c>
      <c r="D22" s="13">
        <v>12129.5</v>
      </c>
      <c r="E22" s="13">
        <v>4268.3</v>
      </c>
      <c r="F22" s="14" t="s">
        <v>26</v>
      </c>
      <c r="G22" s="14" t="s">
        <v>26</v>
      </c>
      <c r="H22" s="13">
        <v>16438.7</v>
      </c>
      <c r="I22" s="12">
        <v>30.58</v>
      </c>
      <c r="J22" s="16">
        <v>45042</v>
      </c>
      <c r="K22" s="13">
        <v>11333.9</v>
      </c>
      <c r="L22" s="13">
        <v>8128.9</v>
      </c>
      <c r="M22" s="13">
        <v>6440.9</v>
      </c>
      <c r="N22" s="12">
        <v>10.97</v>
      </c>
      <c r="O22" s="12">
        <v>6471.61</v>
      </c>
      <c r="P22" s="12">
        <v>3700.42</v>
      </c>
      <c r="Q22" s="12">
        <v>2.63</v>
      </c>
    </row>
    <row r="23" spans="1:17" ht="12" customHeight="1" x14ac:dyDescent="0.2">
      <c r="A23" s="7" t="s">
        <v>34</v>
      </c>
      <c r="B23" s="12">
        <v>5.03</v>
      </c>
      <c r="C23" s="13">
        <v>1101.0999999999999</v>
      </c>
      <c r="D23" s="13">
        <v>5538.7</v>
      </c>
      <c r="E23" s="13">
        <v>4103</v>
      </c>
      <c r="F23" s="14" t="s">
        <v>26</v>
      </c>
      <c r="G23" s="14" t="s">
        <v>26</v>
      </c>
      <c r="H23" s="13">
        <v>9641.7000000000007</v>
      </c>
      <c r="I23" s="12">
        <v>5.68</v>
      </c>
      <c r="J23" s="16">
        <v>45043</v>
      </c>
      <c r="K23" s="13">
        <v>14177</v>
      </c>
      <c r="L23" s="13">
        <v>7945</v>
      </c>
      <c r="M23" s="13">
        <v>6733</v>
      </c>
      <c r="N23" s="12">
        <v>5.82</v>
      </c>
      <c r="O23" s="12">
        <v>8712</v>
      </c>
      <c r="P23" s="14" t="s">
        <v>26</v>
      </c>
      <c r="Q23" s="12">
        <v>0.83</v>
      </c>
    </row>
    <row r="24" spans="1:17" ht="12" customHeight="1" x14ac:dyDescent="0.2">
      <c r="A24" s="7" t="s">
        <v>35</v>
      </c>
      <c r="B24" s="12">
        <v>21.83</v>
      </c>
      <c r="C24" s="13">
        <v>300.10000000000002</v>
      </c>
      <c r="D24" s="13">
        <v>6552</v>
      </c>
      <c r="E24" s="13">
        <v>4717.1000000000004</v>
      </c>
      <c r="F24" s="14" t="s">
        <v>26</v>
      </c>
      <c r="G24" s="12">
        <v>259.02999999999997</v>
      </c>
      <c r="H24" s="13">
        <v>11528.1</v>
      </c>
      <c r="I24" s="12">
        <v>23.09</v>
      </c>
      <c r="J24" s="16">
        <v>45042</v>
      </c>
      <c r="K24" s="13">
        <v>8202.2999999999993</v>
      </c>
      <c r="L24" s="13">
        <v>3988.9</v>
      </c>
      <c r="M24" s="13">
        <v>3163.2</v>
      </c>
      <c r="N24" s="12">
        <v>6.91</v>
      </c>
      <c r="O24" s="12">
        <v>5180.17</v>
      </c>
      <c r="P24" s="12">
        <v>1673.79</v>
      </c>
      <c r="Q24" s="12">
        <v>1.97</v>
      </c>
    </row>
    <row r="25" spans="1:17" x14ac:dyDescent="0.2">
      <c r="A25" s="7" t="s">
        <v>36</v>
      </c>
      <c r="B25" s="12">
        <v>138.06</v>
      </c>
      <c r="C25" s="13">
        <v>181.4</v>
      </c>
      <c r="D25" s="13">
        <v>25047.3</v>
      </c>
      <c r="E25" s="13">
        <v>6284</v>
      </c>
      <c r="F25" s="14" t="s">
        <v>26</v>
      </c>
      <c r="G25" s="12">
        <v>681</v>
      </c>
      <c r="H25" s="13">
        <v>32012.3</v>
      </c>
      <c r="I25" s="12">
        <v>83.46</v>
      </c>
      <c r="J25" s="16">
        <v>44980</v>
      </c>
      <c r="K25" s="13">
        <v>9083</v>
      </c>
      <c r="L25" s="13">
        <v>7338</v>
      </c>
      <c r="M25" s="13">
        <v>5994</v>
      </c>
      <c r="N25" s="12">
        <v>24.61</v>
      </c>
      <c r="O25" s="12">
        <v>8507.84</v>
      </c>
      <c r="P25" s="12">
        <v>6504.92</v>
      </c>
      <c r="Q25" s="12">
        <v>20.02</v>
      </c>
    </row>
    <row r="26" spans="1:17" x14ac:dyDescent="0.2">
      <c r="A26" s="8"/>
      <c r="B26" s="8"/>
      <c r="C26" s="8"/>
      <c r="D26" s="8"/>
      <c r="E26" s="8"/>
      <c r="F26" s="8"/>
      <c r="G26" s="8"/>
      <c r="H26" s="8"/>
      <c r="I26" s="8"/>
      <c r="J26" s="8"/>
      <c r="K26" s="8"/>
      <c r="L26" s="8"/>
      <c r="M26" s="8"/>
      <c r="N26" s="8"/>
      <c r="O26" s="8"/>
      <c r="P26" s="8"/>
      <c r="Q26" s="8"/>
    </row>
    <row r="27" spans="1:17" ht="12" customHeight="1" x14ac:dyDescent="0.2">
      <c r="A27" s="7" t="s">
        <v>37</v>
      </c>
      <c r="B27" s="11" t="s">
        <v>9</v>
      </c>
      <c r="C27" s="11" t="s">
        <v>10</v>
      </c>
      <c r="D27" s="11" t="s">
        <v>11</v>
      </c>
      <c r="E27" s="11" t="s">
        <v>12</v>
      </c>
      <c r="F27" s="11" t="s">
        <v>13</v>
      </c>
      <c r="G27" s="11" t="s">
        <v>14</v>
      </c>
      <c r="H27" s="11" t="s">
        <v>15</v>
      </c>
      <c r="I27" s="11" t="s">
        <v>16</v>
      </c>
      <c r="J27" s="15" t="s">
        <v>17</v>
      </c>
      <c r="K27" s="11" t="s">
        <v>18</v>
      </c>
      <c r="L27" s="11" t="s">
        <v>19</v>
      </c>
      <c r="M27" s="11" t="s">
        <v>20</v>
      </c>
      <c r="N27" s="11" t="s">
        <v>21</v>
      </c>
      <c r="O27" s="11" t="s">
        <v>22</v>
      </c>
      <c r="P27" s="11" t="s">
        <v>23</v>
      </c>
      <c r="Q27" s="11" t="s">
        <v>24</v>
      </c>
    </row>
    <row r="28" spans="1:17" x14ac:dyDescent="0.2">
      <c r="A28" s="7" t="s">
        <v>38</v>
      </c>
      <c r="B28" s="12">
        <v>212.81</v>
      </c>
      <c r="C28" s="13">
        <v>1101.0999999999999</v>
      </c>
      <c r="D28" s="13">
        <v>49741.3</v>
      </c>
      <c r="E28" s="13">
        <v>7120</v>
      </c>
      <c r="F28" s="12">
        <v>11</v>
      </c>
      <c r="G28" s="12">
        <v>922</v>
      </c>
      <c r="H28" s="13">
        <v>54728.3</v>
      </c>
      <c r="I28" s="12">
        <v>91.9</v>
      </c>
      <c r="J28" s="17" t="s">
        <v>26</v>
      </c>
      <c r="K28" s="13">
        <v>22834</v>
      </c>
      <c r="L28" s="13">
        <v>11638</v>
      </c>
      <c r="M28" s="13">
        <v>9036</v>
      </c>
      <c r="N28" s="12">
        <v>28.32</v>
      </c>
      <c r="O28" s="12">
        <v>20406.25</v>
      </c>
      <c r="P28" s="12">
        <v>9959.99</v>
      </c>
      <c r="Q28" s="12">
        <v>22.21</v>
      </c>
    </row>
    <row r="29" spans="1:17" x14ac:dyDescent="0.2">
      <c r="A29" s="7" t="s">
        <v>39</v>
      </c>
      <c r="B29" s="12">
        <v>5.03</v>
      </c>
      <c r="C29" s="13">
        <v>233</v>
      </c>
      <c r="D29" s="13">
        <v>5538.7</v>
      </c>
      <c r="E29" s="13">
        <v>1624.6</v>
      </c>
      <c r="F29" s="12">
        <v>11</v>
      </c>
      <c r="G29" s="12">
        <v>129</v>
      </c>
      <c r="H29" s="13">
        <v>7461</v>
      </c>
      <c r="I29" s="12">
        <v>1.36</v>
      </c>
      <c r="J29" s="17" t="s">
        <v>26</v>
      </c>
      <c r="K29" s="13">
        <v>6353</v>
      </c>
      <c r="L29" s="13">
        <v>3204.4</v>
      </c>
      <c r="M29" s="13">
        <v>2815.9</v>
      </c>
      <c r="N29" s="12">
        <v>5.08</v>
      </c>
      <c r="O29" s="12">
        <v>2982.02</v>
      </c>
      <c r="P29" s="12">
        <v>1355.06</v>
      </c>
      <c r="Q29" s="12">
        <v>0.83</v>
      </c>
    </row>
    <row r="30" spans="1:17" x14ac:dyDescent="0.2">
      <c r="A30" s="7" t="s">
        <v>40</v>
      </c>
      <c r="B30" s="12">
        <v>57.63</v>
      </c>
      <c r="C30" s="13">
        <v>487.9</v>
      </c>
      <c r="D30" s="13">
        <v>20167.2</v>
      </c>
      <c r="E30" s="13">
        <v>4538.8</v>
      </c>
      <c r="F30" s="12">
        <v>11</v>
      </c>
      <c r="G30" s="12">
        <v>474.51</v>
      </c>
      <c r="H30" s="13">
        <v>24901</v>
      </c>
      <c r="I30" s="12">
        <v>24.37</v>
      </c>
      <c r="J30" s="17" t="s">
        <v>26</v>
      </c>
      <c r="K30" s="13">
        <v>12068.6</v>
      </c>
      <c r="L30" s="13">
        <v>6959</v>
      </c>
      <c r="M30" s="13">
        <v>5391.1</v>
      </c>
      <c r="N30" s="12">
        <v>9.76</v>
      </c>
      <c r="O30" s="12">
        <v>9221.5</v>
      </c>
      <c r="P30" s="12">
        <v>4987.47</v>
      </c>
      <c r="Q30" s="12">
        <v>5.41</v>
      </c>
    </row>
    <row r="31" spans="1:17" x14ac:dyDescent="0.2">
      <c r="A31" s="7" t="s">
        <v>41</v>
      </c>
      <c r="B31" s="12">
        <v>29.35</v>
      </c>
      <c r="C31" s="13">
        <v>336.3</v>
      </c>
      <c r="D31" s="13">
        <v>13377.3</v>
      </c>
      <c r="E31" s="13">
        <v>4852.1000000000004</v>
      </c>
      <c r="F31" s="12">
        <v>11</v>
      </c>
      <c r="G31" s="12">
        <v>423.51</v>
      </c>
      <c r="H31" s="13">
        <v>18938.5</v>
      </c>
      <c r="I31" s="12">
        <v>17.239999999999998</v>
      </c>
      <c r="J31" s="17" t="s">
        <v>26</v>
      </c>
      <c r="K31" s="13">
        <v>11143.5</v>
      </c>
      <c r="L31" s="13">
        <v>6724</v>
      </c>
      <c r="M31" s="13">
        <v>5219.5</v>
      </c>
      <c r="N31" s="12">
        <v>7.7</v>
      </c>
      <c r="O31" s="12">
        <v>7638.54</v>
      </c>
      <c r="P31" s="12">
        <v>4601.8</v>
      </c>
      <c r="Q31" s="12">
        <v>2.78</v>
      </c>
    </row>
    <row r="32" spans="1:17" x14ac:dyDescent="0.2">
      <c r="A32" s="10"/>
      <c r="B32" s="10"/>
      <c r="C32" s="10"/>
      <c r="D32" s="10"/>
      <c r="E32" s="10"/>
      <c r="F32" s="10"/>
      <c r="G32" s="10"/>
      <c r="H32" s="10"/>
      <c r="I32" s="10"/>
      <c r="J32" s="10"/>
      <c r="K32" s="10"/>
      <c r="L32" s="10"/>
      <c r="M32" s="10"/>
      <c r="N32" s="10"/>
      <c r="O32" s="10"/>
      <c r="P32" s="10"/>
      <c r="Q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4BB85-7F5E-4CAF-9599-99A94362EFB3}">
  <sheetPr codeName="Sheet4">
    <outlinePr summaryBelow="0" summaryRight="0"/>
  </sheetPr>
  <dimension ref="A4:IU50"/>
  <sheetViews>
    <sheetView defaultGridColor="0" colorId="0" workbookViewId="0"/>
  </sheetViews>
  <sheetFormatPr defaultRowHeight="10.199999999999999" x14ac:dyDescent="0.2"/>
  <cols>
    <col min="1" max="1" width="47.88671875" customWidth="1"/>
    <col min="2" max="9" width="20.88671875" customWidth="1"/>
  </cols>
  <sheetData>
    <row r="4" spans="1:255" ht="16.2" x14ac:dyDescent="0.25">
      <c r="A4" s="1" t="s">
        <v>46</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47</v>
      </c>
      <c r="B8" s="4" t="s">
        <v>3</v>
      </c>
    </row>
    <row r="9" spans="1:255" x14ac:dyDescent="0.2">
      <c r="A9" s="3" t="s">
        <v>48</v>
      </c>
      <c r="B9" s="4" t="s">
        <v>5</v>
      </c>
    </row>
    <row r="10" spans="1:255" x14ac:dyDescent="0.2">
      <c r="A10" s="3" t="s">
        <v>49</v>
      </c>
      <c r="B10" s="5">
        <v>45044</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50</v>
      </c>
      <c r="C14" s="11" t="s">
        <v>51</v>
      </c>
      <c r="D14" s="11" t="s">
        <v>52</v>
      </c>
      <c r="E14" s="11" t="s">
        <v>53</v>
      </c>
      <c r="F14" s="11" t="s">
        <v>54</v>
      </c>
      <c r="G14" s="11" t="s">
        <v>55</v>
      </c>
      <c r="H14" s="11" t="s">
        <v>56</v>
      </c>
      <c r="I14" s="11" t="s">
        <v>57</v>
      </c>
    </row>
    <row r="15" spans="1:255" ht="12" customHeight="1" x14ac:dyDescent="0.2">
      <c r="A15" s="7" t="s">
        <v>25</v>
      </c>
      <c r="B15" s="14" t="s">
        <v>26</v>
      </c>
      <c r="C15" s="14" t="s">
        <v>26</v>
      </c>
      <c r="D15" s="14" t="s">
        <v>26</v>
      </c>
      <c r="E15" s="14" t="s">
        <v>26</v>
      </c>
      <c r="F15" s="14" t="s">
        <v>26</v>
      </c>
      <c r="G15" s="19">
        <v>3.53</v>
      </c>
      <c r="H15" s="19">
        <v>5</v>
      </c>
      <c r="I15" s="19">
        <v>10.5</v>
      </c>
    </row>
    <row r="16" spans="1:255" ht="12" customHeight="1" x14ac:dyDescent="0.2">
      <c r="A16" s="7" t="s">
        <v>27</v>
      </c>
      <c r="B16" s="14" t="s">
        <v>26</v>
      </c>
      <c r="C16" s="14" t="s">
        <v>26</v>
      </c>
      <c r="D16" s="14" t="s">
        <v>26</v>
      </c>
      <c r="E16" s="14" t="s">
        <v>26</v>
      </c>
      <c r="F16" s="14" t="s">
        <v>26</v>
      </c>
      <c r="G16" s="19">
        <v>2.93</v>
      </c>
      <c r="H16" s="19">
        <v>4.42</v>
      </c>
      <c r="I16" s="19">
        <v>8.06</v>
      </c>
    </row>
    <row r="17" spans="1:9" ht="12" customHeight="1" x14ac:dyDescent="0.2">
      <c r="A17" s="7" t="s">
        <v>28</v>
      </c>
      <c r="B17" s="14" t="s">
        <v>26</v>
      </c>
      <c r="C17" s="14" t="s">
        <v>26</v>
      </c>
      <c r="D17" s="14" t="s">
        <v>26</v>
      </c>
      <c r="E17" s="14" t="s">
        <v>26</v>
      </c>
      <c r="F17" s="14" t="s">
        <v>26</v>
      </c>
      <c r="G17" s="19">
        <v>2.1</v>
      </c>
      <c r="H17" s="19">
        <v>3.24</v>
      </c>
      <c r="I17" s="19">
        <v>6.08</v>
      </c>
    </row>
    <row r="18" spans="1:9" ht="12" customHeight="1" x14ac:dyDescent="0.2">
      <c r="A18" s="7" t="s">
        <v>29</v>
      </c>
      <c r="B18" s="14" t="s">
        <v>26</v>
      </c>
      <c r="C18" s="14" t="s">
        <v>26</v>
      </c>
      <c r="D18" s="14" t="s">
        <v>26</v>
      </c>
      <c r="E18" s="14" t="s">
        <v>26</v>
      </c>
      <c r="F18" s="14" t="s">
        <v>26</v>
      </c>
      <c r="G18" s="19">
        <v>4.66</v>
      </c>
      <c r="H18" s="19">
        <v>9.02</v>
      </c>
      <c r="I18" s="19">
        <v>23.24</v>
      </c>
    </row>
    <row r="19" spans="1:9" ht="12" customHeight="1" x14ac:dyDescent="0.2">
      <c r="A19" s="7" t="s">
        <v>30</v>
      </c>
      <c r="B19" s="14" t="s">
        <v>26</v>
      </c>
      <c r="C19" s="14" t="s">
        <v>26</v>
      </c>
      <c r="D19" s="14" t="s">
        <v>26</v>
      </c>
      <c r="E19" s="14" t="s">
        <v>26</v>
      </c>
      <c r="F19" s="14" t="s">
        <v>26</v>
      </c>
      <c r="G19" s="19">
        <v>2.5</v>
      </c>
      <c r="H19" s="19">
        <v>5.51</v>
      </c>
      <c r="I19" s="19">
        <v>9.43</v>
      </c>
    </row>
    <row r="20" spans="1:9" ht="12" customHeight="1" x14ac:dyDescent="0.2">
      <c r="A20" s="7" t="s">
        <v>31</v>
      </c>
      <c r="B20" s="14" t="s">
        <v>26</v>
      </c>
      <c r="C20" s="14" t="s">
        <v>26</v>
      </c>
      <c r="D20" s="14" t="s">
        <v>26</v>
      </c>
      <c r="E20" s="14" t="s">
        <v>26</v>
      </c>
      <c r="F20" s="14" t="s">
        <v>26</v>
      </c>
      <c r="G20" s="19">
        <v>2.68</v>
      </c>
      <c r="H20" s="19">
        <v>5.49</v>
      </c>
      <c r="I20" s="19">
        <v>9.58</v>
      </c>
    </row>
    <row r="21" spans="1:9" ht="12" customHeight="1" x14ac:dyDescent="0.2">
      <c r="A21" s="7" t="s">
        <v>32</v>
      </c>
      <c r="B21" s="14" t="s">
        <v>26</v>
      </c>
      <c r="C21" s="14" t="s">
        <v>26</v>
      </c>
      <c r="D21" s="14" t="s">
        <v>26</v>
      </c>
      <c r="E21" s="14" t="s">
        <v>26</v>
      </c>
      <c r="F21" s="14" t="s">
        <v>26</v>
      </c>
      <c r="G21" s="19">
        <v>2.41</v>
      </c>
      <c r="H21" s="19">
        <v>4.72</v>
      </c>
      <c r="I21" s="19">
        <v>7.94</v>
      </c>
    </row>
    <row r="22" spans="1:9" ht="12" customHeight="1" x14ac:dyDescent="0.2">
      <c r="A22" s="7" t="s">
        <v>33</v>
      </c>
      <c r="B22" s="14" t="s">
        <v>26</v>
      </c>
      <c r="C22" s="14" t="s">
        <v>26</v>
      </c>
      <c r="D22" s="14" t="s">
        <v>26</v>
      </c>
      <c r="E22" s="14" t="s">
        <v>26</v>
      </c>
      <c r="F22" s="14" t="s">
        <v>26</v>
      </c>
      <c r="G22" s="19">
        <v>2.54</v>
      </c>
      <c r="H22" s="19">
        <v>4.4400000000000004</v>
      </c>
      <c r="I22" s="19">
        <v>12.78</v>
      </c>
    </row>
    <row r="23" spans="1:9" ht="12" customHeight="1" x14ac:dyDescent="0.2">
      <c r="A23" s="7" t="s">
        <v>34</v>
      </c>
      <c r="B23" s="14" t="s">
        <v>26</v>
      </c>
      <c r="C23" s="14" t="s">
        <v>26</v>
      </c>
      <c r="D23" s="14" t="s">
        <v>26</v>
      </c>
      <c r="E23" s="14" t="s">
        <v>26</v>
      </c>
      <c r="F23" s="14" t="s">
        <v>26</v>
      </c>
      <c r="G23" s="19">
        <v>1.1100000000000001</v>
      </c>
      <c r="H23" s="14" t="s">
        <v>26</v>
      </c>
      <c r="I23" s="19">
        <v>6.07</v>
      </c>
    </row>
    <row r="24" spans="1:9" ht="12" customHeight="1" x14ac:dyDescent="0.2">
      <c r="A24" s="7" t="s">
        <v>35</v>
      </c>
      <c r="B24" s="14" t="s">
        <v>26</v>
      </c>
      <c r="C24" s="14" t="s">
        <v>26</v>
      </c>
      <c r="D24" s="14" t="s">
        <v>26</v>
      </c>
      <c r="E24" s="14" t="s">
        <v>26</v>
      </c>
      <c r="F24" s="14" t="s">
        <v>26</v>
      </c>
      <c r="G24" s="19">
        <v>2.23</v>
      </c>
      <c r="H24" s="19">
        <v>6.89</v>
      </c>
      <c r="I24" s="19">
        <v>11.11</v>
      </c>
    </row>
    <row r="25" spans="1:9" x14ac:dyDescent="0.2">
      <c r="A25" s="7" t="s">
        <v>36</v>
      </c>
      <c r="B25" s="14" t="s">
        <v>26</v>
      </c>
      <c r="C25" s="14" t="s">
        <v>26</v>
      </c>
      <c r="D25" s="14" t="s">
        <v>26</v>
      </c>
      <c r="E25" s="14" t="s">
        <v>26</v>
      </c>
      <c r="F25" s="14" t="s">
        <v>26</v>
      </c>
      <c r="G25" s="19">
        <v>3.76</v>
      </c>
      <c r="H25" s="19">
        <v>4.92</v>
      </c>
      <c r="I25" s="19">
        <v>6.9</v>
      </c>
    </row>
    <row r="26" spans="1:9" x14ac:dyDescent="0.2">
      <c r="A26" s="8"/>
      <c r="B26" s="8"/>
      <c r="C26" s="8"/>
      <c r="D26" s="8"/>
      <c r="E26" s="8"/>
      <c r="F26" s="8"/>
      <c r="G26" s="8"/>
      <c r="H26" s="8"/>
      <c r="I26" s="8"/>
    </row>
    <row r="27" spans="1:9" ht="12" customHeight="1" x14ac:dyDescent="0.2">
      <c r="A27" s="7" t="s">
        <v>37</v>
      </c>
      <c r="B27" s="11" t="s">
        <v>50</v>
      </c>
      <c r="C27" s="11" t="s">
        <v>51</v>
      </c>
      <c r="D27" s="11" t="s">
        <v>52</v>
      </c>
      <c r="E27" s="11" t="s">
        <v>53</v>
      </c>
      <c r="F27" s="11" t="s">
        <v>54</v>
      </c>
      <c r="G27" s="11" t="s">
        <v>55</v>
      </c>
      <c r="H27" s="11" t="s">
        <v>56</v>
      </c>
      <c r="I27" s="11" t="s">
        <v>57</v>
      </c>
    </row>
    <row r="28" spans="1:9" x14ac:dyDescent="0.2">
      <c r="A28" s="7" t="s">
        <v>38</v>
      </c>
      <c r="B28" s="14" t="s">
        <v>26</v>
      </c>
      <c r="C28" s="14" t="s">
        <v>26</v>
      </c>
      <c r="D28" s="14" t="s">
        <v>26</v>
      </c>
      <c r="E28" s="14" t="s">
        <v>26</v>
      </c>
      <c r="F28" s="14" t="s">
        <v>26</v>
      </c>
      <c r="G28" s="19">
        <v>4.66</v>
      </c>
      <c r="H28" s="19">
        <v>9.02</v>
      </c>
      <c r="I28" s="19">
        <v>23.24</v>
      </c>
    </row>
    <row r="29" spans="1:9" x14ac:dyDescent="0.2">
      <c r="A29" s="7" t="s">
        <v>39</v>
      </c>
      <c r="B29" s="14" t="s">
        <v>26</v>
      </c>
      <c r="C29" s="14" t="s">
        <v>26</v>
      </c>
      <c r="D29" s="14" t="s">
        <v>26</v>
      </c>
      <c r="E29" s="14" t="s">
        <v>26</v>
      </c>
      <c r="F29" s="14" t="s">
        <v>26</v>
      </c>
      <c r="G29" s="19">
        <v>1.1100000000000001</v>
      </c>
      <c r="H29" s="19">
        <v>3.24</v>
      </c>
      <c r="I29" s="19">
        <v>6.07</v>
      </c>
    </row>
    <row r="30" spans="1:9" x14ac:dyDescent="0.2">
      <c r="A30" s="7" t="s">
        <v>40</v>
      </c>
      <c r="B30" s="14" t="s">
        <v>26</v>
      </c>
      <c r="C30" s="14" t="s">
        <v>26</v>
      </c>
      <c r="D30" s="14" t="s">
        <v>26</v>
      </c>
      <c r="E30" s="14" t="s">
        <v>26</v>
      </c>
      <c r="F30" s="14" t="s">
        <v>26</v>
      </c>
      <c r="G30" s="19">
        <v>2.67</v>
      </c>
      <c r="H30" s="19">
        <v>5.41</v>
      </c>
      <c r="I30" s="19">
        <v>10.48</v>
      </c>
    </row>
    <row r="31" spans="1:9" x14ac:dyDescent="0.2">
      <c r="A31" s="7" t="s">
        <v>41</v>
      </c>
      <c r="B31" s="14" t="s">
        <v>26</v>
      </c>
      <c r="C31" s="14" t="s">
        <v>26</v>
      </c>
      <c r="D31" s="14" t="s">
        <v>26</v>
      </c>
      <c r="E31" s="14" t="s">
        <v>26</v>
      </c>
      <c r="F31" s="14" t="s">
        <v>26</v>
      </c>
      <c r="G31" s="19">
        <v>2.52</v>
      </c>
      <c r="H31" s="19">
        <v>5</v>
      </c>
      <c r="I31" s="19">
        <v>9.5</v>
      </c>
    </row>
    <row r="32" spans="1:9" x14ac:dyDescent="0.2">
      <c r="A32" s="10"/>
      <c r="B32" s="10"/>
      <c r="C32" s="10"/>
      <c r="D32" s="10"/>
      <c r="E32" s="10"/>
      <c r="F32" s="10"/>
      <c r="G32" s="10"/>
      <c r="H32" s="10"/>
      <c r="I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D54D8-BF1B-41FD-BB87-D0B77E253B4A}">
  <sheetPr codeName="Sheet5">
    <outlinePr summaryBelow="0" summaryRight="0"/>
  </sheetPr>
  <dimension ref="A4:IU50"/>
  <sheetViews>
    <sheetView defaultGridColor="0" colorId="0" workbookViewId="0"/>
  </sheetViews>
  <sheetFormatPr defaultRowHeight="10.199999999999999" x14ac:dyDescent="0.2"/>
  <cols>
    <col min="1" max="1" width="47.88671875" customWidth="1"/>
    <col min="2" max="13" width="20.88671875" customWidth="1"/>
  </cols>
  <sheetData>
    <row r="4" spans="1:255" ht="16.2" x14ac:dyDescent="0.25">
      <c r="A4" s="1" t="s">
        <v>58</v>
      </c>
    </row>
    <row r="7" spans="1:255" x14ac:dyDescent="0.2">
      <c r="A7" s="2" t="s">
        <v>1</v>
      </c>
      <c r="B7" s="2"/>
      <c r="C7" s="2"/>
      <c r="D7" s="2"/>
      <c r="E7" s="2"/>
      <c r="F7" s="2"/>
      <c r="G7" s="2"/>
      <c r="H7" s="2"/>
      <c r="I7" s="2"/>
      <c r="J7" s="2"/>
      <c r="K7" s="2"/>
      <c r="L7" s="2"/>
      <c r="M7" s="2"/>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59</v>
      </c>
      <c r="B8" s="4" t="s">
        <v>3</v>
      </c>
    </row>
    <row r="9" spans="1:255" x14ac:dyDescent="0.2">
      <c r="A9" s="3" t="s">
        <v>60</v>
      </c>
      <c r="B9" s="4" t="s">
        <v>5</v>
      </c>
    </row>
    <row r="10" spans="1:255" x14ac:dyDescent="0.2">
      <c r="A10" s="3" t="s">
        <v>61</v>
      </c>
      <c r="B10" s="5">
        <v>45044</v>
      </c>
    </row>
    <row r="11" spans="1:255" x14ac:dyDescent="0.2">
      <c r="A11" s="6"/>
    </row>
    <row r="13" spans="1:255" x14ac:dyDescent="0.2">
      <c r="A13" s="2" t="s">
        <v>7</v>
      </c>
      <c r="B13" s="2"/>
      <c r="C13" s="2"/>
      <c r="D13" s="2"/>
      <c r="E13" s="2"/>
      <c r="F13" s="2"/>
      <c r="G13" s="2"/>
      <c r="H13" s="2"/>
      <c r="I13" s="2"/>
      <c r="J13" s="2"/>
      <c r="K13" s="2"/>
      <c r="L13" s="2"/>
      <c r="M13" s="2"/>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62</v>
      </c>
      <c r="C14" s="11" t="s">
        <v>63</v>
      </c>
      <c r="D14" s="11" t="s">
        <v>64</v>
      </c>
      <c r="E14" s="11" t="s">
        <v>65</v>
      </c>
      <c r="F14" s="11" t="s">
        <v>66</v>
      </c>
      <c r="G14" s="11" t="s">
        <v>67</v>
      </c>
      <c r="H14" s="11" t="s">
        <v>68</v>
      </c>
      <c r="I14" s="11" t="s">
        <v>69</v>
      </c>
      <c r="J14" s="11" t="s">
        <v>70</v>
      </c>
      <c r="K14" s="11" t="s">
        <v>71</v>
      </c>
      <c r="L14" s="11" t="s">
        <v>72</v>
      </c>
      <c r="M14" s="11" t="s">
        <v>73</v>
      </c>
    </row>
    <row r="15" spans="1:255" ht="12" customHeight="1" x14ac:dyDescent="0.2">
      <c r="A15" s="7" t="s">
        <v>25</v>
      </c>
      <c r="B15" s="20">
        <v>0.84399999999999997</v>
      </c>
      <c r="C15" s="20">
        <v>0.76400000000000001</v>
      </c>
      <c r="D15" s="20">
        <v>0.58299999999999996</v>
      </c>
      <c r="E15" s="21">
        <v>0.4491</v>
      </c>
      <c r="F15" s="21">
        <v>1.6242000000000001</v>
      </c>
      <c r="G15" s="21">
        <v>1.9235</v>
      </c>
      <c r="H15" s="21">
        <v>2.1573000000000002</v>
      </c>
      <c r="I15" s="21">
        <v>2.5104000000000002</v>
      </c>
      <c r="J15" s="21">
        <v>0.17019999999999999</v>
      </c>
      <c r="K15" s="22">
        <v>0.4</v>
      </c>
      <c r="L15" s="21">
        <v>0.5504</v>
      </c>
      <c r="M15" s="12">
        <v>0.23</v>
      </c>
    </row>
    <row r="16" spans="1:255" ht="12" customHeight="1" x14ac:dyDescent="0.2">
      <c r="A16" s="7" t="s">
        <v>27</v>
      </c>
      <c r="B16" s="20">
        <v>0.81200000000000006</v>
      </c>
      <c r="C16" s="20">
        <v>0.68899999999999995</v>
      </c>
      <c r="D16" s="20">
        <v>0.44900000000000001</v>
      </c>
      <c r="E16" s="21">
        <v>0.4768</v>
      </c>
      <c r="F16" s="21">
        <v>0.3488</v>
      </c>
      <c r="G16" s="21">
        <v>0.5766</v>
      </c>
      <c r="H16" s="21">
        <v>1.9531000000000001</v>
      </c>
      <c r="I16" s="21">
        <v>2.8182</v>
      </c>
      <c r="J16" s="21">
        <v>0.34760000000000002</v>
      </c>
      <c r="K16" s="22">
        <v>1.1000000000000001</v>
      </c>
      <c r="L16" s="21">
        <v>0.04</v>
      </c>
      <c r="M16" s="12">
        <v>2.4</v>
      </c>
    </row>
    <row r="17" spans="1:13" ht="12" customHeight="1" x14ac:dyDescent="0.2">
      <c r="A17" s="7" t="s">
        <v>28</v>
      </c>
      <c r="B17" s="20">
        <v>0.69699999999999995</v>
      </c>
      <c r="C17" s="20">
        <v>0.59599999999999997</v>
      </c>
      <c r="D17" s="20">
        <v>0.47099999999999997</v>
      </c>
      <c r="E17" s="21">
        <v>0.3352</v>
      </c>
      <c r="F17" s="21">
        <v>0.36570000000000003</v>
      </c>
      <c r="G17" s="21">
        <v>0.48909999999999998</v>
      </c>
      <c r="H17" s="21">
        <v>0.78920000000000001</v>
      </c>
      <c r="I17" s="21">
        <v>2.7759999999999998</v>
      </c>
      <c r="J17" s="21">
        <v>0.8105</v>
      </c>
      <c r="K17" s="22">
        <v>0.9</v>
      </c>
      <c r="L17" s="21">
        <v>-0.03</v>
      </c>
      <c r="M17" s="12">
        <v>3.53</v>
      </c>
    </row>
    <row r="18" spans="1:13" ht="12" customHeight="1" x14ac:dyDescent="0.2">
      <c r="A18" s="7" t="s">
        <v>29</v>
      </c>
      <c r="B18" s="20">
        <v>0.71299999999999997</v>
      </c>
      <c r="C18" s="20">
        <v>0.50700000000000001</v>
      </c>
      <c r="D18" s="20">
        <v>0.34100000000000003</v>
      </c>
      <c r="E18" s="21">
        <v>0.17879999999999999</v>
      </c>
      <c r="F18" s="21">
        <v>0.47260000000000002</v>
      </c>
      <c r="G18" s="21">
        <v>0.5696</v>
      </c>
      <c r="H18" s="21">
        <v>0.78390000000000004</v>
      </c>
      <c r="I18" s="21">
        <v>1.7969999999999999</v>
      </c>
      <c r="J18" s="21">
        <v>0.51390000000000002</v>
      </c>
      <c r="K18" s="22">
        <v>1.5</v>
      </c>
      <c r="L18" s="21">
        <v>7.0000000000000007E-2</v>
      </c>
      <c r="M18" s="12">
        <v>1.58</v>
      </c>
    </row>
    <row r="19" spans="1:13" ht="12" customHeight="1" x14ac:dyDescent="0.2">
      <c r="A19" s="7" t="s">
        <v>30</v>
      </c>
      <c r="B19" s="20">
        <v>0.72899999999999998</v>
      </c>
      <c r="C19" s="20">
        <v>0.504</v>
      </c>
      <c r="D19" s="20">
        <v>0.443</v>
      </c>
      <c r="E19" s="21">
        <v>0.33400000000000002</v>
      </c>
      <c r="F19" s="21">
        <v>1.0699000000000001</v>
      </c>
      <c r="G19" s="21">
        <v>6.4633000000000003</v>
      </c>
      <c r="H19" s="21">
        <v>44.853099999999998</v>
      </c>
      <c r="I19" s="14" t="s">
        <v>26</v>
      </c>
      <c r="J19" s="21">
        <v>0.35909999999999997</v>
      </c>
      <c r="K19" s="22">
        <v>0.6</v>
      </c>
      <c r="L19" s="14" t="s">
        <v>26</v>
      </c>
      <c r="M19" s="12">
        <v>2.14</v>
      </c>
    </row>
    <row r="20" spans="1:13" ht="12" customHeight="1" x14ac:dyDescent="0.2">
      <c r="A20" s="7" t="s">
        <v>31</v>
      </c>
      <c r="B20" s="20">
        <v>0.54100000000000004</v>
      </c>
      <c r="C20" s="20">
        <v>0.51</v>
      </c>
      <c r="D20" s="20">
        <v>0.39600000000000002</v>
      </c>
      <c r="E20" s="21">
        <v>0.30909999999999999</v>
      </c>
      <c r="F20" s="21">
        <v>8.9800000000000005E-2</v>
      </c>
      <c r="G20" s="21">
        <v>0.26690000000000003</v>
      </c>
      <c r="H20" s="21">
        <v>0.38329999999999997</v>
      </c>
      <c r="I20" s="21">
        <v>0.68169999999999997</v>
      </c>
      <c r="J20" s="21">
        <v>0.2238</v>
      </c>
      <c r="K20" s="22">
        <v>0.5</v>
      </c>
      <c r="L20" s="21">
        <v>6.7000000000000002E-3</v>
      </c>
      <c r="M20" s="12">
        <v>1.45</v>
      </c>
    </row>
    <row r="21" spans="1:13" ht="12" customHeight="1" x14ac:dyDescent="0.2">
      <c r="A21" s="7" t="s">
        <v>32</v>
      </c>
      <c r="B21" s="20">
        <v>0.6</v>
      </c>
      <c r="C21" s="20">
        <v>0.54500000000000004</v>
      </c>
      <c r="D21" s="20">
        <v>0.42499999999999999</v>
      </c>
      <c r="E21" s="21">
        <v>0.31869999999999998</v>
      </c>
      <c r="F21" s="21">
        <v>0.43880000000000002</v>
      </c>
      <c r="G21" s="21">
        <v>0.86670000000000003</v>
      </c>
      <c r="H21" s="21">
        <v>1.4177999999999999</v>
      </c>
      <c r="I21" s="21">
        <v>1.1383000000000001</v>
      </c>
      <c r="J21" s="21">
        <v>0.37290000000000001</v>
      </c>
      <c r="K21" s="22">
        <v>0.7</v>
      </c>
      <c r="L21" s="21">
        <v>0.05</v>
      </c>
      <c r="M21" s="12">
        <v>2.36</v>
      </c>
    </row>
    <row r="22" spans="1:13" ht="12" customHeight="1" x14ac:dyDescent="0.2">
      <c r="A22" s="7" t="s">
        <v>33</v>
      </c>
      <c r="B22" s="20">
        <v>0.80200000000000005</v>
      </c>
      <c r="C22" s="20">
        <v>0.71699999999999997</v>
      </c>
      <c r="D22" s="20">
        <v>0.56799999999999995</v>
      </c>
      <c r="E22" s="21">
        <v>0.39750000000000002</v>
      </c>
      <c r="F22" s="21">
        <v>0.40100000000000002</v>
      </c>
      <c r="G22" s="14" t="s">
        <v>26</v>
      </c>
      <c r="H22" s="14" t="s">
        <v>26</v>
      </c>
      <c r="I22" s="14" t="s">
        <v>26</v>
      </c>
      <c r="J22" s="21">
        <v>0.33810000000000001</v>
      </c>
      <c r="K22" s="22">
        <v>0.7</v>
      </c>
      <c r="L22" s="21">
        <v>0.11</v>
      </c>
      <c r="M22" s="12">
        <v>1.1499999999999999</v>
      </c>
    </row>
    <row r="23" spans="1:13" ht="12" customHeight="1" x14ac:dyDescent="0.2">
      <c r="A23" s="7" t="s">
        <v>34</v>
      </c>
      <c r="B23" s="20">
        <v>0.58699999999999997</v>
      </c>
      <c r="C23" s="20">
        <v>0.56000000000000005</v>
      </c>
      <c r="D23" s="20">
        <v>0.47499999999999998</v>
      </c>
      <c r="E23" s="21">
        <v>0.45590000000000003</v>
      </c>
      <c r="F23" s="21">
        <v>0.66049999999999998</v>
      </c>
      <c r="G23" s="14" t="s">
        <v>26</v>
      </c>
      <c r="H23" s="14" t="s">
        <v>26</v>
      </c>
      <c r="I23" s="14" t="s">
        <v>26</v>
      </c>
      <c r="J23" s="21">
        <v>0.39629999999999999</v>
      </c>
      <c r="K23" s="22">
        <v>0.5</v>
      </c>
      <c r="L23" s="21">
        <v>-0.1474</v>
      </c>
      <c r="M23" s="12">
        <v>1.31</v>
      </c>
    </row>
    <row r="24" spans="1:13" ht="12" customHeight="1" x14ac:dyDescent="0.2">
      <c r="A24" s="7" t="s">
        <v>35</v>
      </c>
      <c r="B24" s="20">
        <v>0.747</v>
      </c>
      <c r="C24" s="20">
        <v>0.48599999999999999</v>
      </c>
      <c r="D24" s="20">
        <v>0.38600000000000001</v>
      </c>
      <c r="E24" s="21">
        <v>0.27660000000000001</v>
      </c>
      <c r="F24" s="21">
        <v>0.18379999999999999</v>
      </c>
      <c r="G24" s="21">
        <v>6.5366999999999997</v>
      </c>
      <c r="H24" s="14" t="s">
        <v>26</v>
      </c>
      <c r="I24" s="14" t="s">
        <v>26</v>
      </c>
      <c r="J24" s="21">
        <v>0.39679999999999999</v>
      </c>
      <c r="K24" s="22">
        <v>0.8</v>
      </c>
      <c r="L24" s="14" t="s">
        <v>26</v>
      </c>
      <c r="M24" s="12">
        <v>3.48</v>
      </c>
    </row>
    <row r="25" spans="1:13" x14ac:dyDescent="0.2">
      <c r="A25" s="7" t="s">
        <v>36</v>
      </c>
      <c r="B25" s="20">
        <v>0.9</v>
      </c>
      <c r="C25" s="20">
        <v>0.80800000000000005</v>
      </c>
      <c r="D25" s="20">
        <v>0.66</v>
      </c>
      <c r="E25" s="21">
        <v>0.4829</v>
      </c>
      <c r="F25" s="21">
        <v>0.41970000000000002</v>
      </c>
      <c r="G25" s="21">
        <v>0.67689999999999995</v>
      </c>
      <c r="H25" s="21">
        <v>0.93289999999999995</v>
      </c>
      <c r="I25" s="21">
        <v>1.0101</v>
      </c>
      <c r="J25" s="21">
        <v>0.29099999999999998</v>
      </c>
      <c r="K25" s="22">
        <v>0.9</v>
      </c>
      <c r="L25" s="21">
        <v>-4.4999999999999998E-2</v>
      </c>
      <c r="M25" s="12">
        <v>2.0299999999999998</v>
      </c>
    </row>
    <row r="26" spans="1:13" x14ac:dyDescent="0.2">
      <c r="A26" s="8"/>
      <c r="B26" s="8"/>
      <c r="C26" s="8"/>
      <c r="D26" s="8"/>
      <c r="E26" s="8"/>
      <c r="F26" s="8"/>
      <c r="G26" s="8"/>
      <c r="H26" s="8"/>
      <c r="I26" s="8"/>
      <c r="J26" s="8"/>
      <c r="K26" s="8"/>
      <c r="L26" s="8"/>
      <c r="M26" s="8"/>
    </row>
    <row r="27" spans="1:13" ht="12" customHeight="1" x14ac:dyDescent="0.2">
      <c r="A27" s="7" t="s">
        <v>37</v>
      </c>
      <c r="B27" s="11" t="s">
        <v>62</v>
      </c>
      <c r="C27" s="11" t="s">
        <v>63</v>
      </c>
      <c r="D27" s="11" t="s">
        <v>64</v>
      </c>
      <c r="E27" s="11" t="s">
        <v>65</v>
      </c>
      <c r="F27" s="11" t="s">
        <v>66</v>
      </c>
      <c r="G27" s="11" t="s">
        <v>67</v>
      </c>
      <c r="H27" s="11" t="s">
        <v>68</v>
      </c>
      <c r="I27" s="11" t="s">
        <v>69</v>
      </c>
      <c r="J27" s="11" t="s">
        <v>70</v>
      </c>
      <c r="K27" s="11" t="s">
        <v>71</v>
      </c>
      <c r="L27" s="11" t="s">
        <v>72</v>
      </c>
      <c r="M27" s="11" t="s">
        <v>73</v>
      </c>
    </row>
    <row r="28" spans="1:13" x14ac:dyDescent="0.2">
      <c r="A28" s="7" t="s">
        <v>38</v>
      </c>
      <c r="B28" s="20">
        <v>0.84399999999999997</v>
      </c>
      <c r="C28" s="20">
        <v>0.76400000000000001</v>
      </c>
      <c r="D28" s="20">
        <v>0.58299999999999996</v>
      </c>
      <c r="E28" s="21">
        <v>0.4768</v>
      </c>
      <c r="F28" s="21">
        <v>1.6242000000000001</v>
      </c>
      <c r="G28" s="21">
        <v>6.5366999999999997</v>
      </c>
      <c r="H28" s="21">
        <v>44.853099999999998</v>
      </c>
      <c r="I28" s="21">
        <v>2.8182</v>
      </c>
      <c r="J28" s="21">
        <v>0.8105</v>
      </c>
      <c r="K28" s="22">
        <v>1.5</v>
      </c>
      <c r="L28" s="21">
        <v>0.5504</v>
      </c>
      <c r="M28" s="12">
        <v>3.53</v>
      </c>
    </row>
    <row r="29" spans="1:13" x14ac:dyDescent="0.2">
      <c r="A29" s="7" t="s">
        <v>39</v>
      </c>
      <c r="B29" s="20">
        <v>0.54100000000000004</v>
      </c>
      <c r="C29" s="20">
        <v>0.48599999999999999</v>
      </c>
      <c r="D29" s="20">
        <v>0.34100000000000003</v>
      </c>
      <c r="E29" s="21">
        <v>0.17879999999999999</v>
      </c>
      <c r="F29" s="21">
        <v>8.9800000000000005E-2</v>
      </c>
      <c r="G29" s="21">
        <v>0.26690000000000003</v>
      </c>
      <c r="H29" s="21">
        <v>0.38329999999999997</v>
      </c>
      <c r="I29" s="21">
        <v>0.68169999999999997</v>
      </c>
      <c r="J29" s="21">
        <v>0.17019999999999999</v>
      </c>
      <c r="K29" s="22">
        <v>0.4</v>
      </c>
      <c r="L29" s="21">
        <v>-0.1474</v>
      </c>
      <c r="M29" s="12">
        <v>0.23</v>
      </c>
    </row>
    <row r="30" spans="1:13" x14ac:dyDescent="0.2">
      <c r="A30" s="7" t="s">
        <v>40</v>
      </c>
      <c r="B30" s="20">
        <v>0.70699999999999996</v>
      </c>
      <c r="C30" s="20">
        <v>0.58799999999999997</v>
      </c>
      <c r="D30" s="20">
        <v>0.45400000000000001</v>
      </c>
      <c r="E30" s="21">
        <v>0.35320000000000001</v>
      </c>
      <c r="F30" s="21">
        <v>0.5655</v>
      </c>
      <c r="G30" s="21">
        <v>2.2115</v>
      </c>
      <c r="H30" s="21">
        <v>7.4767999999999999</v>
      </c>
      <c r="I30" s="21">
        <v>1.9536</v>
      </c>
      <c r="J30" s="21">
        <v>0.39290000000000003</v>
      </c>
      <c r="K30" s="22">
        <v>0.8</v>
      </c>
      <c r="L30" s="21">
        <v>8.1199999999999994E-2</v>
      </c>
      <c r="M30" s="12">
        <v>1.96</v>
      </c>
    </row>
    <row r="31" spans="1:13" x14ac:dyDescent="0.2">
      <c r="A31" s="7" t="s">
        <v>41</v>
      </c>
      <c r="B31" s="20">
        <v>0.72099999999999997</v>
      </c>
      <c r="C31" s="20">
        <v>0.55300000000000005</v>
      </c>
      <c r="D31" s="20">
        <v>0.44600000000000001</v>
      </c>
      <c r="E31" s="21">
        <v>0.33460000000000001</v>
      </c>
      <c r="F31" s="21">
        <v>0.4199</v>
      </c>
      <c r="G31" s="21">
        <v>0.72170000000000001</v>
      </c>
      <c r="H31" s="21">
        <v>1.4177999999999999</v>
      </c>
      <c r="I31" s="21">
        <v>2.1537000000000002</v>
      </c>
      <c r="J31" s="21">
        <v>0.36599999999999999</v>
      </c>
      <c r="K31" s="22">
        <v>0.7</v>
      </c>
      <c r="L31" s="21">
        <v>4.4999999999999998E-2</v>
      </c>
      <c r="M31" s="12">
        <v>1.86</v>
      </c>
    </row>
    <row r="32" spans="1:13" x14ac:dyDescent="0.2">
      <c r="A32" s="10"/>
      <c r="B32" s="10"/>
      <c r="C32" s="10"/>
      <c r="D32" s="10"/>
      <c r="E32" s="10"/>
      <c r="F32" s="10"/>
      <c r="G32" s="10"/>
      <c r="H32" s="10"/>
      <c r="I32" s="10"/>
      <c r="J32" s="10"/>
      <c r="K32" s="10"/>
      <c r="L32" s="10"/>
      <c r="M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F2E04-A67D-4D93-9630-843D03509409}">
  <sheetPr codeName="Sheet6">
    <outlinePr summaryBelow="0" summaryRight="0"/>
  </sheetPr>
  <dimension ref="A4:IU44"/>
  <sheetViews>
    <sheetView defaultGridColor="0" colorId="0" workbookViewId="0"/>
  </sheetViews>
  <sheetFormatPr defaultRowHeight="10.199999999999999" x14ac:dyDescent="0.2"/>
  <cols>
    <col min="1" max="1" width="47.88671875" customWidth="1"/>
    <col min="2" max="3" width="25.88671875" customWidth="1"/>
    <col min="4" max="9" width="9.33203125"/>
  </cols>
  <sheetData>
    <row r="4" spans="1:255" ht="16.2" x14ac:dyDescent="0.25">
      <c r="A4" s="1" t="s">
        <v>74</v>
      </c>
    </row>
    <row r="7" spans="1:255" x14ac:dyDescent="0.2">
      <c r="A7" s="2" t="s">
        <v>1</v>
      </c>
      <c r="B7" s="2"/>
      <c r="C7" s="2"/>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75</v>
      </c>
      <c r="B8" s="4" t="s">
        <v>3</v>
      </c>
    </row>
    <row r="9" spans="1:255" x14ac:dyDescent="0.2">
      <c r="A9" s="3" t="s">
        <v>76</v>
      </c>
      <c r="B9" s="4" t="s">
        <v>5</v>
      </c>
    </row>
    <row r="10" spans="1:255" x14ac:dyDescent="0.2">
      <c r="A10" s="3" t="s">
        <v>77</v>
      </c>
      <c r="B10" s="5">
        <v>45044</v>
      </c>
    </row>
    <row r="11" spans="1:255" x14ac:dyDescent="0.2">
      <c r="A11" s="6"/>
    </row>
    <row r="13" spans="1:255" x14ac:dyDescent="0.2">
      <c r="A13" s="2" t="s">
        <v>7</v>
      </c>
      <c r="B13" s="2"/>
      <c r="C13" s="2"/>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7" t="s">
        <v>8</v>
      </c>
      <c r="B14" s="7" t="s">
        <v>78</v>
      </c>
      <c r="C14" s="7" t="s">
        <v>79</v>
      </c>
    </row>
    <row r="15" spans="1:255" ht="12" customHeight="1" x14ac:dyDescent="0.2">
      <c r="A15" s="7" t="s">
        <v>25</v>
      </c>
      <c r="B15" s="23" t="s">
        <v>80</v>
      </c>
      <c r="C15" s="23" t="s">
        <v>81</v>
      </c>
    </row>
    <row r="16" spans="1:255" ht="12" customHeight="1" x14ac:dyDescent="0.2">
      <c r="A16" s="7" t="s">
        <v>27</v>
      </c>
      <c r="B16" s="23" t="s">
        <v>82</v>
      </c>
      <c r="C16" s="23" t="s">
        <v>83</v>
      </c>
    </row>
    <row r="17" spans="1:3" ht="12" customHeight="1" x14ac:dyDescent="0.2">
      <c r="A17" s="7" t="s">
        <v>28</v>
      </c>
      <c r="B17" s="23" t="s">
        <v>84</v>
      </c>
      <c r="C17" s="23" t="s">
        <v>85</v>
      </c>
    </row>
    <row r="18" spans="1:3" ht="12" customHeight="1" x14ac:dyDescent="0.2">
      <c r="A18" s="7" t="s">
        <v>29</v>
      </c>
      <c r="B18" s="23" t="s">
        <v>86</v>
      </c>
      <c r="C18" s="23" t="s">
        <v>87</v>
      </c>
    </row>
    <row r="19" spans="1:3" ht="12" customHeight="1" x14ac:dyDescent="0.2">
      <c r="A19" s="7" t="s">
        <v>30</v>
      </c>
      <c r="B19" s="23" t="s">
        <v>88</v>
      </c>
      <c r="C19" s="23" t="s">
        <v>89</v>
      </c>
    </row>
    <row r="20" spans="1:3" ht="12" customHeight="1" x14ac:dyDescent="0.2">
      <c r="A20" s="7" t="s">
        <v>31</v>
      </c>
      <c r="B20" s="23" t="s">
        <v>90</v>
      </c>
      <c r="C20" s="23" t="s">
        <v>91</v>
      </c>
    </row>
    <row r="21" spans="1:3" ht="12" customHeight="1" x14ac:dyDescent="0.2">
      <c r="A21" s="7" t="s">
        <v>32</v>
      </c>
      <c r="B21" s="23" t="s">
        <v>92</v>
      </c>
      <c r="C21" s="23" t="s">
        <v>93</v>
      </c>
    </row>
    <row r="22" spans="1:3" ht="12" customHeight="1" x14ac:dyDescent="0.2">
      <c r="A22" s="7" t="s">
        <v>33</v>
      </c>
      <c r="B22" s="23" t="s">
        <v>94</v>
      </c>
      <c r="C22" s="23" t="s">
        <v>95</v>
      </c>
    </row>
    <row r="23" spans="1:3" ht="12" customHeight="1" x14ac:dyDescent="0.2">
      <c r="A23" s="7" t="s">
        <v>34</v>
      </c>
      <c r="B23" s="23" t="s">
        <v>96</v>
      </c>
      <c r="C23" s="23" t="s">
        <v>97</v>
      </c>
    </row>
    <row r="24" spans="1:3" ht="12" customHeight="1" x14ac:dyDescent="0.2">
      <c r="A24" s="7" t="s">
        <v>35</v>
      </c>
      <c r="B24" s="23" t="s">
        <v>98</v>
      </c>
      <c r="C24" s="23" t="s">
        <v>99</v>
      </c>
    </row>
    <row r="25" spans="1:3" x14ac:dyDescent="0.2">
      <c r="A25" s="8"/>
      <c r="B25" s="8"/>
      <c r="C25" s="8"/>
    </row>
    <row r="26" spans="1:3" x14ac:dyDescent="0.2">
      <c r="A26" s="9"/>
      <c r="B26" s="9"/>
      <c r="C26" s="9"/>
    </row>
    <row r="27" spans="1:3" ht="12" customHeight="1" x14ac:dyDescent="0.2">
      <c r="A27" s="7" t="s">
        <v>36</v>
      </c>
      <c r="B27" s="23" t="s">
        <v>100</v>
      </c>
      <c r="C27" s="23" t="s">
        <v>101</v>
      </c>
    </row>
    <row r="28" spans="1:3" x14ac:dyDescent="0.2">
      <c r="A28" s="10"/>
      <c r="B28" s="10"/>
      <c r="C28" s="10"/>
    </row>
    <row r="30" spans="1:3" x14ac:dyDescent="0.2">
      <c r="A30" s="6" t="s">
        <v>42</v>
      </c>
    </row>
    <row r="35" spans="1:1" x14ac:dyDescent="0.2">
      <c r="A35" t="s">
        <v>43</v>
      </c>
    </row>
    <row r="36" spans="1:1" x14ac:dyDescent="0.2">
      <c r="A36" t="s">
        <v>44</v>
      </c>
    </row>
    <row r="44" spans="1:1" ht="25.05" customHeight="1" x14ac:dyDescent="0.2">
      <c r="A44" s="18" t="s">
        <v>45</v>
      </c>
    </row>
  </sheetData>
  <pageMargins left="0.2" right="0.2" top="0.5" bottom="0.5" header="0.5" footer="0.5"/>
  <pageSetup fitToWidth="0" fitToHeight="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7D3ED-2509-48D6-9BFD-1CFB196D376A}">
  <sheetPr codeName="Sheet7">
    <outlinePr summaryBelow="0" summaryRight="0"/>
  </sheetPr>
  <dimension ref="A4:IU69"/>
  <sheetViews>
    <sheetView defaultGridColor="0" colorId="0" workbookViewId="0"/>
  </sheetViews>
  <sheetFormatPr defaultRowHeight="10.199999999999999" x14ac:dyDescent="0.2"/>
  <cols>
    <col min="1" max="1" width="25.88671875" customWidth="1"/>
    <col min="2" max="3" width="20.88671875" customWidth="1"/>
    <col min="4" max="9" width="25.88671875" customWidth="1"/>
  </cols>
  <sheetData>
    <row r="4" spans="1:255" ht="16.2" x14ac:dyDescent="0.25">
      <c r="A4" s="1" t="s">
        <v>102</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103</v>
      </c>
      <c r="B8" s="4" t="s">
        <v>3</v>
      </c>
    </row>
    <row r="9" spans="1:255" x14ac:dyDescent="0.2">
      <c r="A9" s="3" t="s">
        <v>104</v>
      </c>
      <c r="B9" s="4" t="s">
        <v>5</v>
      </c>
    </row>
    <row r="10" spans="1:255" x14ac:dyDescent="0.2">
      <c r="A10" s="3" t="s">
        <v>105</v>
      </c>
      <c r="B10" s="5">
        <v>45044</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9" t="s">
        <v>8</v>
      </c>
      <c r="B14" s="11" t="s">
        <v>18</v>
      </c>
      <c r="C14" s="11" t="s">
        <v>19</v>
      </c>
      <c r="D14" s="11" t="s">
        <v>20</v>
      </c>
      <c r="E14" s="11" t="s">
        <v>22</v>
      </c>
      <c r="F14" s="11" t="s">
        <v>23</v>
      </c>
      <c r="G14" s="11" t="s">
        <v>106</v>
      </c>
      <c r="H14" s="11" t="s">
        <v>24</v>
      </c>
      <c r="I14" s="11" t="s">
        <v>16</v>
      </c>
    </row>
    <row r="15" spans="1:255" ht="12" customHeight="1" x14ac:dyDescent="0.2">
      <c r="A15" s="7" t="s">
        <v>36</v>
      </c>
      <c r="B15" s="13">
        <v>9083</v>
      </c>
      <c r="C15" s="13">
        <v>7338</v>
      </c>
      <c r="D15" s="13">
        <v>5994</v>
      </c>
      <c r="E15" s="12">
        <v>8507.84</v>
      </c>
      <c r="F15" s="12">
        <v>6504.92</v>
      </c>
      <c r="G15" s="12">
        <v>24.61</v>
      </c>
      <c r="H15" s="12">
        <v>20.02</v>
      </c>
      <c r="I15" s="12">
        <v>83.46</v>
      </c>
    </row>
    <row r="16" spans="1:255" x14ac:dyDescent="0.2">
      <c r="A16" s="8"/>
      <c r="B16" s="8"/>
      <c r="C16" s="8"/>
      <c r="D16" s="8"/>
      <c r="E16" s="8"/>
      <c r="F16" s="8"/>
      <c r="G16" s="8"/>
      <c r="H16" s="8"/>
      <c r="I16" s="8"/>
    </row>
    <row r="17" spans="1:9" x14ac:dyDescent="0.2">
      <c r="A17" s="9"/>
      <c r="B17" s="9" t="s">
        <v>107</v>
      </c>
      <c r="C17" s="9" t="s">
        <v>107</v>
      </c>
      <c r="D17" s="9" t="s">
        <v>107</v>
      </c>
      <c r="E17" s="9" t="s">
        <v>108</v>
      </c>
      <c r="F17" s="9" t="s">
        <v>107</v>
      </c>
      <c r="G17" s="9" t="s">
        <v>107</v>
      </c>
      <c r="H17" s="9" t="s">
        <v>109</v>
      </c>
      <c r="I17" s="9" t="s">
        <v>107</v>
      </c>
    </row>
    <row r="18" spans="1:9" ht="20.399999999999999" x14ac:dyDescent="0.2">
      <c r="A18" s="9"/>
      <c r="B18" s="11" t="s">
        <v>50</v>
      </c>
      <c r="C18" s="11" t="s">
        <v>51</v>
      </c>
      <c r="D18" s="11" t="s">
        <v>52</v>
      </c>
      <c r="E18" s="11" t="s">
        <v>110</v>
      </c>
      <c r="F18" s="11" t="s">
        <v>111</v>
      </c>
      <c r="G18" s="11" t="s">
        <v>53</v>
      </c>
      <c r="H18" s="11" t="s">
        <v>112</v>
      </c>
      <c r="I18" s="11" t="s">
        <v>54</v>
      </c>
    </row>
    <row r="19" spans="1:9" x14ac:dyDescent="0.2">
      <c r="A19" s="9" t="s">
        <v>38</v>
      </c>
      <c r="B19" s="14" t="s">
        <v>113</v>
      </c>
      <c r="C19" s="14" t="s">
        <v>113</v>
      </c>
      <c r="D19" s="14" t="s">
        <v>113</v>
      </c>
      <c r="E19" s="19">
        <v>4.66</v>
      </c>
      <c r="F19" s="19">
        <v>9.02</v>
      </c>
      <c r="G19" s="14" t="s">
        <v>113</v>
      </c>
      <c r="H19" s="19">
        <v>23.24</v>
      </c>
      <c r="I19" s="14" t="s">
        <v>113</v>
      </c>
    </row>
    <row r="20" spans="1:9" x14ac:dyDescent="0.2">
      <c r="A20" s="9" t="s">
        <v>39</v>
      </c>
      <c r="B20" s="14" t="s">
        <v>113</v>
      </c>
      <c r="C20" s="14" t="s">
        <v>113</v>
      </c>
      <c r="D20" s="14" t="s">
        <v>113</v>
      </c>
      <c r="E20" s="19">
        <v>1.1100000000000001</v>
      </c>
      <c r="F20" s="19">
        <v>3.24</v>
      </c>
      <c r="G20" s="14" t="s">
        <v>113</v>
      </c>
      <c r="H20" s="19">
        <v>6.07</v>
      </c>
      <c r="I20" s="14" t="s">
        <v>113</v>
      </c>
    </row>
    <row r="21" spans="1:9" x14ac:dyDescent="0.2">
      <c r="A21" s="9" t="s">
        <v>40</v>
      </c>
      <c r="B21" s="14" t="s">
        <v>113</v>
      </c>
      <c r="C21" s="14" t="s">
        <v>113</v>
      </c>
      <c r="D21" s="14" t="s">
        <v>113</v>
      </c>
      <c r="E21" s="19">
        <v>2.67</v>
      </c>
      <c r="F21" s="19">
        <v>5.41</v>
      </c>
      <c r="G21" s="14" t="s">
        <v>113</v>
      </c>
      <c r="H21" s="19">
        <v>10.48</v>
      </c>
      <c r="I21" s="14" t="s">
        <v>113</v>
      </c>
    </row>
    <row r="22" spans="1:9" x14ac:dyDescent="0.2">
      <c r="A22" s="9" t="s">
        <v>41</v>
      </c>
      <c r="B22" s="14" t="s">
        <v>113</v>
      </c>
      <c r="C22" s="14" t="s">
        <v>113</v>
      </c>
      <c r="D22" s="14" t="s">
        <v>113</v>
      </c>
      <c r="E22" s="19">
        <v>2.52</v>
      </c>
      <c r="F22" s="19">
        <v>5</v>
      </c>
      <c r="G22" s="14" t="s">
        <v>113</v>
      </c>
      <c r="H22" s="19">
        <v>9.5</v>
      </c>
      <c r="I22" s="14" t="s">
        <v>113</v>
      </c>
    </row>
    <row r="23" spans="1:9" x14ac:dyDescent="0.2">
      <c r="A23" s="8"/>
      <c r="B23" s="8"/>
      <c r="C23" s="8"/>
      <c r="D23" s="8"/>
      <c r="E23" s="8"/>
      <c r="F23" s="8"/>
      <c r="G23" s="8"/>
      <c r="H23" s="8"/>
      <c r="I23" s="8"/>
    </row>
    <row r="24" spans="1:9" x14ac:dyDescent="0.2">
      <c r="A24" s="9" t="s">
        <v>114</v>
      </c>
      <c r="B24" s="9"/>
      <c r="C24" s="9"/>
      <c r="D24" s="9"/>
      <c r="E24" s="9"/>
      <c r="F24" s="9"/>
      <c r="G24" s="9"/>
      <c r="H24" s="9"/>
      <c r="I24" s="9"/>
    </row>
    <row r="25" spans="1:9" x14ac:dyDescent="0.2">
      <c r="A25" s="7" t="s">
        <v>38</v>
      </c>
      <c r="B25" s="14" t="s">
        <v>115</v>
      </c>
      <c r="C25" s="14" t="s">
        <v>115</v>
      </c>
      <c r="D25" s="14" t="s">
        <v>115</v>
      </c>
      <c r="E25" s="12">
        <v>39623.699999999997</v>
      </c>
      <c r="F25" s="12">
        <v>58666.09</v>
      </c>
      <c r="G25" s="8"/>
      <c r="H25" s="8"/>
      <c r="I25" s="8"/>
    </row>
    <row r="26" spans="1:9" x14ac:dyDescent="0.2">
      <c r="A26" s="7" t="s">
        <v>39</v>
      </c>
      <c r="B26" s="14" t="s">
        <v>115</v>
      </c>
      <c r="C26" s="14" t="s">
        <v>115</v>
      </c>
      <c r="D26" s="14" t="s">
        <v>115</v>
      </c>
      <c r="E26" s="12">
        <v>9415.7199999999993</v>
      </c>
      <c r="F26" s="12">
        <v>21073.99</v>
      </c>
      <c r="G26" s="8"/>
      <c r="H26" s="8"/>
      <c r="I26" s="8"/>
    </row>
    <row r="27" spans="1:9" x14ac:dyDescent="0.2">
      <c r="A27" s="7" t="s">
        <v>40</v>
      </c>
      <c r="B27" s="14" t="s">
        <v>115</v>
      </c>
      <c r="C27" s="14" t="s">
        <v>115</v>
      </c>
      <c r="D27" s="14" t="s">
        <v>115</v>
      </c>
      <c r="E27" s="12">
        <v>22709.89</v>
      </c>
      <c r="F27" s="12">
        <v>35221.519999999997</v>
      </c>
      <c r="G27" s="8"/>
      <c r="H27" s="8"/>
      <c r="I27" s="8"/>
    </row>
    <row r="28" spans="1:9" x14ac:dyDescent="0.2">
      <c r="A28" s="7" t="s">
        <v>41</v>
      </c>
      <c r="B28" s="14" t="s">
        <v>115</v>
      </c>
      <c r="C28" s="14" t="s">
        <v>115</v>
      </c>
      <c r="D28" s="14" t="s">
        <v>115</v>
      </c>
      <c r="E28" s="12">
        <v>21448.79</v>
      </c>
      <c r="F28" s="12">
        <v>32495.83</v>
      </c>
      <c r="G28" s="8"/>
      <c r="H28" s="8"/>
      <c r="I28" s="8"/>
    </row>
    <row r="29" spans="1:9" x14ac:dyDescent="0.2">
      <c r="A29" s="8"/>
      <c r="B29" s="8"/>
      <c r="C29" s="8"/>
      <c r="D29" s="8"/>
      <c r="E29" s="8"/>
      <c r="F29" s="8"/>
      <c r="G29" s="8"/>
      <c r="H29" s="8"/>
      <c r="I29" s="8"/>
    </row>
    <row r="30" spans="1:9" ht="12" customHeight="1" x14ac:dyDescent="0.2">
      <c r="A30" s="9" t="s">
        <v>116</v>
      </c>
      <c r="B30" s="13">
        <v>157</v>
      </c>
      <c r="C30" s="13">
        <v>157</v>
      </c>
      <c r="D30" s="13">
        <v>157</v>
      </c>
      <c r="E30" s="13">
        <v>157</v>
      </c>
      <c r="F30" s="13">
        <v>157</v>
      </c>
      <c r="G30" s="8"/>
      <c r="H30" s="8"/>
      <c r="I30" s="8"/>
    </row>
    <row r="31" spans="1:9" ht="12" customHeight="1" x14ac:dyDescent="0.2">
      <c r="A31" s="9" t="s">
        <v>117</v>
      </c>
      <c r="B31" s="13">
        <v>6441</v>
      </c>
      <c r="C31" s="13">
        <v>6441</v>
      </c>
      <c r="D31" s="13">
        <v>6441</v>
      </c>
      <c r="E31" s="13">
        <v>6441</v>
      </c>
      <c r="F31" s="13">
        <v>6441</v>
      </c>
      <c r="G31" s="8"/>
      <c r="H31" s="8"/>
      <c r="I31" s="8"/>
    </row>
    <row r="32" spans="1:9" ht="12" customHeight="1" x14ac:dyDescent="0.2">
      <c r="A32" s="9" t="s">
        <v>118</v>
      </c>
      <c r="B32" s="14" t="s">
        <v>26</v>
      </c>
      <c r="C32" s="14" t="s">
        <v>26</v>
      </c>
      <c r="D32" s="14" t="s">
        <v>26</v>
      </c>
      <c r="E32" s="14" t="s">
        <v>26</v>
      </c>
      <c r="F32" s="14" t="s">
        <v>26</v>
      </c>
      <c r="G32" s="8"/>
      <c r="H32" s="8"/>
      <c r="I32" s="8"/>
    </row>
    <row r="33" spans="1:9" ht="12" customHeight="1" x14ac:dyDescent="0.2">
      <c r="A33" s="9" t="s">
        <v>119</v>
      </c>
      <c r="B33" s="12">
        <v>681</v>
      </c>
      <c r="C33" s="12">
        <v>681</v>
      </c>
      <c r="D33" s="12">
        <v>681</v>
      </c>
      <c r="E33" s="12">
        <v>681</v>
      </c>
      <c r="F33" s="12">
        <v>681</v>
      </c>
      <c r="G33" s="8"/>
      <c r="H33" s="8"/>
      <c r="I33" s="8"/>
    </row>
    <row r="34" spans="1:9" x14ac:dyDescent="0.2">
      <c r="A34" s="8"/>
      <c r="B34" s="8"/>
      <c r="C34" s="8"/>
      <c r="D34" s="8"/>
      <c r="E34" s="8"/>
      <c r="F34" s="8"/>
      <c r="G34" s="8"/>
      <c r="H34" s="8"/>
      <c r="I34" s="8"/>
    </row>
    <row r="35" spans="1:9" x14ac:dyDescent="0.2">
      <c r="A35" s="9" t="s">
        <v>120</v>
      </c>
      <c r="B35" s="9"/>
      <c r="C35" s="9"/>
      <c r="D35" s="9"/>
      <c r="E35" s="9"/>
      <c r="F35" s="9"/>
      <c r="G35" s="9"/>
      <c r="H35" s="9"/>
      <c r="I35" s="9"/>
    </row>
    <row r="36" spans="1:9" x14ac:dyDescent="0.2">
      <c r="A36" s="7" t="s">
        <v>38</v>
      </c>
      <c r="B36" s="14" t="s">
        <v>115</v>
      </c>
      <c r="C36" s="14" t="s">
        <v>115</v>
      </c>
      <c r="D36" s="14" t="s">
        <v>115</v>
      </c>
      <c r="E36" s="12">
        <v>32658.7</v>
      </c>
      <c r="F36" s="12">
        <v>51701.09</v>
      </c>
      <c r="G36" s="14" t="s">
        <v>115</v>
      </c>
      <c r="H36" s="12">
        <v>84406.57</v>
      </c>
      <c r="I36" s="14" t="s">
        <v>115</v>
      </c>
    </row>
    <row r="37" spans="1:9" x14ac:dyDescent="0.2">
      <c r="A37" s="7" t="s">
        <v>39</v>
      </c>
      <c r="B37" s="14" t="s">
        <v>115</v>
      </c>
      <c r="C37" s="14" t="s">
        <v>115</v>
      </c>
      <c r="D37" s="14" t="s">
        <v>115</v>
      </c>
      <c r="E37" s="12">
        <v>2450.7199999999998</v>
      </c>
      <c r="F37" s="12">
        <v>14108.99</v>
      </c>
      <c r="G37" s="14" t="s">
        <v>115</v>
      </c>
      <c r="H37" s="12">
        <v>22064.83</v>
      </c>
      <c r="I37" s="14" t="s">
        <v>115</v>
      </c>
    </row>
    <row r="38" spans="1:9" x14ac:dyDescent="0.2">
      <c r="A38" s="7" t="s">
        <v>40</v>
      </c>
      <c r="B38" s="14" t="s">
        <v>115</v>
      </c>
      <c r="C38" s="14" t="s">
        <v>115</v>
      </c>
      <c r="D38" s="14" t="s">
        <v>115</v>
      </c>
      <c r="E38" s="12">
        <v>15744.89</v>
      </c>
      <c r="F38" s="12">
        <v>28256.52</v>
      </c>
      <c r="G38" s="14" t="s">
        <v>115</v>
      </c>
      <c r="H38" s="12">
        <v>38058.089999999997</v>
      </c>
      <c r="I38" s="14" t="s">
        <v>115</v>
      </c>
    </row>
    <row r="39" spans="1:9" x14ac:dyDescent="0.2">
      <c r="A39" s="7" t="s">
        <v>41</v>
      </c>
      <c r="B39" s="14" t="s">
        <v>115</v>
      </c>
      <c r="C39" s="14" t="s">
        <v>115</v>
      </c>
      <c r="D39" s="14" t="s">
        <v>115</v>
      </c>
      <c r="E39" s="12">
        <v>14483.79</v>
      </c>
      <c r="F39" s="12">
        <v>25530.83</v>
      </c>
      <c r="G39" s="14" t="s">
        <v>115</v>
      </c>
      <c r="H39" s="12">
        <v>34520.51</v>
      </c>
      <c r="I39" s="14" t="s">
        <v>115</v>
      </c>
    </row>
    <row r="40" spans="1:9" x14ac:dyDescent="0.2">
      <c r="A40" s="8"/>
      <c r="B40" s="8"/>
      <c r="C40" s="8"/>
      <c r="D40" s="8"/>
      <c r="E40" s="8"/>
      <c r="F40" s="8"/>
      <c r="G40" s="8"/>
      <c r="H40" s="8"/>
      <c r="I40" s="8"/>
    </row>
    <row r="41" spans="1:9" ht="12" customHeight="1" x14ac:dyDescent="0.2">
      <c r="A41" s="9" t="s">
        <v>121</v>
      </c>
      <c r="B41" s="12">
        <v>181.42</v>
      </c>
      <c r="C41" s="12">
        <v>181.42</v>
      </c>
      <c r="D41" s="12">
        <v>181.42</v>
      </c>
      <c r="E41" s="12">
        <v>181.42</v>
      </c>
      <c r="F41" s="12">
        <v>181.42</v>
      </c>
      <c r="G41" s="12">
        <v>181.42</v>
      </c>
      <c r="H41" s="12">
        <v>181.42</v>
      </c>
      <c r="I41" s="12">
        <v>181.42</v>
      </c>
    </row>
    <row r="42" spans="1:9" x14ac:dyDescent="0.2">
      <c r="A42" s="8"/>
      <c r="B42" s="8"/>
      <c r="C42" s="8"/>
      <c r="D42" s="8"/>
      <c r="E42" s="8"/>
      <c r="F42" s="8"/>
      <c r="G42" s="8"/>
      <c r="H42" s="8"/>
      <c r="I42" s="8"/>
    </row>
    <row r="43" spans="1:9" x14ac:dyDescent="0.2">
      <c r="A43" s="9" t="s">
        <v>122</v>
      </c>
      <c r="B43" s="9"/>
      <c r="C43" s="9"/>
      <c r="D43" s="9"/>
      <c r="E43" s="9"/>
      <c r="F43" s="9"/>
      <c r="G43" s="9"/>
      <c r="H43" s="9"/>
      <c r="I43" s="9"/>
    </row>
    <row r="44" spans="1:9" x14ac:dyDescent="0.2">
      <c r="A44" s="7" t="s">
        <v>38</v>
      </c>
      <c r="B44" s="14" t="s">
        <v>115</v>
      </c>
      <c r="C44" s="14" t="s">
        <v>115</v>
      </c>
      <c r="D44" s="14" t="s">
        <v>115</v>
      </c>
      <c r="E44" s="12">
        <v>180.01</v>
      </c>
      <c r="F44" s="12">
        <v>284.97000000000003</v>
      </c>
      <c r="G44" s="14" t="s">
        <v>115</v>
      </c>
      <c r="H44" s="12">
        <v>465.25</v>
      </c>
      <c r="I44" s="14" t="s">
        <v>115</v>
      </c>
    </row>
    <row r="45" spans="1:9" x14ac:dyDescent="0.2">
      <c r="A45" s="7" t="s">
        <v>39</v>
      </c>
      <c r="B45" s="14" t="s">
        <v>115</v>
      </c>
      <c r="C45" s="14" t="s">
        <v>115</v>
      </c>
      <c r="D45" s="14" t="s">
        <v>115</v>
      </c>
      <c r="E45" s="12">
        <v>13.51</v>
      </c>
      <c r="F45" s="12">
        <v>77.77</v>
      </c>
      <c r="G45" s="14" t="s">
        <v>115</v>
      </c>
      <c r="H45" s="12">
        <v>121.62</v>
      </c>
      <c r="I45" s="14" t="s">
        <v>115</v>
      </c>
    </row>
    <row r="46" spans="1:9" x14ac:dyDescent="0.2">
      <c r="A46" s="7" t="s">
        <v>40</v>
      </c>
      <c r="B46" s="14" t="s">
        <v>115</v>
      </c>
      <c r="C46" s="14" t="s">
        <v>115</v>
      </c>
      <c r="D46" s="14" t="s">
        <v>115</v>
      </c>
      <c r="E46" s="12">
        <v>86.79</v>
      </c>
      <c r="F46" s="12">
        <v>155.75</v>
      </c>
      <c r="G46" s="14" t="s">
        <v>115</v>
      </c>
      <c r="H46" s="12">
        <v>209.77</v>
      </c>
      <c r="I46" s="14" t="s">
        <v>115</v>
      </c>
    </row>
    <row r="47" spans="1:9" x14ac:dyDescent="0.2">
      <c r="A47" s="7" t="s">
        <v>41</v>
      </c>
      <c r="B47" s="14" t="s">
        <v>115</v>
      </c>
      <c r="C47" s="14" t="s">
        <v>115</v>
      </c>
      <c r="D47" s="14" t="s">
        <v>115</v>
      </c>
      <c r="E47" s="12">
        <v>79.83</v>
      </c>
      <c r="F47" s="12">
        <v>140.72999999999999</v>
      </c>
      <c r="G47" s="14" t="s">
        <v>115</v>
      </c>
      <c r="H47" s="12">
        <v>190.28</v>
      </c>
      <c r="I47" s="14" t="s">
        <v>115</v>
      </c>
    </row>
    <row r="48" spans="1:9" x14ac:dyDescent="0.2">
      <c r="A48" s="8"/>
      <c r="B48" s="8"/>
      <c r="C48" s="8"/>
      <c r="D48" s="8"/>
      <c r="E48" s="8"/>
      <c r="F48" s="8"/>
      <c r="G48" s="8"/>
      <c r="H48" s="8"/>
      <c r="I48" s="8"/>
    </row>
    <row r="49" spans="1:9" ht="20.399999999999999" x14ac:dyDescent="0.2">
      <c r="A49" s="9" t="s">
        <v>123</v>
      </c>
      <c r="B49" s="11" t="s">
        <v>124</v>
      </c>
      <c r="C49" s="11" t="s">
        <v>125</v>
      </c>
      <c r="D49" s="9"/>
      <c r="E49" s="9"/>
      <c r="F49" s="9"/>
      <c r="G49" s="9"/>
      <c r="H49" s="9"/>
      <c r="I49" s="9"/>
    </row>
    <row r="50" spans="1:9" x14ac:dyDescent="0.2">
      <c r="A50" s="9" t="s">
        <v>38</v>
      </c>
      <c r="B50" s="24">
        <v>56255.45</v>
      </c>
      <c r="C50" s="24">
        <v>310.08</v>
      </c>
      <c r="D50" s="8"/>
      <c r="E50" s="8"/>
      <c r="F50" s="8"/>
      <c r="G50" s="8"/>
      <c r="H50" s="8"/>
      <c r="I50" s="8"/>
    </row>
    <row r="51" spans="1:9" x14ac:dyDescent="0.2">
      <c r="A51" s="9" t="s">
        <v>39</v>
      </c>
      <c r="B51" s="24">
        <v>12874.85</v>
      </c>
      <c r="C51" s="24">
        <v>70.97</v>
      </c>
      <c r="D51" s="8"/>
      <c r="E51" s="8"/>
      <c r="F51" s="8"/>
      <c r="G51" s="8"/>
      <c r="H51" s="8"/>
      <c r="I51" s="8"/>
    </row>
    <row r="52" spans="1:9" x14ac:dyDescent="0.2">
      <c r="A52" s="9" t="s">
        <v>40</v>
      </c>
      <c r="B52" s="24">
        <v>27353.16</v>
      </c>
      <c r="C52" s="24">
        <v>150.77000000000001</v>
      </c>
      <c r="D52" s="8"/>
      <c r="E52" s="8"/>
      <c r="F52" s="8"/>
      <c r="G52" s="8"/>
      <c r="H52" s="8"/>
      <c r="I52" s="8"/>
    </row>
    <row r="53" spans="1:9" x14ac:dyDescent="0.2">
      <c r="A53" s="9" t="s">
        <v>41</v>
      </c>
      <c r="B53" s="24">
        <v>24845.040000000001</v>
      </c>
      <c r="C53" s="24">
        <v>136.94999999999999</v>
      </c>
      <c r="D53" s="8"/>
      <c r="E53" s="8"/>
      <c r="F53" s="8"/>
      <c r="G53" s="8"/>
      <c r="H53" s="8"/>
      <c r="I53" s="8"/>
    </row>
    <row r="54" spans="1:9" x14ac:dyDescent="0.2">
      <c r="A54" s="10"/>
      <c r="B54" s="10"/>
      <c r="C54" s="10"/>
      <c r="D54" s="10"/>
      <c r="E54" s="10"/>
      <c r="F54" s="10"/>
      <c r="G54" s="10"/>
      <c r="H54" s="10"/>
      <c r="I54" s="10"/>
    </row>
    <row r="55" spans="1:9" x14ac:dyDescent="0.2">
      <c r="A55" s="6"/>
    </row>
    <row r="60" spans="1:9" x14ac:dyDescent="0.2">
      <c r="A60" t="s">
        <v>43</v>
      </c>
    </row>
    <row r="69" spans="1:1" ht="25.05" customHeight="1" x14ac:dyDescent="0.2">
      <c r="A69" s="18" t="s">
        <v>45</v>
      </c>
    </row>
  </sheetData>
  <pageMargins left="0.2" right="0.2" top="0.5" bottom="0.5" header="0.5" footer="0.5"/>
  <pageSetup fitToWidth="0" fitToHeight="0" orientation="landscape" horizontalDpi="300" verticalDpi="300"/>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743FA-2DFC-417F-A51E-4B547BE9E9DA}">
  <sheetPr codeName="Sheet8">
    <outlinePr summaryBelow="0" summaryRight="0"/>
  </sheetPr>
  <dimension ref="A4:IU32"/>
  <sheetViews>
    <sheetView defaultGridColor="0" colorId="0" workbookViewId="0"/>
  </sheetViews>
  <sheetFormatPr defaultRowHeight="10.199999999999999" x14ac:dyDescent="0.2"/>
  <cols>
    <col min="1" max="1" width="25.88671875" customWidth="1"/>
    <col min="2" max="2" width="75.88671875" customWidth="1"/>
    <col min="3" max="8" width="9.33203125"/>
  </cols>
  <sheetData>
    <row r="4" spans="1:255" ht="16.2" x14ac:dyDescent="0.25">
      <c r="A4" s="1" t="s">
        <v>126</v>
      </c>
    </row>
    <row r="7" spans="1:255" x14ac:dyDescent="0.2">
      <c r="A7" s="2" t="s">
        <v>1</v>
      </c>
      <c r="B7" s="2"/>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127</v>
      </c>
      <c r="B8" s="4" t="s">
        <v>3</v>
      </c>
    </row>
    <row r="9" spans="1:255" x14ac:dyDescent="0.2">
      <c r="A9" s="3" t="s">
        <v>128</v>
      </c>
      <c r="B9" s="4" t="s">
        <v>5</v>
      </c>
    </row>
    <row r="10" spans="1:255" x14ac:dyDescent="0.2">
      <c r="A10" s="3" t="s">
        <v>129</v>
      </c>
      <c r="B10" s="5">
        <v>45044</v>
      </c>
    </row>
    <row r="11" spans="1:255" x14ac:dyDescent="0.2">
      <c r="A11" s="6"/>
    </row>
    <row r="13" spans="1:255" x14ac:dyDescent="0.2">
      <c r="A13" s="2" t="s">
        <v>7</v>
      </c>
      <c r="B13" s="2"/>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25"/>
      <c r="B14" s="27"/>
    </row>
    <row r="15" spans="1:255" ht="400.05" customHeight="1" x14ac:dyDescent="0.2">
      <c r="A15" s="26"/>
      <c r="B15" s="10"/>
    </row>
    <row r="18" spans="1:1" x14ac:dyDescent="0.2">
      <c r="A18" s="6"/>
    </row>
    <row r="23" spans="1:1" x14ac:dyDescent="0.2">
      <c r="A23" t="s">
        <v>43</v>
      </c>
    </row>
    <row r="32" spans="1:1" ht="25.05" customHeight="1" x14ac:dyDescent="0.2">
      <c r="A32" s="18" t="s">
        <v>45</v>
      </c>
    </row>
  </sheetData>
  <pageMargins left="0.2" right="0.2" top="0.5" bottom="0.5" header="0.5" footer="0.5"/>
  <pageSetup fitToWidth="0" fitToHeight="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7A5A9-55E6-48D8-AF0D-59C4C8C8262A}">
  <sheetPr codeName="Sheet9">
    <outlinePr summaryBelow="0" summaryRight="0"/>
  </sheetPr>
  <dimension ref="A4:IU48"/>
  <sheetViews>
    <sheetView defaultGridColor="0" colorId="0" workbookViewId="0"/>
  </sheetViews>
  <sheetFormatPr defaultRowHeight="10.199999999999999" x14ac:dyDescent="0.2"/>
  <cols>
    <col min="1" max="1" width="47.88671875" customWidth="1"/>
    <col min="2" max="5" width="13.88671875" customWidth="1"/>
    <col min="6" max="12" width="25.88671875" customWidth="1"/>
  </cols>
  <sheetData>
    <row r="4" spans="1:255" ht="16.2" x14ac:dyDescent="0.25">
      <c r="A4" s="1" t="s">
        <v>130</v>
      </c>
    </row>
    <row r="7" spans="1:255" x14ac:dyDescent="0.2">
      <c r="A7" s="2" t="s">
        <v>1</v>
      </c>
      <c r="B7" s="2"/>
      <c r="C7" s="2"/>
      <c r="D7" s="2"/>
      <c r="E7" s="2"/>
      <c r="F7" s="2"/>
      <c r="G7" s="2"/>
      <c r="H7" s="2"/>
      <c r="I7" s="2"/>
      <c r="J7" s="2"/>
      <c r="K7" s="2"/>
      <c r="L7" s="2"/>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131</v>
      </c>
      <c r="B8" s="4" t="s">
        <v>3</v>
      </c>
    </row>
    <row r="9" spans="1:255" x14ac:dyDescent="0.2">
      <c r="A9" s="3" t="s">
        <v>132</v>
      </c>
      <c r="B9" s="4" t="s">
        <v>5</v>
      </c>
    </row>
    <row r="10" spans="1:255" x14ac:dyDescent="0.2">
      <c r="A10" s="3" t="s">
        <v>133</v>
      </c>
      <c r="B10" s="5">
        <v>45044</v>
      </c>
    </row>
    <row r="11" spans="1:255" x14ac:dyDescent="0.2">
      <c r="A11" s="6"/>
    </row>
    <row r="13" spans="1:255" x14ac:dyDescent="0.2">
      <c r="A13" s="2" t="s">
        <v>7</v>
      </c>
      <c r="B13" s="2"/>
      <c r="C13" s="2"/>
      <c r="D13" s="2"/>
      <c r="E13" s="2"/>
      <c r="F13" s="2"/>
      <c r="G13" s="2"/>
      <c r="H13" s="2"/>
      <c r="I13" s="2"/>
      <c r="J13" s="2"/>
      <c r="K13" s="2"/>
      <c r="L13" s="2"/>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28" t="s">
        <v>8</v>
      </c>
      <c r="B14" s="29" t="s">
        <v>134</v>
      </c>
      <c r="C14" s="29" t="s">
        <v>135</v>
      </c>
      <c r="D14" s="29" t="s">
        <v>136</v>
      </c>
      <c r="E14" s="29" t="s">
        <v>137</v>
      </c>
      <c r="F14" s="34" t="s">
        <v>138</v>
      </c>
      <c r="G14" s="34" t="s">
        <v>139</v>
      </c>
      <c r="H14" s="29" t="s">
        <v>140</v>
      </c>
      <c r="I14" s="29" t="s">
        <v>141</v>
      </c>
      <c r="J14" s="29" t="s">
        <v>142</v>
      </c>
      <c r="K14" s="28" t="s">
        <v>143</v>
      </c>
      <c r="L14" s="28" t="s">
        <v>144</v>
      </c>
    </row>
    <row r="15" spans="1:255" ht="12" customHeight="1" x14ac:dyDescent="0.2">
      <c r="A15" s="28" t="s">
        <v>32</v>
      </c>
      <c r="B15" s="30">
        <v>1</v>
      </c>
      <c r="C15" s="30">
        <v>1</v>
      </c>
      <c r="D15" s="31">
        <v>2</v>
      </c>
      <c r="E15" s="30">
        <v>1</v>
      </c>
      <c r="F15" s="35">
        <v>44926</v>
      </c>
      <c r="G15" s="35">
        <v>44973</v>
      </c>
      <c r="H15" s="36" t="s">
        <v>145</v>
      </c>
      <c r="I15" s="36" t="s">
        <v>146</v>
      </c>
      <c r="J15" s="36" t="s">
        <v>147</v>
      </c>
      <c r="K15" s="37" t="s">
        <v>148</v>
      </c>
      <c r="L15" s="37" t="s">
        <v>149</v>
      </c>
    </row>
    <row r="16" spans="1:255" ht="12" customHeight="1" x14ac:dyDescent="0.2">
      <c r="A16" s="28" t="s">
        <v>25</v>
      </c>
      <c r="B16" s="30">
        <v>1</v>
      </c>
      <c r="C16" s="31">
        <v>2</v>
      </c>
      <c r="D16" s="30">
        <v>1</v>
      </c>
      <c r="E16" s="30">
        <v>1</v>
      </c>
      <c r="F16" s="35">
        <v>44926</v>
      </c>
      <c r="G16" s="35">
        <v>44985</v>
      </c>
      <c r="H16" s="36" t="s">
        <v>145</v>
      </c>
      <c r="I16" s="36" t="s">
        <v>150</v>
      </c>
      <c r="J16" s="36" t="s">
        <v>151</v>
      </c>
      <c r="K16" s="37" t="s">
        <v>148</v>
      </c>
      <c r="L16" s="37" t="s">
        <v>149</v>
      </c>
    </row>
    <row r="17" spans="1:12" ht="12" customHeight="1" x14ac:dyDescent="0.2">
      <c r="A17" s="28" t="s">
        <v>31</v>
      </c>
      <c r="B17" s="31">
        <v>2</v>
      </c>
      <c r="C17" s="31">
        <v>2</v>
      </c>
      <c r="D17" s="30">
        <v>1</v>
      </c>
      <c r="E17" s="32">
        <v>3</v>
      </c>
      <c r="F17" s="35">
        <v>45016</v>
      </c>
      <c r="G17" s="35">
        <v>45043</v>
      </c>
      <c r="H17" s="36" t="s">
        <v>145</v>
      </c>
      <c r="I17" s="36" t="s">
        <v>150</v>
      </c>
      <c r="J17" s="36" t="s">
        <v>152</v>
      </c>
      <c r="K17" s="37" t="s">
        <v>148</v>
      </c>
      <c r="L17" s="37" t="s">
        <v>149</v>
      </c>
    </row>
    <row r="18" spans="1:12" ht="12" customHeight="1" x14ac:dyDescent="0.2">
      <c r="A18" s="28" t="s">
        <v>30</v>
      </c>
      <c r="B18" s="31">
        <v>2</v>
      </c>
      <c r="C18" s="31">
        <v>2</v>
      </c>
      <c r="D18" s="31">
        <v>2</v>
      </c>
      <c r="E18" s="33">
        <v>4</v>
      </c>
      <c r="F18" s="35">
        <v>45016</v>
      </c>
      <c r="G18" s="35">
        <v>45041</v>
      </c>
      <c r="H18" s="36" t="s">
        <v>153</v>
      </c>
      <c r="I18" s="36" t="s">
        <v>154</v>
      </c>
      <c r="J18" s="36" t="s">
        <v>155</v>
      </c>
      <c r="K18" s="37" t="s">
        <v>148</v>
      </c>
      <c r="L18" s="37" t="s">
        <v>149</v>
      </c>
    </row>
    <row r="19" spans="1:12" ht="12" customHeight="1" x14ac:dyDescent="0.2">
      <c r="A19" s="28" t="s">
        <v>28</v>
      </c>
      <c r="B19" s="32">
        <v>3</v>
      </c>
      <c r="C19" s="30">
        <v>1</v>
      </c>
      <c r="D19" s="33">
        <v>4</v>
      </c>
      <c r="E19" s="32">
        <v>3</v>
      </c>
      <c r="F19" s="35">
        <v>44926</v>
      </c>
      <c r="G19" s="35">
        <v>44982</v>
      </c>
      <c r="H19" s="36" t="s">
        <v>26</v>
      </c>
      <c r="I19" s="36" t="s">
        <v>156</v>
      </c>
      <c r="J19" s="36" t="s">
        <v>157</v>
      </c>
      <c r="K19" s="37" t="s">
        <v>148</v>
      </c>
      <c r="L19" s="37" t="s">
        <v>149</v>
      </c>
    </row>
    <row r="20" spans="1:12" ht="12" customHeight="1" x14ac:dyDescent="0.2">
      <c r="A20" s="28" t="s">
        <v>33</v>
      </c>
      <c r="B20" s="32">
        <v>3</v>
      </c>
      <c r="C20" s="32">
        <v>3</v>
      </c>
      <c r="D20" s="32">
        <v>3</v>
      </c>
      <c r="E20" s="31">
        <v>2</v>
      </c>
      <c r="F20" s="35">
        <v>44926</v>
      </c>
      <c r="G20" s="35">
        <v>44975</v>
      </c>
      <c r="H20" s="36" t="s">
        <v>158</v>
      </c>
      <c r="I20" s="36" t="s">
        <v>146</v>
      </c>
      <c r="J20" s="36" t="s">
        <v>159</v>
      </c>
      <c r="K20" s="37" t="s">
        <v>148</v>
      </c>
      <c r="L20" s="37" t="s">
        <v>149</v>
      </c>
    </row>
    <row r="21" spans="1:12" ht="12" customHeight="1" x14ac:dyDescent="0.2">
      <c r="A21" s="28" t="s">
        <v>27</v>
      </c>
      <c r="B21" s="32">
        <v>3</v>
      </c>
      <c r="C21" s="32">
        <v>3</v>
      </c>
      <c r="D21" s="32">
        <v>3</v>
      </c>
      <c r="E21" s="32">
        <v>3</v>
      </c>
      <c r="F21" s="35">
        <v>44926</v>
      </c>
      <c r="G21" s="35">
        <v>44975</v>
      </c>
      <c r="H21" s="36" t="s">
        <v>158</v>
      </c>
      <c r="I21" s="36" t="s">
        <v>146</v>
      </c>
      <c r="J21" s="36" t="s">
        <v>160</v>
      </c>
      <c r="K21" s="37" t="s">
        <v>148</v>
      </c>
      <c r="L21" s="37" t="s">
        <v>149</v>
      </c>
    </row>
    <row r="22" spans="1:12" ht="12" customHeight="1" x14ac:dyDescent="0.2">
      <c r="A22" s="28" t="s">
        <v>35</v>
      </c>
      <c r="B22" s="33">
        <v>4</v>
      </c>
      <c r="C22" s="33">
        <v>4</v>
      </c>
      <c r="D22" s="32">
        <v>3</v>
      </c>
      <c r="E22" s="33">
        <v>4</v>
      </c>
      <c r="F22" s="35">
        <v>45016</v>
      </c>
      <c r="G22" s="35">
        <v>45043</v>
      </c>
      <c r="H22" s="36" t="s">
        <v>161</v>
      </c>
      <c r="I22" s="36" t="s">
        <v>156</v>
      </c>
      <c r="J22" s="36" t="s">
        <v>162</v>
      </c>
      <c r="K22" s="37" t="s">
        <v>148</v>
      </c>
      <c r="L22" s="37" t="s">
        <v>149</v>
      </c>
    </row>
    <row r="23" spans="1:12" ht="12" customHeight="1" x14ac:dyDescent="0.2">
      <c r="A23" s="28" t="s">
        <v>29</v>
      </c>
      <c r="B23" s="33">
        <v>4</v>
      </c>
      <c r="C23" s="33">
        <v>4</v>
      </c>
      <c r="D23" s="33">
        <v>4</v>
      </c>
      <c r="E23" s="31">
        <v>2</v>
      </c>
      <c r="F23" s="35">
        <v>45016</v>
      </c>
      <c r="G23" s="35">
        <v>45043</v>
      </c>
      <c r="H23" s="36" t="s">
        <v>158</v>
      </c>
      <c r="I23" s="36" t="s">
        <v>156</v>
      </c>
      <c r="J23" s="36" t="s">
        <v>163</v>
      </c>
      <c r="K23" s="37" t="s">
        <v>148</v>
      </c>
      <c r="L23" s="37" t="s">
        <v>149</v>
      </c>
    </row>
    <row r="24" spans="1:12" ht="12" customHeight="1" x14ac:dyDescent="0.2">
      <c r="A24" s="28" t="s">
        <v>34</v>
      </c>
      <c r="B24" s="33">
        <v>4</v>
      </c>
      <c r="C24" s="33">
        <v>4</v>
      </c>
      <c r="D24" s="33">
        <v>4</v>
      </c>
      <c r="E24" s="33">
        <v>4</v>
      </c>
      <c r="F24" s="35">
        <v>44926</v>
      </c>
      <c r="G24" s="35">
        <v>44982</v>
      </c>
      <c r="H24" s="36" t="s">
        <v>161</v>
      </c>
      <c r="I24" s="36" t="s">
        <v>154</v>
      </c>
      <c r="J24" s="36" t="s">
        <v>164</v>
      </c>
      <c r="K24" s="37" t="s">
        <v>148</v>
      </c>
      <c r="L24" s="37" t="s">
        <v>149</v>
      </c>
    </row>
    <row r="25" spans="1:12" x14ac:dyDescent="0.2">
      <c r="A25" s="8"/>
      <c r="B25" s="8"/>
      <c r="C25" s="8"/>
      <c r="D25" s="8"/>
      <c r="E25" s="8"/>
      <c r="F25" s="8"/>
      <c r="G25" s="8"/>
      <c r="H25" s="8"/>
      <c r="I25" s="8"/>
      <c r="J25" s="8"/>
      <c r="K25" s="8"/>
      <c r="L25" s="8"/>
    </row>
    <row r="26" spans="1:12" x14ac:dyDescent="0.2">
      <c r="A26" s="9"/>
      <c r="B26" s="9"/>
      <c r="C26" s="9"/>
      <c r="D26" s="9"/>
      <c r="E26" s="9"/>
      <c r="F26" s="9"/>
      <c r="G26" s="9"/>
      <c r="H26" s="9"/>
      <c r="I26" s="9"/>
      <c r="J26" s="9"/>
      <c r="K26" s="9"/>
      <c r="L26" s="9"/>
    </row>
    <row r="27" spans="1:12" ht="12" customHeight="1" x14ac:dyDescent="0.2">
      <c r="A27" s="28" t="s">
        <v>36</v>
      </c>
      <c r="B27" s="31">
        <v>2</v>
      </c>
      <c r="C27" s="32">
        <v>3</v>
      </c>
      <c r="D27" s="31">
        <v>2</v>
      </c>
      <c r="E27" s="31">
        <v>2</v>
      </c>
      <c r="F27" s="35">
        <v>44926</v>
      </c>
      <c r="G27" s="35">
        <v>44983</v>
      </c>
      <c r="H27" s="36" t="s">
        <v>158</v>
      </c>
      <c r="I27" s="36" t="s">
        <v>146</v>
      </c>
      <c r="J27" s="36" t="s">
        <v>165</v>
      </c>
      <c r="K27" s="37" t="s">
        <v>148</v>
      </c>
      <c r="L27" s="37" t="s">
        <v>149</v>
      </c>
    </row>
    <row r="28" spans="1:12" x14ac:dyDescent="0.2">
      <c r="A28" s="10"/>
      <c r="B28" s="10"/>
      <c r="C28" s="10"/>
      <c r="D28" s="10"/>
      <c r="E28" s="10"/>
      <c r="F28" s="10"/>
      <c r="G28" s="10"/>
      <c r="H28" s="10"/>
      <c r="I28" s="10"/>
      <c r="J28" s="10"/>
      <c r="K28" s="10"/>
      <c r="L28" s="10"/>
    </row>
    <row r="30" spans="1:12" x14ac:dyDescent="0.2">
      <c r="A30" s="6" t="s">
        <v>42</v>
      </c>
    </row>
    <row r="35" spans="1:1" x14ac:dyDescent="0.2">
      <c r="A35" t="s">
        <v>43</v>
      </c>
    </row>
    <row r="38" spans="1:1" x14ac:dyDescent="0.2">
      <c r="A38" t="s">
        <v>166</v>
      </c>
    </row>
    <row r="45" spans="1:1" ht="25.05" customHeight="1" x14ac:dyDescent="0.2">
      <c r="A45" s="18" t="s">
        <v>167</v>
      </c>
    </row>
    <row r="48" spans="1:1" ht="120" customHeight="1" x14ac:dyDescent="0.2">
      <c r="A48" s="38" t="s">
        <v>168</v>
      </c>
    </row>
  </sheetData>
  <pageMargins left="0.2" right="0.2" top="0.5" bottom="0.5" header="0.5" footer="0.5"/>
  <pageSetup fitToWidth="0" fitToHeight="0" orientation="landscape"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E4E15-DC9C-4856-9DC4-67F5ECB7F102}">
  <sheetPr codeName="Sheet10">
    <outlinePr summaryBelow="0" summaryRight="0"/>
  </sheetPr>
  <dimension ref="A6:A26"/>
  <sheetViews>
    <sheetView defaultGridColor="0" colorId="0" workbookViewId="0"/>
  </sheetViews>
  <sheetFormatPr defaultRowHeight="10.199999999999999" x14ac:dyDescent="0.2"/>
  <cols>
    <col min="1" max="1" width="150.88671875" customWidth="1"/>
    <col min="2" max="2" width="9.33203125"/>
  </cols>
  <sheetData>
    <row r="6" spans="1:1" ht="16.5" customHeight="1" x14ac:dyDescent="0.25">
      <c r="A6" s="1" t="s">
        <v>169</v>
      </c>
    </row>
    <row r="8" spans="1:1" x14ac:dyDescent="0.2">
      <c r="A8" t="s">
        <v>170</v>
      </c>
    </row>
    <row r="10" spans="1:1" ht="120" customHeight="1" x14ac:dyDescent="0.2">
      <c r="A10" s="39" t="s">
        <v>171</v>
      </c>
    </row>
    <row r="12" spans="1:1" ht="72" customHeight="1" x14ac:dyDescent="0.2">
      <c r="A12" s="39" t="s">
        <v>172</v>
      </c>
    </row>
    <row r="14" spans="1:1" ht="36" customHeight="1" x14ac:dyDescent="0.2">
      <c r="A14" s="39" t="s">
        <v>173</v>
      </c>
    </row>
    <row r="16" spans="1:1" ht="36" customHeight="1" x14ac:dyDescent="0.2">
      <c r="A16" s="40" t="s">
        <v>174</v>
      </c>
    </row>
    <row r="18" spans="1:1" ht="36" customHeight="1" x14ac:dyDescent="0.2">
      <c r="A18" s="40" t="s">
        <v>175</v>
      </c>
    </row>
    <row r="20" spans="1:1" ht="36" customHeight="1" x14ac:dyDescent="0.2">
      <c r="A20" s="40" t="s">
        <v>176</v>
      </c>
    </row>
    <row r="22" spans="1:1" ht="24" customHeight="1" x14ac:dyDescent="0.2">
      <c r="A22" s="40" t="s">
        <v>177</v>
      </c>
    </row>
    <row r="24" spans="1:1" ht="24" customHeight="1" x14ac:dyDescent="0.2">
      <c r="A24" s="40" t="s">
        <v>178</v>
      </c>
    </row>
    <row r="26" spans="1:1" ht="24" customHeight="1" x14ac:dyDescent="0.2">
      <c r="A26" s="40" t="s">
        <v>179</v>
      </c>
    </row>
  </sheetData>
  <pageMargins left="0.2" right="0.2" top="0.5" bottom="0.5" header="0.5" footer="0.5"/>
  <pageSetup fitToWidth="0" fitToHeight="0" orientation="landscape"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A1067-F91A-4862-A54B-1C65115AF402}">
  <sheetPr codeName="Sheet11"/>
  <dimension ref="A5"/>
  <sheetViews>
    <sheetView workbookViewId="0"/>
  </sheetViews>
  <sheetFormatPr defaultRowHeight="10.199999999999999" x14ac:dyDescent="0.2"/>
  <sheetData>
    <row r="5" spans="1:1" ht="23.25" customHeight="1" x14ac:dyDescent="0.4">
      <c r="A5" s="42" t="s">
        <v>180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COMPCO</vt:lpstr>
      <vt:lpstr>BENCHMARKING</vt:lpstr>
      <vt:lpstr>Financial Data</vt:lpstr>
      <vt:lpstr>Trading Multiples</vt:lpstr>
      <vt:lpstr>Operating Statistics</vt:lpstr>
      <vt:lpstr>Business Description</vt:lpstr>
      <vt:lpstr>Implied Valuation</vt:lpstr>
      <vt:lpstr>Valuation Chart</vt:lpstr>
      <vt:lpstr>Credit Health Panel</vt:lpstr>
      <vt:lpstr>Disclaimer</vt:lpstr>
      <vt:lpstr>Evaluation Warning</vt:lpstr>
      <vt:lpstr>'Business Description'!Print_Titles</vt:lpstr>
      <vt:lpstr>'Credit Health Panel'!Print_Titles</vt:lpstr>
      <vt:lpstr>Disclaimer!Print_Titles</vt:lpstr>
      <vt:lpstr>'Financial Data'!Print_Titles</vt:lpstr>
      <vt:lpstr>'Implied Valuation'!Print_Titles</vt:lpstr>
      <vt:lpstr>'Operating Statistics'!Print_Titles</vt:lpstr>
      <vt:lpstr>'Trading Multiples'!Print_Titles</vt:lpstr>
      <vt:lpstr>'Valuation Chart'!Print_Titles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2004-07-20T21:40:42Z</dcterms:created>
  <dcterms:modified xsi:type="dcterms:W3CDTF">2023-04-28T19:36:18Z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8.6.2.281 (http://officewriter.softartisans.com)</vt:lpwstr>
  </property>
</Properties>
</file>