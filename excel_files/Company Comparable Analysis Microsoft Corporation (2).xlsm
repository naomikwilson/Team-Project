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ED9B1658-325D-4B96-A667-35CFECDB0ED6}"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R8" i="11"/>
  <c r="R10" i="11" s="1"/>
  <c r="R12" i="11" s="1"/>
  <c r="R14" i="11" s="1"/>
  <c r="Q15" i="11" l="1"/>
  <c r="Q17" i="11" s="1"/>
</calcChain>
</file>

<file path=xl/sharedStrings.xml><?xml version="1.0" encoding="utf-8"?>
<sst xmlns="http://schemas.openxmlformats.org/spreadsheetml/2006/main" count="671" uniqueCount="210">
  <si>
    <t>Microsoft Corporation (NasdaqGS:MSFT)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</si>
  <si>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</si>
  <si>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</si>
  <si>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</si>
  <si>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</si>
  <si>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</si>
  <si>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</si>
  <si>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</si>
  <si>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</si>
  <si>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</si>
  <si>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</si>
  <si>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</si>
  <si>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</si>
  <si>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</si>
  <si>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</si>
  <si>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</si>
  <si>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</si>
  <si>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</si>
  <si>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</si>
  <si>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</si>
  <si>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</si>
  <si>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</si>
  <si>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</si>
  <si>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</si>
  <si>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</si>
  <si>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Salesforce, Inc. (NYSE:CRM)</t>
  </si>
  <si>
    <t>-</t>
  </si>
  <si>
    <t>Oracle Corporation (NYSE:ORCL)</t>
  </si>
  <si>
    <t>Alphabet Inc. (NasdaqGS:GOOGL)</t>
  </si>
  <si>
    <t>VMware, Inc. (NYSE:VMW)</t>
  </si>
  <si>
    <t>ServiceNow, Inc. (NYSE:NOW)</t>
  </si>
  <si>
    <t>Amazon.com, Inc. (NasdaqGS:AMZN)</t>
  </si>
  <si>
    <t>Snowflake Inc. (NYSE:SNOW)</t>
  </si>
  <si>
    <t>Workday, Inc. (NasdaqGS:WDAY)</t>
  </si>
  <si>
    <t>Adobe Inc. (NasdaqGS:ADBE)</t>
  </si>
  <si>
    <t>Splunk Inc. (NasdaqGS:SPLK)</t>
  </si>
  <si>
    <t>Microsoft Corporation (NasdaqGS:MSFT)</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</si>
  <si>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</si>
  <si>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</si>
  <si>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</si>
  <si>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</si>
  <si>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</si>
  <si>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</si>
  <si>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</si>
  <si>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</si>
  <si>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</si>
  <si>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Microsoft Corporation (NasdaqGS:MSFT)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</si>
  <si>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</si>
  <si>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</si>
  <si>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</si>
  <si>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</si>
  <si>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</si>
  <si>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</si>
  <si>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</si>
  <si>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</si>
  <si>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</si>
  <si>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</si>
  <si>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</si>
  <si>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Microsoft Corporation (NasdaqGS:MSFT)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</si>
  <si>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</si>
  <si>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</si>
  <si>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</si>
  <si>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</si>
  <si>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</si>
  <si>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</si>
  <si>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</si>
  <si>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</si>
  <si>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</si>
  <si>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</si>
  <si>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</si>
  <si>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</si>
  <si>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</si>
  <si>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</si>
  <si>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</si>
  <si>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</si>
  <si>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Microsoft Corporation (NasdaqGS:MSFT) &gt;  Quick Comparable Analysis &gt; Business Description</t>
  </si>
  <si>
    <t>Template:</t>
  </si>
  <si>
    <t>Currency:</t>
  </si>
  <si>
    <t>As-Of Date:</t>
  </si>
  <si>
    <t>Business Description</t>
  </si>
  <si>
    <t>Headquarters</t>
  </si>
  <si>
    <t>Salesforce, Inc. provides Customer Relationship Management (CRM) technology that brings companies and customers together worldwide. The company’s service includes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In addition, its platform offering comprise a flexible platform that enables companies of various sizes, locations, and industries to build business apps with drag-and-drop tools; online learning platform that allows anyone to learn in-demand Salesforce skills; and Slack, a system of engagement. The company’s marketing services enables companies to plan, personalize, and optimize customer marketing journey and real time personalization and optimization; and commerce services, which empowers shopping experience across various points of commerce, such as mobile, web, social, and stores and provides click-to-code tools that offers customers to build and deploy solutions. Further, its analytics offering includes Tableau, an end-to-end analytics solution for range of enterprise use cases and intelligent analytics with advanced AI models, spot trends, predict outcomes, timely recommendations, and take action from any device; and integration service including MuleSoft, an easy to connect data from any system to deliver connected experiences. Additionally, the company provides genie customer data cloud, a hyperscale real-time data platform that powers the customer 360 platform; vertical services to meet the needs of customers in industries, such as financial services, healthcare and life sciences, manufacturing and others; and offers salesforce easy for small and medium-sized businesses. Salesforce, Inc. was incorporated in 1999 and is headquartered in San Francisco, California.</t>
  </si>
  <si>
    <t>Salesforce Tower, 3rd Floor, 415 Mission Street, San Francisco, California, 94105, United States</t>
  </si>
  <si>
    <t>Oracle Corporation offers products and services that address enterprise information technology environments worldwide. Its Oracle cloud software as a service offering include various cloud software applications, including Oracle Fusion cloud enterprise resource planning (ERP), Oracle Fusion cloud enterprise performance management, Oracle Fusion cloud supply chain and manufacturing management, Oracle Fusion cloud human capital management, Oracle Advertising, and NetSuite applications suite, as well as Oracle Fusion Sales, Service, and Marketing. The company also offers cloud-based industry solutions for various industries; Oracle application licenses; and Oracle license support services. In addition, it provides cloud and license business’ infrastructure technologies, such as the Oracle Database, an enterprise database; Java, a software development language; and middleware, including development tools and others. The company’s cloud and license business’ infrastructure technologies also comprise cloud-based compute, storage, and networking capabilities; and Oracle autonomous database, MySQL HeatWave, Internet-of-Things, digital assistant, and blockchain. Further, it provides hardware products and other hardware-related software offerings, including Oracle engineered systems, enterprise servers, storage solutions, industry-specific hardware, virtualization software, operating systems, management software, and related hardware services; and consulting and customer services. The company markets and sells its cloud, license, hardware, support, and services offerings directly to businesses in various industries, government agencies, and educational institutions, as well as through indirect channels. Oracle Corporation was founded in 1977 and is headquartered in Austin, Texas.</t>
  </si>
  <si>
    <t>2300 Oracle Way, Austin, Texas, 78741,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</si>
  <si>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</si>
  <si>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</si>
  <si>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VMware, Inc. provides software solutions in the areas of modern applications, cloud management and infrastructure, networking, security, and digital workspaces in the United States and internationally. It offers VMware multi-cloud solutions, including VMware vSphere, a data center infrastructure that provides the fundamental compute layer; vSAN and VxRail, which offers holistic data storage and protection options to applications running on vSphere; and vRealize Cloud Management solutions that manages hybrid and multi-cloud environments running in virtual machines and containers, as well as VMware Cloud Foundation, a cloud platform that combines its vSphere, vSAN, and NSX with vRealize Cloud Management into an integrated stack and delivers enterprise-ready cloud infrastructure for private and public clouds. The company also provides networking solutions, such as VMware NSX, NSX Distributed and Gateway Firewalls, NSX Network Detection and Response Engine, NSX Advanced Load Balancer, Tanzu Service Mesh, and VMware SASE; security solutions consisting of VMware Carbon Black Endpoint, Workload, and Container; and digital workspace solutions comprising Workspace ONE Unified Endpoint Management, Access, Intelligent Hub, and Horizon. In addition, it offers application modernization solutions, such as Tanzu Application and Operations Platform, Tanzu Application Service Platform, Tanzu Observability, Tanzu Community Edition, and Tanzu Labs; and cloud management solutions, including vRealize Cloud Management, vCloud Suite, and CloudHealth by VMware Suite. The company sells its products through distributors, resellers, system vendors, and systems integrators. VMware, Inc. has a strategic alliance with Amazon Web Services to build and deliver an integrated hybrid solution. The company was incorporated in 1998 and is headquartered in Palo Alto, California.</t>
  </si>
  <si>
    <t>3401 Hillview Avenue, Palo Alto, California, 94304, United States</t>
  </si>
  <si>
    <t>ServiceNow, Inc. provides enterprise cloud computing solutions that defines, structures, consolidates, manages, and automates services for enterprises worldwide. The company operates the Now platform for workflow automation, artificial intelligence, machine learning, robotic process automation, process mining, performance analytics, electronic service catalogs and portals, configuration management systems, data benchmarking, encryption, and collaboration and development tools. It also provides information technology (IT) service management applications; IT service management product suite for enterprise’s employees, customers, and partners; strategic portfolio management product suite; IT operations management product that connects a customer’s physical and cloud-based IT infrastructure; IT asset management; and security operations that connects with internal and third party. In addition, the company offers integrated risk management product to manage risk and resilience; environmental, social and governance management product; human resources, legal, and workplace service delivery products; safe workplace suite products; customer service management product; and field service management applications. Further, it provides App Engine product; Automation Engine enables application to extend workflows; platform privacy and security product; procurement operations management suite; and professional and customer support services. The company serves government, financial services, healthcare, telecommunications, manufacturing, IT services, technology, oil and gas, education, and consumer products through direct sales team and resale partners. It has a strategic partnership with Celonis to help customers identify and prioritize processes that are suitable for automation. The company was formerly known as Service-now.com and changed its name to ServiceNow, Inc. in May 2012. The company was founded in 2004 and is headquartered in Santa Clara, California.</t>
  </si>
  <si>
    <t>2225 Lawson Lane, Santa Clara, California, 95054, United States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</si>
  <si>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</si>
  <si>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</si>
  <si>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Snowflake Inc. provides a cloud-based data platform for various organizations in the United States and internationally. Its platform offers Data Cloud, which enables customers to consolidate data into a single source of truth to drive meaningful business insights, build data-driven applications, and share data and data products. The company was formerly known as Snowflake Computing, Inc. and changed its name to Snowflake Inc. in April 2019. Snowflake Inc. was incorporated in 2012 and is based in Bozeman, Montana.</t>
  </si>
  <si>
    <t>106 East Babcock Street, Suite 3A, Bozeman, Montana, 59715, United States</t>
  </si>
  <si>
    <t>Workday, Inc. provides enterprise cloud applications in the United States and internationally. Its applications help its customers to plan, execute, analyze, and extend to other applications and environments, and to manage their business and operations. The company offers a suite of financial management applications, which enable chief financial officers to maintain accounting information in the general ledger; manage financial processes, such as payables and receivables; identify real-time financial, operational, and management insights; enhance financial consolidation; reduce time-to-close; promote internal control and auditability; and achieve consistency across finance operations. It also provides spend management solutions that helps organizations to streamline supplier selection and contracts, manage indirect spend, and build and execute sourcing events, such as requests for proposals; and human capital management solution, a suite of human capital management applications that allows organizations to manage the entire employee lifecycle from recruitment to retirement, and enables HR teams to hire, onboard, pay, develop, reskill, and provide employee experiences. In addition, the company offers applications for planning; and applications for analytics and reporting comprising augmented analytics to surface insights to the line of business in simple-to-understand stories, machine learning to drive efficiency and automation, and benchmarks to compare performance against other companies. It serves professional and business services, financial services, healthcare, education, government, technology, media, retail, and hospitality industries. The company was formerly known as North Tahoe Power Tools, Inc. and changed its name to Workday, Inc. in July 2005. Workday, Inc. was incorporated in 2005 and is headquartered in Pleasanton, California.</t>
  </si>
  <si>
    <t>6110 Stoneridge Mall Road, Pleasanton, California, 94588, United States</t>
  </si>
  <si>
    <t>Adobe Inc., together with its subsidiaries, operates as a diversified software company worldwide. It operates through three segments: Digital Media, Digital Experience, and Publishing and Advertising. The Digital Media segment offers products, services, and solutions that enable individuals, teams, and enterprises to create, publish, and promote content; and Document Cloud, a unified cloud-based document services platform. Its flagship product is Creative Cloud, a subscription service that allows members to access its creative products. This segment serves content creators, students, workers, marketers, educators, enthusiasts, communicators, and consumers. The Digital Experience segment provides an integrated platform and set of applications and services that enable brands and businesses to create, manage, execute, measure, monetize, and optimize customer experiences from analytics to commerce. This segment serves marketers, advertisers, agencies, publishers, merchandisers, merchants, web analysts, data scientists, developers, and executives across the C-suite. The Publishing and Advertising segment offers products and services, such as e-learning solutions, technical document publishing, web conferencing, document and forms platform, web application development, and high-end printing, as well as Advertising Cloud offerings. The company offers its products and services directly to enterprise customers through its sales force and local field offices, as well as to end users through app stores and through its website at adobe.com. It also distributes products and services through a network of distributors, value-added resellers, systems integrators, software vendors and developers, retailers, and original equipment manufacturers. The company was formerly known as Adobe Systems Incorporated and changed its name to Adobe Inc. in October 2018. Adobe Inc. was founded in 1982 and is headquartered in San Jose, California.</t>
  </si>
  <si>
    <t>345 Park Avenue, San Jose, California, 95110-2704, United States</t>
  </si>
  <si>
    <t>Splunk Inc., together with its subsidiaries, develops and markets cloud services and licensed software solutions in the United States and internationally. The company offers unified security and observability platform, including Splunk Security that helps security leaders fortify their organization’s digital resilience by mitigating cyber risk and meeting compliance requirements; and Splunk Observability, which provides visibility across the full stack of infrastructure, applications, and the digital customer experience. It also provides application programming interfaces, software development kits, and other interfaces that enables its network of third-party developers, partners, and customers to build content, including pre-built data inputs, workflows, searches, reports, alerts, custom dashboards, flexible user interface components, custom data visualizations, and integration actions and methods that configures and extends its solutions to accommodate specific use cases. In addition, the company offers adoption and implementation, education, and customer support services. It sells its offerings directly through field and inside sales, and indirectly through various routes to market with various partners. Splunk Inc. was incorporated in 2003 and is headquartered in San Francisco, California.</t>
  </si>
  <si>
    <t>270 Brannan Street, San Francisco, California, 94107, United States</t>
  </si>
  <si>
    <t>Microsoft Corporation develops, licenses, and supports software, services, devices, and solutions worldwide. The company operates in three segments: Productivity and Business Processes, Intelligent Cloud, and More Personal Computing. The Productivity and Business Processes segment offers Office, Exchange, SharePoint, Microsoft Teams, Office 365 Security and Compliance, Microsoft Viva, and Skype for Business; Skype, Outlook.com, OneDrive, and LinkedIn; and Dynamics 365, a set of cloud-based and on-premises business solutions for organizations and enterprise divisions. The Intelligent Cloud segment licenses SQL, Windows Servers, Visual Studio, System Center, and related Client Access Licenses; GitHub that provides a collaboration platform and code hosting service for developers; Nuance provides healthcare and enterprise AI solutions; and Azure, a cloud platform. It also offers enterprise support, Microsoft consulting, and nuance professional services to assist customers in developing, deploying, and managing Microsoft server and desktop solutions; and training and certification on Microsoft products. The More Personal Computing segment provides Windows original equipment manufacturer (OEM) licensing and other non-volume licensing of the Windows operating system; Windows Commercial, such as volume licensing of the Windows operating system, Windows cloud services, and other Windows commercial offerings; patent licensing; and Windows Internet of Things. It also offers Surface, PC accessories, PCs, tablets, gaming and entertainment consoles, and other devices; Gaming, including Xbox hardware, and Xbox content and services; video games and third-party video game royalties; and Search, including Bing and Microsoft advertising. The company sells its products through OEMs, distributors, and resellers; and directly through digital marketplaces, online stores, and retail stores. Microsoft Corporation was founded in 1975 and is headquartered in Redmond, Washington.</t>
  </si>
  <si>
    <t>One Microsoft Way, Redmond, Washington, 98052-6399, United States</t>
  </si>
  <si>
    <t>Microsoft Corporation (NasdaqGS:MSFT)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</si>
  <si>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</si>
  <si>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</si>
  <si>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</si>
  <si>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</si>
  <si>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</si>
  <si>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</si>
  <si>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</si>
  <si>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</si>
  <si>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</si>
  <si>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</si>
  <si>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</si>
  <si>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</si>
  <si>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</si>
  <si>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</si>
  <si>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</si>
  <si>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</si>
  <si>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</si>
  <si>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</si>
  <si>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</si>
  <si>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</si>
  <si>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</si>
  <si>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</si>
  <si>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Microsoft Corporation (NasdaqGS:MSFT) &gt;  Quick Comparable Analysis &gt; Valuation Chart</t>
  </si>
  <si>
    <t>Template:</t>
  </si>
  <si>
    <t>Currency:</t>
  </si>
  <si>
    <t>As-Of Date:</t>
  </si>
  <si>
    <t>Microsoft Corporation (NasdaqGS:MSFT)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</si>
  <si>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</si>
  <si>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</si>
  <si>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</si>
  <si>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</si>
  <si>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</si>
  <si>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</si>
  <si>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</si>
  <si>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</si>
  <si>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</si>
  <si>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</si>
  <si>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</si>
  <si>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</si>
  <si>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</si>
  <si>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</si>
  <si>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</si>
  <si>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</si>
  <si>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0.1855%</t>
  </si>
  <si>
    <t>United States</t>
  </si>
  <si>
    <t>Interactive Media and Services</t>
  </si>
  <si>
    <t>A+</t>
  </si>
  <si>
    <t>a</t>
  </si>
  <si>
    <t>0.3759%</t>
  </si>
  <si>
    <t>Application Software</t>
  </si>
  <si>
    <t>bb</t>
  </si>
  <si>
    <t>0.8254%</t>
  </si>
  <si>
    <t>Internet Services and Infrastructure</t>
  </si>
  <si>
    <t>A-</t>
  </si>
  <si>
    <t>bbb-</t>
  </si>
  <si>
    <t>0.4500%</t>
  </si>
  <si>
    <t>Systems Software</t>
  </si>
  <si>
    <t>AA</t>
  </si>
  <si>
    <t>aa</t>
  </si>
  <si>
    <t>0.6705%</t>
  </si>
  <si>
    <t>Broadline Retail</t>
  </si>
  <si>
    <t>b+</t>
  </si>
  <si>
    <t>1.7188%</t>
  </si>
  <si>
    <t>BBB</t>
  </si>
  <si>
    <t>bb-</t>
  </si>
  <si>
    <t>0.5758%</t>
  </si>
  <si>
    <t>bbb</t>
  </si>
  <si>
    <t>0.2491%</t>
  </si>
  <si>
    <t>0.4869%</t>
  </si>
  <si>
    <t>BBB-</t>
  </si>
  <si>
    <t>0.3194%</t>
  </si>
  <si>
    <t>AAA</t>
  </si>
  <si>
    <t>0.1138%</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</si>
  <si>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</si>
  <si>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</si>
  <si>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</si>
  <si>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Microsoft Corporation (NasdaqGS:MSFT)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</si>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</sst>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7B13D44-9C15-4860-8CF4-7DF567D9498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D57D3BDE-D3A0-4B4E-9DB6-366F18EA4911}"/>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B415630-A299-4D9B-8026-8536F8957EF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79D93FB2-954F-47D4-9855-A7EA68DA6D2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5C9E048-F03E-469D-A4C5-710DB32D455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18D88C59-CCBC-459D-B942-E9B58A918F64}"/>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67D00B7-113C-4273-B977-CD9853C9A01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0FEEE8BF-2719-4284-8EF3-6E97EA6E097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9780EFD8-F67F-4499-9A5A-3A8AD091DEE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10F647DD-5333-4402-9A5D-DB49F0A2462D}"/>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12778485-E769-4731-861F-C0EE38C5533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CB47882B-0D15-4002-9A33-3C6D59A1F0BF}"/>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FBD783E6-E1A7-4F2A-BD33-3CE6BFA8841E}"/>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E4243B9C-876D-4A1C-973A-7B63B5641E4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74B084E3-4188-49E8-992A-007983C44D73}"/>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7FD841DE-3826-45E7-8D7D-3118CDF0B296}"/>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3C4327D1-FCD0-4FC5-8EF3-53FF8E92E79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A94D4-0064-4ACA-92C1-13ECDDE3BA18}">
  <sheetPr codeName="Sheet1"/>
  <dimension ref="C5:S44"/>
  <sheetViews>
    <sheetView showGridLines="0" tabSelected="1" workbookViewId="0"/>
  </sheetViews>
  <sheetFormatPr defaultRowHeight="13.2" x14ac:dyDescent="0.25"/>
  <cols>
    <col min="1" max="2" width="8.88671875" style="83"/>
    <col min="3" max="3" width="35.10937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4.10937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196</v>
      </c>
      <c r="R6" s="86" t="s">
        <v>197</v>
      </c>
      <c r="S6" s="88" t="s">
        <v>198</v>
      </c>
    </row>
    <row r="7" spans="3:19" x14ac:dyDescent="0.25">
      <c r="C7" s="92" t="s">
        <v>25</v>
      </c>
      <c r="D7" s="104">
        <v>195.94</v>
      </c>
      <c r="E7" s="106">
        <v>980.9</v>
      </c>
      <c r="F7" s="104">
        <v>192189.3</v>
      </c>
      <c r="G7" s="104">
        <v>2371</v>
      </c>
      <c r="H7" s="104">
        <v>194560.3</v>
      </c>
      <c r="I7" s="104">
        <v>34639.449999999997</v>
      </c>
      <c r="J7" s="104">
        <v>10354.75</v>
      </c>
      <c r="K7" s="104">
        <v>7.16</v>
      </c>
      <c r="L7" s="108">
        <v>5.62</v>
      </c>
      <c r="M7" s="108">
        <v>18.79</v>
      </c>
      <c r="N7" s="109">
        <v>27.38</v>
      </c>
      <c r="P7" s="84" t="s">
        <v>199</v>
      </c>
      <c r="Q7" s="122">
        <v>0.33333333333333331</v>
      </c>
      <c r="R7" s="122">
        <v>0.33333333333333331</v>
      </c>
      <c r="S7" s="123">
        <v>0.33333333333333331</v>
      </c>
    </row>
    <row r="8" spans="3:19" x14ac:dyDescent="0.25">
      <c r="C8" s="92" t="s">
        <v>27</v>
      </c>
      <c r="D8" s="104">
        <v>95.04</v>
      </c>
      <c r="E8" s="106">
        <v>2699.8</v>
      </c>
      <c r="F8" s="104">
        <v>256589.2</v>
      </c>
      <c r="G8" s="104">
        <v>83042</v>
      </c>
      <c r="H8" s="104">
        <v>340140.2</v>
      </c>
      <c r="I8" s="104">
        <v>52575.91</v>
      </c>
      <c r="J8" s="104">
        <v>25466.75</v>
      </c>
      <c r="K8" s="104">
        <v>5.45</v>
      </c>
      <c r="L8" s="108">
        <v>6.47</v>
      </c>
      <c r="M8" s="108">
        <v>13.36</v>
      </c>
      <c r="N8" s="109">
        <v>17.420000000000002</v>
      </c>
      <c r="P8" s="84" t="s">
        <v>200</v>
      </c>
      <c r="Q8" s="124">
        <f>INDEX(L24:L44,MATCH($L$22,$K$24:$K$44))</f>
        <v>6.4420000000000002</v>
      </c>
      <c r="R8" s="124">
        <f>INDEX(M24:M44,MATCH($L$22,$K$24:$K$44))</f>
        <v>21.486000000000001</v>
      </c>
      <c r="S8" s="125">
        <f>INDEX(N24:N44,MATCH($L$22,$K$24:$K$44))</f>
        <v>30.339999999999996</v>
      </c>
    </row>
    <row r="9" spans="3:19" x14ac:dyDescent="0.25">
      <c r="C9" s="92" t="s">
        <v>28</v>
      </c>
      <c r="D9" s="104">
        <v>107.59</v>
      </c>
      <c r="E9" s="106">
        <v>12697</v>
      </c>
      <c r="F9" s="104">
        <v>1370652</v>
      </c>
      <c r="G9" s="104">
        <v>-85609</v>
      </c>
      <c r="H9" s="104">
        <v>1285043</v>
      </c>
      <c r="I9" s="104">
        <v>305093.65000000002</v>
      </c>
      <c r="J9" s="104">
        <v>122110.19</v>
      </c>
      <c r="K9" s="104">
        <v>5.54</v>
      </c>
      <c r="L9" s="108">
        <v>4.21</v>
      </c>
      <c r="M9" s="108">
        <v>10.52</v>
      </c>
      <c r="N9" s="109">
        <v>19.440000000000001</v>
      </c>
      <c r="P9" s="84" t="s">
        <v>201</v>
      </c>
      <c r="Q9" s="115">
        <v>227323.73</v>
      </c>
      <c r="R9" s="115">
        <v>113453.61</v>
      </c>
      <c r="S9" s="116">
        <v>10.54</v>
      </c>
    </row>
    <row r="10" spans="3:19" x14ac:dyDescent="0.25">
      <c r="C10" s="92" t="s">
        <v>29</v>
      </c>
      <c r="D10" s="104">
        <v>124.41</v>
      </c>
      <c r="E10" s="106">
        <v>428.5</v>
      </c>
      <c r="F10" s="104">
        <v>53307.6</v>
      </c>
      <c r="G10" s="104">
        <v>6377</v>
      </c>
      <c r="H10" s="104">
        <v>59684.6</v>
      </c>
      <c r="I10" s="104">
        <v>14120.92</v>
      </c>
      <c r="J10" s="104">
        <v>5188.47</v>
      </c>
      <c r="K10" s="104">
        <v>6.92</v>
      </c>
      <c r="L10" s="108">
        <v>4.2300000000000004</v>
      </c>
      <c r="M10" s="108">
        <v>11.5</v>
      </c>
      <c r="N10" s="109">
        <v>17.97</v>
      </c>
      <c r="P10" s="84" t="s">
        <v>202</v>
      </c>
      <c r="Q10" s="115">
        <f>Q9*Q8</f>
        <v>1464419.46866</v>
      </c>
      <c r="R10" s="115">
        <f>R9*R8</f>
        <v>2437664.2644600002</v>
      </c>
      <c r="S10" s="116">
        <f>S12+S11</f>
        <v>2352643.9577999995</v>
      </c>
    </row>
    <row r="11" spans="3:19" x14ac:dyDescent="0.25">
      <c r="C11" s="92" t="s">
        <v>30</v>
      </c>
      <c r="D11" s="104">
        <v>454.34</v>
      </c>
      <c r="E11" s="106">
        <v>203.7</v>
      </c>
      <c r="F11" s="104">
        <v>92567.3</v>
      </c>
      <c r="G11" s="104">
        <v>-2676</v>
      </c>
      <c r="H11" s="104">
        <v>89891.3</v>
      </c>
      <c r="I11" s="104">
        <v>9313.56</v>
      </c>
      <c r="J11" s="104">
        <v>3045.98</v>
      </c>
      <c r="K11" s="104">
        <v>9.74</v>
      </c>
      <c r="L11" s="108">
        <v>9.65</v>
      </c>
      <c r="M11" s="108">
        <v>29.51</v>
      </c>
      <c r="N11" s="109">
        <v>46.67</v>
      </c>
      <c r="P11" s="84" t="s">
        <v>203</v>
      </c>
      <c r="Q11" s="115">
        <v>-25107</v>
      </c>
      <c r="R11" s="115">
        <v>-25107</v>
      </c>
      <c r="S11" s="116">
        <v>-25107</v>
      </c>
    </row>
    <row r="12" spans="3:19" x14ac:dyDescent="0.25">
      <c r="C12" s="92" t="s">
        <v>31</v>
      </c>
      <c r="D12" s="104">
        <v>109.82</v>
      </c>
      <c r="E12" s="106">
        <v>10258</v>
      </c>
      <c r="F12" s="104">
        <v>1126533.7</v>
      </c>
      <c r="G12" s="104">
        <v>76946</v>
      </c>
      <c r="H12" s="104">
        <v>1203479.7</v>
      </c>
      <c r="I12" s="104" t="s">
        <v>26</v>
      </c>
      <c r="J12" s="104" t="s">
        <v>26</v>
      </c>
      <c r="K12" s="104" t="s">
        <v>26</v>
      </c>
      <c r="L12" s="108" t="s">
        <v>26</v>
      </c>
      <c r="M12" s="108" t="s">
        <v>26</v>
      </c>
      <c r="N12" s="109" t="s">
        <v>26</v>
      </c>
      <c r="P12" s="84" t="s">
        <v>124</v>
      </c>
      <c r="Q12" s="115">
        <f>Q10-Q11</f>
        <v>1489526.46866</v>
      </c>
      <c r="R12" s="115">
        <f>R10-R11</f>
        <v>2462771.2644600002</v>
      </c>
      <c r="S12" s="116">
        <f>S13*S14</f>
        <v>2377750.9577999995</v>
      </c>
    </row>
    <row r="13" spans="3:19" x14ac:dyDescent="0.25">
      <c r="C13" s="92" t="s">
        <v>32</v>
      </c>
      <c r="D13" s="104">
        <v>148.77000000000001</v>
      </c>
      <c r="E13" s="106">
        <v>325</v>
      </c>
      <c r="F13" s="104">
        <v>48350.3</v>
      </c>
      <c r="G13" s="104">
        <v>-4829.2</v>
      </c>
      <c r="H13" s="104">
        <v>43533.2</v>
      </c>
      <c r="I13" s="104">
        <v>2890.38</v>
      </c>
      <c r="J13" s="104">
        <v>240.36</v>
      </c>
      <c r="K13" s="104">
        <v>0.59</v>
      </c>
      <c r="L13" s="108">
        <v>15.06</v>
      </c>
      <c r="M13" s="108">
        <v>181.11</v>
      </c>
      <c r="N13" s="109">
        <v>251.39</v>
      </c>
      <c r="P13" s="84" t="s">
        <v>204</v>
      </c>
      <c r="Q13" s="126">
        <v>7435.5</v>
      </c>
      <c r="R13" s="126">
        <v>7435.5</v>
      </c>
      <c r="S13" s="127">
        <v>7435.5</v>
      </c>
    </row>
    <row r="14" spans="3:19" ht="13.8" thickBot="1" x14ac:dyDescent="0.3">
      <c r="C14" s="92" t="s">
        <v>33</v>
      </c>
      <c r="D14" s="104">
        <v>187.13</v>
      </c>
      <c r="E14" s="106">
        <v>259</v>
      </c>
      <c r="F14" s="104">
        <v>48469.599999999999</v>
      </c>
      <c r="G14" s="104">
        <v>-2872.3</v>
      </c>
      <c r="H14" s="104">
        <v>45597.3</v>
      </c>
      <c r="I14" s="104">
        <v>7197.8</v>
      </c>
      <c r="J14" s="104">
        <v>2026.14</v>
      </c>
      <c r="K14" s="104">
        <v>5.1100000000000003</v>
      </c>
      <c r="L14" s="108">
        <v>6.33</v>
      </c>
      <c r="M14" s="108">
        <v>22.5</v>
      </c>
      <c r="N14" s="109">
        <v>36.590000000000003</v>
      </c>
      <c r="P14" s="101" t="s">
        <v>205</v>
      </c>
      <c r="Q14" s="117">
        <f>Q12/Q13</f>
        <v>200.32633564118083</v>
      </c>
      <c r="R14" s="118">
        <f>R12/R13</f>
        <v>331.21797652612469</v>
      </c>
      <c r="S14" s="119">
        <f>S8*S9</f>
        <v>319.78359999999992</v>
      </c>
    </row>
    <row r="15" spans="3:19" x14ac:dyDescent="0.25">
      <c r="C15" s="92" t="s">
        <v>34</v>
      </c>
      <c r="D15" s="104">
        <v>371.42</v>
      </c>
      <c r="E15" s="106">
        <v>458.7</v>
      </c>
      <c r="F15" s="104">
        <v>170370.4</v>
      </c>
      <c r="G15" s="104">
        <v>-1527</v>
      </c>
      <c r="H15" s="104">
        <v>168843.4</v>
      </c>
      <c r="I15" s="104">
        <v>19792.57</v>
      </c>
      <c r="J15" s="104">
        <v>9731.4500000000007</v>
      </c>
      <c r="K15" s="104">
        <v>15.94</v>
      </c>
      <c r="L15" s="108">
        <v>8.5299999999999994</v>
      </c>
      <c r="M15" s="108">
        <v>17.350000000000001</v>
      </c>
      <c r="N15" s="109">
        <v>23.3</v>
      </c>
      <c r="P15" s="85" t="s">
        <v>206</v>
      </c>
      <c r="Q15" s="120">
        <f>SUMPRODUCT(Q14:S14,Q7:S7)</f>
        <v>283.77597072243515</v>
      </c>
      <c r="R15" s="121"/>
      <c r="S15" s="121"/>
    </row>
    <row r="16" spans="3:19" x14ac:dyDescent="0.25">
      <c r="C16" s="92" t="s">
        <v>35</v>
      </c>
      <c r="D16" s="104">
        <v>86.08</v>
      </c>
      <c r="E16" s="106">
        <v>165.5</v>
      </c>
      <c r="F16" s="104">
        <v>14246.2</v>
      </c>
      <c r="G16" s="104">
        <v>2104.4</v>
      </c>
      <c r="H16" s="104">
        <v>16350.6</v>
      </c>
      <c r="I16" s="104">
        <v>3895.34</v>
      </c>
      <c r="J16" s="104">
        <v>737.7</v>
      </c>
      <c r="K16" s="104">
        <v>2.77</v>
      </c>
      <c r="L16" s="108">
        <v>4.2</v>
      </c>
      <c r="M16" s="108">
        <v>22.16</v>
      </c>
      <c r="N16" s="109">
        <v>31.08</v>
      </c>
      <c r="P16" s="84" t="s">
        <v>207</v>
      </c>
      <c r="Q16" s="116">
        <v>304.83</v>
      </c>
      <c r="R16" s="121"/>
      <c r="S16" s="121"/>
    </row>
    <row r="17" spans="3:19" ht="13.8" thickBot="1" x14ac:dyDescent="0.3">
      <c r="C17" s="93" t="s">
        <v>36</v>
      </c>
      <c r="D17" s="105">
        <v>304.83</v>
      </c>
      <c r="E17" s="107">
        <v>7435.5</v>
      </c>
      <c r="F17" s="105">
        <v>2266559.7000000002</v>
      </c>
      <c r="G17" s="105">
        <v>-25107</v>
      </c>
      <c r="H17" s="105">
        <v>2241452.7000000002</v>
      </c>
      <c r="I17" s="105">
        <v>227323.73</v>
      </c>
      <c r="J17" s="105">
        <v>113453.61</v>
      </c>
      <c r="K17" s="105">
        <v>10.54</v>
      </c>
      <c r="L17" s="110">
        <v>9.86</v>
      </c>
      <c r="M17" s="110">
        <v>19.760000000000002</v>
      </c>
      <c r="N17" s="111">
        <v>28.92</v>
      </c>
      <c r="P17" s="87" t="s">
        <v>208</v>
      </c>
      <c r="Q17" s="128">
        <f>Q15/Q16-1</f>
        <v>-6.9068101163155982E-2</v>
      </c>
      <c r="R17" s="121"/>
      <c r="S17" s="121"/>
    </row>
    <row r="20" spans="3:19" ht="39.6" x14ac:dyDescent="0.25">
      <c r="C20" s="102" t="s">
        <v>209</v>
      </c>
      <c r="D20" s="103">
        <f>Q17</f>
        <v>-6.9068101163155982E-2</v>
      </c>
    </row>
    <row r="21" spans="3:19" ht="13.8" thickBot="1" x14ac:dyDescent="0.3"/>
    <row r="22" spans="3:19" ht="13.8" thickBot="1" x14ac:dyDescent="0.3">
      <c r="K22" s="100" t="s">
        <v>195</v>
      </c>
      <c r="L22" s="129">
        <f>BENCHMARKING!D28</f>
        <v>0.62499999999999989</v>
      </c>
    </row>
    <row r="23" spans="3:19" ht="13.8" thickBot="1" x14ac:dyDescent="0.3">
      <c r="K23" s="83" t="s">
        <v>194</v>
      </c>
    </row>
    <row r="24" spans="3:19" x14ac:dyDescent="0.25">
      <c r="K24" s="112">
        <v>0</v>
      </c>
      <c r="L24" s="94">
        <f>PERCENTILE(L7:L16,K24)</f>
        <v>4.2</v>
      </c>
      <c r="M24" s="94">
        <f>PERCENTILE(M7:M16,K24)</f>
        <v>10.52</v>
      </c>
      <c r="N24" s="95">
        <f>PERCENTILE(N7:N16,K24)</f>
        <v>17.420000000000002</v>
      </c>
    </row>
    <row r="25" spans="3:19" x14ac:dyDescent="0.25">
      <c r="K25" s="113">
        <v>0.05</v>
      </c>
      <c r="L25" s="96">
        <f>PERCENTILE(L7:L16,K25)</f>
        <v>4.2039999999999997</v>
      </c>
      <c r="M25" s="96">
        <f>PERCENTILE(M7:M16,K25)</f>
        <v>10.911999999999999</v>
      </c>
      <c r="N25" s="97">
        <f>PERCENTILE(N7:N16,K25)</f>
        <v>17.64</v>
      </c>
    </row>
    <row r="26" spans="3:19" x14ac:dyDescent="0.25">
      <c r="K26" s="113">
        <v>0.1</v>
      </c>
      <c r="L26" s="96">
        <f>PERCENTILE(L7:L16,K26)</f>
        <v>4.2080000000000002</v>
      </c>
      <c r="M26" s="96">
        <f>PERCENTILE(M7:M16,K26)</f>
        <v>11.304</v>
      </c>
      <c r="N26" s="97">
        <f>PERCENTILE(N7:N16,K26)</f>
        <v>17.86</v>
      </c>
    </row>
    <row r="27" spans="3:19" x14ac:dyDescent="0.25">
      <c r="K27" s="113">
        <v>0.15</v>
      </c>
      <c r="L27" s="96">
        <f>PERCENTILE(L7:L16,K27)</f>
        <v>4.2140000000000004</v>
      </c>
      <c r="M27" s="96">
        <f>PERCENTILE(M7:M16,K27)</f>
        <v>11.872</v>
      </c>
      <c r="N27" s="97">
        <f>PERCENTILE(N7:N16,K27)</f>
        <v>18.263999999999999</v>
      </c>
    </row>
    <row r="28" spans="3:19" x14ac:dyDescent="0.25">
      <c r="K28" s="113">
        <v>0.2</v>
      </c>
      <c r="L28" s="96">
        <f>PERCENTILE(L7:L16,K28)</f>
        <v>4.2220000000000004</v>
      </c>
      <c r="M28" s="96">
        <f>PERCENTILE(M7:M16,K28)</f>
        <v>12.616</v>
      </c>
      <c r="N28" s="97">
        <f>PERCENTILE(N7:N16,K28)</f>
        <v>18.852</v>
      </c>
    </row>
    <row r="29" spans="3:19" x14ac:dyDescent="0.25">
      <c r="K29" s="113">
        <v>0.25</v>
      </c>
      <c r="L29" s="96">
        <f>PERCENTILE(L7:L16,K29)</f>
        <v>4.2300000000000004</v>
      </c>
      <c r="M29" s="96">
        <f>PERCENTILE(M7:M16,K29)</f>
        <v>13.36</v>
      </c>
      <c r="N29" s="97">
        <f>PERCENTILE(N7:N16,K29)</f>
        <v>19.440000000000001</v>
      </c>
    </row>
    <row r="30" spans="3:19" x14ac:dyDescent="0.25">
      <c r="K30" s="113">
        <v>0.3</v>
      </c>
      <c r="L30" s="96">
        <f>PERCENTILE(L7:L16,K30)</f>
        <v>4.7860000000000005</v>
      </c>
      <c r="M30" s="96">
        <f>PERCENTILE(M7:M16,K30)</f>
        <v>14.956</v>
      </c>
      <c r="N30" s="97">
        <f>PERCENTILE(N7:N16,K30)</f>
        <v>20.984000000000002</v>
      </c>
    </row>
    <row r="31" spans="3:19" x14ac:dyDescent="0.25">
      <c r="K31" s="113">
        <v>0.35</v>
      </c>
      <c r="L31" s="96">
        <f>PERCENTILE(L7:L16,K31)</f>
        <v>5.3419999999999996</v>
      </c>
      <c r="M31" s="96">
        <f>PERCENTILE(M7:M16,K31)</f>
        <v>16.552</v>
      </c>
      <c r="N31" s="97">
        <f>PERCENTILE(N7:N16,K31)</f>
        <v>22.527999999999999</v>
      </c>
    </row>
    <row r="32" spans="3:19" x14ac:dyDescent="0.25">
      <c r="K32" s="113">
        <v>0.4</v>
      </c>
      <c r="L32" s="96">
        <f>PERCENTILE(L7:L16,K32)</f>
        <v>5.7620000000000005</v>
      </c>
      <c r="M32" s="96">
        <f>PERCENTILE(M7:M16,K32)</f>
        <v>17.638000000000002</v>
      </c>
      <c r="N32" s="97">
        <f>PERCENTILE(N7:N16,K32)</f>
        <v>24.116</v>
      </c>
    </row>
    <row r="33" spans="11:14" x14ac:dyDescent="0.25">
      <c r="K33" s="113">
        <v>0.45</v>
      </c>
      <c r="L33" s="96">
        <f>PERCENTILE(L7:L16,K33)</f>
        <v>6.0459999999999994</v>
      </c>
      <c r="M33" s="96">
        <f>PERCENTILE(M7:M16,K33)</f>
        <v>18.213999999999999</v>
      </c>
      <c r="N33" s="97">
        <f>PERCENTILE(N7:N16,K33)</f>
        <v>25.747999999999998</v>
      </c>
    </row>
    <row r="34" spans="11:14" x14ac:dyDescent="0.25">
      <c r="K34" s="113">
        <v>0.5</v>
      </c>
      <c r="L34" s="96">
        <f>PERCENTILE(L7:L16,K34)</f>
        <v>6.33</v>
      </c>
      <c r="M34" s="96">
        <f>PERCENTILE(M7:M16,K34)</f>
        <v>18.79</v>
      </c>
      <c r="N34" s="97">
        <f>PERCENTILE(N7:N16,K34)</f>
        <v>27.38</v>
      </c>
    </row>
    <row r="35" spans="11:14" x14ac:dyDescent="0.25">
      <c r="K35" s="113">
        <v>0.55000000000000004</v>
      </c>
      <c r="L35" s="96">
        <f>PERCENTILE(L7:L16,K35)</f>
        <v>6.3860000000000001</v>
      </c>
      <c r="M35" s="96">
        <f>PERCENTILE(M7:M16,K35)</f>
        <v>20.138000000000002</v>
      </c>
      <c r="N35" s="97">
        <f>PERCENTILE(N7:N16,K35)</f>
        <v>28.86</v>
      </c>
    </row>
    <row r="36" spans="11:14" x14ac:dyDescent="0.25">
      <c r="K36" s="113">
        <v>0.6</v>
      </c>
      <c r="L36" s="96">
        <f>PERCENTILE(L7:L16,K36)</f>
        <v>6.4420000000000002</v>
      </c>
      <c r="M36" s="96">
        <f>PERCENTILE(M7:M16,K36)</f>
        <v>21.486000000000001</v>
      </c>
      <c r="N36" s="97">
        <f>PERCENTILE(N7:N16,K36)</f>
        <v>30.339999999999996</v>
      </c>
    </row>
    <row r="37" spans="11:14" x14ac:dyDescent="0.25">
      <c r="K37" s="113">
        <v>0.65</v>
      </c>
      <c r="L37" s="96">
        <f>PERCENTILE(L7:L16,K37)</f>
        <v>6.8819999999999997</v>
      </c>
      <c r="M37" s="96">
        <f>PERCENTILE(M7:M16,K37)</f>
        <v>22.228000000000002</v>
      </c>
      <c r="N37" s="97">
        <f>PERCENTILE(N7:N16,K37)</f>
        <v>32.182000000000002</v>
      </c>
    </row>
    <row r="38" spans="11:14" x14ac:dyDescent="0.25">
      <c r="K38" s="113">
        <v>0.7</v>
      </c>
      <c r="L38" s="96">
        <f>PERCENTILE(L7:L16,K38)</f>
        <v>7.7059999999999986</v>
      </c>
      <c r="M38" s="96">
        <f>PERCENTILE(M7:M16,K38)</f>
        <v>22.364000000000001</v>
      </c>
      <c r="N38" s="97">
        <f>PERCENTILE(N7:N16,K38)</f>
        <v>34.385999999999996</v>
      </c>
    </row>
    <row r="39" spans="11:14" x14ac:dyDescent="0.25">
      <c r="K39" s="113">
        <v>0.75</v>
      </c>
      <c r="L39" s="96">
        <f>PERCENTILE(L7:L16,K39)</f>
        <v>8.5299999999999994</v>
      </c>
      <c r="M39" s="96">
        <f>PERCENTILE(M7:M16,K39)</f>
        <v>22.5</v>
      </c>
      <c r="N39" s="97">
        <f>PERCENTILE(N7:N16,K39)</f>
        <v>36.590000000000003</v>
      </c>
    </row>
    <row r="40" spans="11:14" x14ac:dyDescent="0.25">
      <c r="K40" s="113">
        <v>0.8</v>
      </c>
      <c r="L40" s="96">
        <f>PERCENTILE(L7:L16,K40)</f>
        <v>8.9779999999999998</v>
      </c>
      <c r="M40" s="96">
        <f>PERCENTILE(M7:M16,K40)</f>
        <v>25.304000000000002</v>
      </c>
      <c r="N40" s="97">
        <f>PERCENTILE(N7:N16,K40)</f>
        <v>40.622000000000007</v>
      </c>
    </row>
    <row r="41" spans="11:14" x14ac:dyDescent="0.25">
      <c r="K41" s="113">
        <v>0.85</v>
      </c>
      <c r="L41" s="96">
        <f>PERCENTILE(L7:L16,K41)</f>
        <v>9.4260000000000002</v>
      </c>
      <c r="M41" s="96">
        <f>PERCENTILE(M7:M16,K41)</f>
        <v>28.108000000000001</v>
      </c>
      <c r="N41" s="97">
        <f>PERCENTILE(N7:N16,K41)</f>
        <v>44.653999999999996</v>
      </c>
    </row>
    <row r="42" spans="11:14" x14ac:dyDescent="0.25">
      <c r="K42" s="113">
        <v>0.9</v>
      </c>
      <c r="L42" s="96">
        <f>PERCENTILE(L7:L16,K42)</f>
        <v>10.731999999999996</v>
      </c>
      <c r="M42" s="96">
        <f>PERCENTILE(M7:M16,K42)</f>
        <v>59.829999999999899</v>
      </c>
      <c r="N42" s="97">
        <f>PERCENTILE(N7:N16,K42)</f>
        <v>87.613999999999848</v>
      </c>
    </row>
    <row r="43" spans="11:14" x14ac:dyDescent="0.25">
      <c r="K43" s="113">
        <v>0.95</v>
      </c>
      <c r="L43" s="96">
        <f>PERCENTILE(L7:L16,K43)</f>
        <v>12.895999999999999</v>
      </c>
      <c r="M43" s="96">
        <f>PERCENTILE(M7:M16,K43)</f>
        <v>120.46999999999997</v>
      </c>
      <c r="N43" s="97">
        <f>PERCENTILE(N7:N16,K43)</f>
        <v>169.5019999999999</v>
      </c>
    </row>
    <row r="44" spans="11:14" ht="13.8" thickBot="1" x14ac:dyDescent="0.3">
      <c r="K44" s="114">
        <v>1</v>
      </c>
      <c r="L44" s="98">
        <f>PERCENTILE(L7:L16,K44)</f>
        <v>15.06</v>
      </c>
      <c r="M44" s="98">
        <f>PERCENTILE(M7:M16,K44)</f>
        <v>181.11</v>
      </c>
      <c r="N44" s="99">
        <f>PERCENTILE(N7:N16,K44)</f>
        <v>251.39</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4D658-2038-4711-9E01-C34E8F7CD5B2}">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62</v>
      </c>
      <c r="E6" s="65" t="s">
        <v>63</v>
      </c>
      <c r="F6" s="65" t="s">
        <v>64</v>
      </c>
      <c r="G6" s="65" t="s">
        <v>65</v>
      </c>
      <c r="H6" s="65" t="s">
        <v>66</v>
      </c>
      <c r="I6" s="65" t="s">
        <v>67</v>
      </c>
      <c r="J6" s="65" t="s">
        <v>68</v>
      </c>
      <c r="K6" s="65" t="s">
        <v>69</v>
      </c>
      <c r="L6" s="65" t="s">
        <v>70</v>
      </c>
      <c r="M6" s="65" t="s">
        <v>71</v>
      </c>
      <c r="N6" s="65" t="s">
        <v>72</v>
      </c>
      <c r="O6" s="66" t="s">
        <v>73</v>
      </c>
    </row>
    <row r="7" spans="3:15" ht="20.399999999999999" x14ac:dyDescent="0.2">
      <c r="C7" s="63" t="s">
        <v>25</v>
      </c>
      <c r="D7" s="69">
        <v>0.73299999999999998</v>
      </c>
      <c r="E7" s="70">
        <v>0.17299999999999999</v>
      </c>
      <c r="F7" s="70">
        <v>5.8999999999999997E-2</v>
      </c>
      <c r="G7" s="71">
        <v>6.6E-3</v>
      </c>
      <c r="H7" s="71">
        <v>0.1835</v>
      </c>
      <c r="I7" s="71">
        <v>0.39379999999999998</v>
      </c>
      <c r="J7" s="71">
        <v>2.0863999999999998</v>
      </c>
      <c r="K7" s="71">
        <v>-0.85599999999999998</v>
      </c>
      <c r="L7" s="71">
        <v>0.20319999999999999</v>
      </c>
      <c r="M7" s="72">
        <v>2.2999999999999998</v>
      </c>
      <c r="N7" s="71">
        <v>0.24310000000000001</v>
      </c>
      <c r="O7" s="73">
        <v>1.24</v>
      </c>
    </row>
    <row r="8" spans="3:15" ht="30.6" x14ac:dyDescent="0.2">
      <c r="C8" s="63" t="s">
        <v>27</v>
      </c>
      <c r="D8" s="67">
        <v>0.745</v>
      </c>
      <c r="E8" s="53">
        <v>0.38800000000000001</v>
      </c>
      <c r="F8" s="53">
        <v>0.29199999999999998</v>
      </c>
      <c r="G8" s="54">
        <v>0.17460000000000001</v>
      </c>
      <c r="H8" s="54">
        <v>0.14660000000000001</v>
      </c>
      <c r="I8" s="54">
        <v>1.11E-2</v>
      </c>
      <c r="J8" s="54">
        <v>-0.1186</v>
      </c>
      <c r="K8" s="54">
        <v>0.1075</v>
      </c>
      <c r="L8" s="54">
        <v>1.0213000000000001</v>
      </c>
      <c r="M8" s="55">
        <v>4.7</v>
      </c>
      <c r="N8" s="54">
        <v>0.1027</v>
      </c>
      <c r="O8" s="61">
        <v>1</v>
      </c>
    </row>
    <row r="9" spans="3:15" ht="30.6" x14ac:dyDescent="0.2">
      <c r="C9" s="63" t="s">
        <v>28</v>
      </c>
      <c r="D9" s="67">
        <v>0.55300000000000005</v>
      </c>
      <c r="E9" s="53">
        <v>0.307</v>
      </c>
      <c r="F9" s="53">
        <v>0.254</v>
      </c>
      <c r="G9" s="54">
        <v>0.20580000000000001</v>
      </c>
      <c r="H9" s="54">
        <v>5.28E-2</v>
      </c>
      <c r="I9" s="54">
        <v>-8.7099999999999997E-2</v>
      </c>
      <c r="J9" s="54">
        <v>-0.1239</v>
      </c>
      <c r="K9" s="54">
        <v>-0.214</v>
      </c>
      <c r="L9" s="54">
        <v>0.1016</v>
      </c>
      <c r="M9" s="55">
        <v>0.3</v>
      </c>
      <c r="N9" s="54">
        <v>0.16889999999999999</v>
      </c>
      <c r="O9" s="61">
        <v>1.1000000000000001</v>
      </c>
    </row>
    <row r="10" spans="3:15" ht="20.399999999999999" x14ac:dyDescent="0.2">
      <c r="C10" s="63" t="s">
        <v>29</v>
      </c>
      <c r="D10" s="67">
        <v>0.81399999999999995</v>
      </c>
      <c r="E10" s="53">
        <v>0.20300000000000001</v>
      </c>
      <c r="F10" s="53">
        <v>0.159</v>
      </c>
      <c r="G10" s="54">
        <v>9.8400000000000001E-2</v>
      </c>
      <c r="H10" s="54">
        <v>3.8800000000000001E-2</v>
      </c>
      <c r="I10" s="54">
        <v>-9.1200000000000003E-2</v>
      </c>
      <c r="J10" s="54">
        <v>-0.1135</v>
      </c>
      <c r="K10" s="54">
        <v>-0.27800000000000002</v>
      </c>
      <c r="L10" s="54">
        <v>0.8821</v>
      </c>
      <c r="M10" s="55">
        <v>3.9</v>
      </c>
      <c r="N10" s="54">
        <v>0.127</v>
      </c>
      <c r="O10" s="61">
        <v>0.84</v>
      </c>
    </row>
    <row r="11" spans="3:15" ht="20.399999999999999" x14ac:dyDescent="0.2">
      <c r="C11" s="63" t="s">
        <v>30</v>
      </c>
      <c r="D11" s="67">
        <v>0.78400000000000003</v>
      </c>
      <c r="E11" s="53">
        <v>0.114</v>
      </c>
      <c r="F11" s="53">
        <v>5.3999999999999999E-2</v>
      </c>
      <c r="G11" s="54">
        <v>5.2499999999999998E-2</v>
      </c>
      <c r="H11" s="54">
        <v>0.2175</v>
      </c>
      <c r="I11" s="54">
        <v>0.2185</v>
      </c>
      <c r="J11" s="54">
        <v>0.66800000000000004</v>
      </c>
      <c r="K11" s="54">
        <v>0.79369999999999996</v>
      </c>
      <c r="L11" s="54">
        <v>0.28549999999999998</v>
      </c>
      <c r="M11" s="55">
        <v>2.2999999999999998</v>
      </c>
      <c r="N11" s="54">
        <v>0.33179999999999998</v>
      </c>
      <c r="O11" s="61">
        <v>1.04</v>
      </c>
    </row>
    <row r="12" spans="3:15" ht="40.799999999999997" x14ac:dyDescent="0.2">
      <c r="C12" s="63" t="s">
        <v>31</v>
      </c>
      <c r="D12" s="67">
        <v>0.44700000000000001</v>
      </c>
      <c r="E12" s="53">
        <v>0.109</v>
      </c>
      <c r="F12" s="53">
        <v>2.5000000000000001E-2</v>
      </c>
      <c r="G12" s="54">
        <v>8.2000000000000007E-3</v>
      </c>
      <c r="H12" s="54">
        <v>9.8699999999999996E-2</v>
      </c>
      <c r="I12" s="54">
        <v>3.1699999999999999E-2</v>
      </c>
      <c r="J12" s="54">
        <v>-0.3216</v>
      </c>
      <c r="K12" s="54">
        <v>-0.79949999999999999</v>
      </c>
      <c r="L12" s="54">
        <v>0.47770000000000001</v>
      </c>
      <c r="M12" s="55">
        <v>2.1</v>
      </c>
      <c r="N12" s="54">
        <v>0.27579999999999999</v>
      </c>
      <c r="O12" s="61">
        <v>1.26</v>
      </c>
    </row>
    <row r="13" spans="3:15" ht="20.399999999999999" x14ac:dyDescent="0.2">
      <c r="C13" s="63" t="s">
        <v>32</v>
      </c>
      <c r="D13" s="67">
        <v>0.65300000000000002</v>
      </c>
      <c r="E13" s="53">
        <v>-0.379</v>
      </c>
      <c r="F13" s="53">
        <v>-0.40500000000000003</v>
      </c>
      <c r="G13" s="54">
        <v>-0.38569999999999999</v>
      </c>
      <c r="H13" s="54">
        <v>0.69410000000000005</v>
      </c>
      <c r="I13" s="56" t="s">
        <v>26</v>
      </c>
      <c r="J13" s="56" t="s">
        <v>26</v>
      </c>
      <c r="K13" s="56" t="s">
        <v>26</v>
      </c>
      <c r="L13" s="54">
        <v>4.3999999999999997E-2</v>
      </c>
      <c r="M13" s="56" t="s">
        <v>74</v>
      </c>
      <c r="N13" s="54">
        <v>0.3</v>
      </c>
      <c r="O13" s="61">
        <v>0.75</v>
      </c>
    </row>
    <row r="14" spans="3:15" ht="30.6" x14ac:dyDescent="0.2">
      <c r="C14" s="63" t="s">
        <v>33</v>
      </c>
      <c r="D14" s="67">
        <v>0.72399999999999998</v>
      </c>
      <c r="E14" s="53">
        <v>2.3E-2</v>
      </c>
      <c r="F14" s="53">
        <v>-3.5999999999999997E-2</v>
      </c>
      <c r="G14" s="54">
        <v>-5.8999999999999997E-2</v>
      </c>
      <c r="H14" s="54">
        <v>0.20960000000000001</v>
      </c>
      <c r="I14" s="54">
        <v>-0.3745</v>
      </c>
      <c r="J14" s="56" t="s">
        <v>26</v>
      </c>
      <c r="K14" s="56" t="s">
        <v>26</v>
      </c>
      <c r="L14" s="54">
        <v>0.36780000000000002</v>
      </c>
      <c r="M14" s="55">
        <v>11.2</v>
      </c>
      <c r="N14" s="54">
        <v>0.29680000000000001</v>
      </c>
      <c r="O14" s="61">
        <v>1.28</v>
      </c>
    </row>
    <row r="15" spans="3:15" ht="30.6" x14ac:dyDescent="0.2">
      <c r="C15" s="63" t="s">
        <v>34</v>
      </c>
      <c r="D15" s="67">
        <v>0.877</v>
      </c>
      <c r="E15" s="53">
        <v>0.373</v>
      </c>
      <c r="F15" s="53">
        <v>0.33900000000000002</v>
      </c>
      <c r="G15" s="54">
        <v>0.26319999999999999</v>
      </c>
      <c r="H15" s="54">
        <v>0.115</v>
      </c>
      <c r="I15" s="54">
        <v>3.0700000000000002E-2</v>
      </c>
      <c r="J15" s="54">
        <v>2.9700000000000001E-2</v>
      </c>
      <c r="K15" s="54">
        <v>-1.8599999999999998E-2</v>
      </c>
      <c r="L15" s="54">
        <v>0.22509999999999999</v>
      </c>
      <c r="M15" s="55">
        <v>0.6</v>
      </c>
      <c r="N15" s="54">
        <v>0.1474</v>
      </c>
      <c r="O15" s="61">
        <v>1.31</v>
      </c>
    </row>
    <row r="16" spans="3:15" ht="30.6" x14ac:dyDescent="0.2">
      <c r="C16" s="63" t="s">
        <v>35</v>
      </c>
      <c r="D16" s="67">
        <v>0.77700000000000002</v>
      </c>
      <c r="E16" s="53">
        <v>-3.4000000000000002E-2</v>
      </c>
      <c r="F16" s="53">
        <v>-6.2E-2</v>
      </c>
      <c r="G16" s="54">
        <v>-7.5999999999999998E-2</v>
      </c>
      <c r="H16" s="54">
        <v>0.36659999999999998</v>
      </c>
      <c r="I16" s="56" t="s">
        <v>26</v>
      </c>
      <c r="J16" s="56" t="s">
        <v>26</v>
      </c>
      <c r="K16" s="56" t="s">
        <v>26</v>
      </c>
      <c r="L16" s="54">
        <v>1.0276000000000001</v>
      </c>
      <c r="M16" s="56" t="s">
        <v>74</v>
      </c>
      <c r="N16" s="54">
        <v>0.67100000000000004</v>
      </c>
      <c r="O16" s="61">
        <v>1.29</v>
      </c>
    </row>
    <row r="17" spans="3:15" ht="41.4" thickBot="1" x14ac:dyDescent="0.25">
      <c r="C17" s="64" t="s">
        <v>36</v>
      </c>
      <c r="D17" s="68">
        <v>0.68500000000000005</v>
      </c>
      <c r="E17" s="58">
        <v>0.48199999999999998</v>
      </c>
      <c r="F17" s="58">
        <v>0.41399999999999998</v>
      </c>
      <c r="G17" s="59">
        <v>0.33250000000000002</v>
      </c>
      <c r="H17" s="59">
        <v>7.8100000000000003E-2</v>
      </c>
      <c r="I17" s="59">
        <v>5.3699999999999998E-2</v>
      </c>
      <c r="J17" s="59">
        <v>4.9200000000000001E-2</v>
      </c>
      <c r="K17" s="59">
        <v>-4.7399999999999998E-2</v>
      </c>
      <c r="L17" s="59">
        <v>0.28949999999999998</v>
      </c>
      <c r="M17" s="60">
        <v>0.8</v>
      </c>
      <c r="N17" s="59">
        <v>0.1197</v>
      </c>
      <c r="O17" s="62">
        <v>0.93</v>
      </c>
    </row>
    <row r="27" spans="3:15" ht="10.8" thickBot="1" x14ac:dyDescent="0.25"/>
    <row r="28" spans="3:15" ht="10.8" thickBot="1" x14ac:dyDescent="0.25">
      <c r="C28" s="51" t="s">
        <v>192</v>
      </c>
      <c r="D28" s="49">
        <f>AVERAGE(D29:O29)</f>
        <v>0.62499999999999989</v>
      </c>
    </row>
    <row r="29" spans="3:15" ht="10.8" thickBot="1" x14ac:dyDescent="0.25">
      <c r="C29" s="52" t="s">
        <v>193</v>
      </c>
      <c r="D29" s="50">
        <f>IFERROR(INDEX(C31:C51,MATCH(D17,D31:D51)),"NA")</f>
        <v>0.25</v>
      </c>
      <c r="E29" s="47">
        <f>IFERROR(INDEX(C31:C51,MATCH(E17,E31:E51)),"NA")</f>
        <v>1</v>
      </c>
      <c r="F29" s="47">
        <f>IFERROR(INDEX(C31:C51,MATCH(F17,F31:F51)),"NA")</f>
        <v>1</v>
      </c>
      <c r="G29" s="47">
        <f>IFERROR(INDEX(C31:C51,MATCH(G17,G31:G51)),"NA")</f>
        <v>1</v>
      </c>
      <c r="H29" s="47">
        <f>IFERROR(INDEX(C31:C51,MATCH(H17,H31:H51)),"NA")</f>
        <v>0.15</v>
      </c>
      <c r="I29" s="47">
        <f>IFERROR(INDEX(C31:C51,MATCH(I17,I31:I51)),"NA")</f>
        <v>0.7</v>
      </c>
      <c r="J29" s="47">
        <f>IFERROR(INDEX(C31:C51,MATCH(J17,J31:J51)),"NA")</f>
        <v>0.65</v>
      </c>
      <c r="K29" s="47">
        <f>IFERROR(INDEX(C31:C51,MATCH(K17,K31:K51)),"NA")</f>
        <v>0.6</v>
      </c>
      <c r="L29" s="47">
        <f>IFERROR(INDEX(C31:C51,MATCH(L17,L31:L51)),"NA")</f>
        <v>0.4</v>
      </c>
      <c r="M29" s="47">
        <f>IFERROR((1-INDEX(C31:C51,MATCH(M17,M31:M51))),"NA")</f>
        <v>0.85</v>
      </c>
      <c r="N29" s="47">
        <f>IFERROR(INDEX(C31:C51,MATCH(N17,N31:N51)),"NA")</f>
        <v>0.05</v>
      </c>
      <c r="O29" s="48">
        <f>IFERROR((1-INDEX(C31:C51,MATCH(O17,O31:O51))),"NA")</f>
        <v>0.85</v>
      </c>
    </row>
    <row r="30" spans="3:15" ht="10.8" thickBot="1" x14ac:dyDescent="0.25">
      <c r="C30" s="43" t="s">
        <v>194</v>
      </c>
    </row>
    <row r="31" spans="3:15" x14ac:dyDescent="0.2">
      <c r="C31" s="45">
        <v>0</v>
      </c>
      <c r="D31" s="74">
        <f>PERCENTILE(D7:D16,C31)</f>
        <v>0.44700000000000001</v>
      </c>
      <c r="E31" s="74">
        <f>PERCENTILE(E7:E16,C31)</f>
        <v>-0.379</v>
      </c>
      <c r="F31" s="74">
        <f>PERCENTILE(F7:F16,C31)</f>
        <v>-0.40500000000000003</v>
      </c>
      <c r="G31" s="74">
        <f>PERCENTILE(G7:G16,C31)</f>
        <v>-0.38569999999999999</v>
      </c>
      <c r="H31" s="74">
        <f>PERCENTILE(H7:H16,C31)</f>
        <v>3.8800000000000001E-2</v>
      </c>
      <c r="I31" s="74">
        <f>PERCENTILE(I7:I16,C31)</f>
        <v>-0.3745</v>
      </c>
      <c r="J31" s="74">
        <f>PERCENTILE(J7:J16,C31)</f>
        <v>-0.3216</v>
      </c>
      <c r="K31" s="74">
        <f>PERCENTILE(K7:K16,C31)</f>
        <v>-0.85599999999999998</v>
      </c>
      <c r="L31" s="74">
        <f>PERCENTILE(L7:L16,C31)</f>
        <v>4.3999999999999997E-2</v>
      </c>
      <c r="M31" s="77">
        <f>PERCENTILE(M7:M16,C31)</f>
        <v>0.3</v>
      </c>
      <c r="N31" s="74">
        <f>PERCENTILE(N7:N16,C31)</f>
        <v>0.1027</v>
      </c>
      <c r="O31" s="80">
        <f>PERCENTILE(O7:O16,C31)</f>
        <v>0.75</v>
      </c>
    </row>
    <row r="32" spans="3:15" x14ac:dyDescent="0.2">
      <c r="C32" s="44">
        <v>0.05</v>
      </c>
      <c r="D32" s="75">
        <f>PERCENTILE(D7:D16,C32)</f>
        <v>0.49470000000000003</v>
      </c>
      <c r="E32" s="75">
        <f>PERCENTILE(E7:E16,C32)</f>
        <v>-0.22375000000000003</v>
      </c>
      <c r="F32" s="75">
        <f>PERCENTILE(F7:F16,C32)</f>
        <v>-0.25065000000000004</v>
      </c>
      <c r="G32" s="75">
        <f>PERCENTILE(G7:G16,C32)</f>
        <v>-0.246335</v>
      </c>
      <c r="H32" s="75">
        <f>PERCENTILE(H7:H16,C32)</f>
        <v>4.5100000000000001E-2</v>
      </c>
      <c r="I32" s="75">
        <f>PERCENTILE(I7:I16,C32)</f>
        <v>-0.27534499999999995</v>
      </c>
      <c r="J32" s="75">
        <f>PERCENTILE(J7:J16,C32)</f>
        <v>-0.26229000000000002</v>
      </c>
      <c r="K32" s="75">
        <f>PERCENTILE(K7:K16,C32)</f>
        <v>-0.83904999999999996</v>
      </c>
      <c r="L32" s="75">
        <f>PERCENTILE(L7:L16,C32)</f>
        <v>6.9919999999999996E-2</v>
      </c>
      <c r="M32" s="78">
        <f>PERCENTILE(M7:M16,C32)</f>
        <v>0.40500000000000003</v>
      </c>
      <c r="N32" s="75">
        <f>PERCENTILE(N7:N16,C32)</f>
        <v>0.113635</v>
      </c>
      <c r="O32" s="81">
        <f>PERCENTILE(O7:O16,C32)</f>
        <v>0.79049999999999998</v>
      </c>
    </row>
    <row r="33" spans="3:15" x14ac:dyDescent="0.2">
      <c r="C33" s="44">
        <v>0.1</v>
      </c>
      <c r="D33" s="75">
        <f>PERCENTILE(D7:D16,C33)</f>
        <v>0.54239999999999999</v>
      </c>
      <c r="E33" s="75">
        <f>PERCENTILE(E7:E16,C33)</f>
        <v>-6.8500000000000061E-2</v>
      </c>
      <c r="F33" s="75">
        <f>PERCENTILE(F7:F16,C33)</f>
        <v>-9.6300000000000052E-2</v>
      </c>
      <c r="G33" s="75">
        <f>PERCENTILE(G7:G16,C33)</f>
        <v>-0.10697000000000001</v>
      </c>
      <c r="H33" s="75">
        <f>PERCENTILE(H7:H16,C33)</f>
        <v>5.1400000000000001E-2</v>
      </c>
      <c r="I33" s="75">
        <f>PERCENTILE(I7:I16,C33)</f>
        <v>-0.17618999999999996</v>
      </c>
      <c r="J33" s="75">
        <f>PERCENTILE(J7:J16,C33)</f>
        <v>-0.20297999999999999</v>
      </c>
      <c r="K33" s="75">
        <f>PERCENTILE(K7:K16,C33)</f>
        <v>-0.82209999999999994</v>
      </c>
      <c r="L33" s="75">
        <f>PERCENTILE(L7:L16,C33)</f>
        <v>9.5839999999999981E-2</v>
      </c>
      <c r="M33" s="78">
        <f>PERCENTILE(M7:M16,C33)</f>
        <v>0.51</v>
      </c>
      <c r="N33" s="75">
        <f>PERCENTILE(N7:N16,C33)</f>
        <v>0.12457</v>
      </c>
      <c r="O33" s="81">
        <f>PERCENTILE(O7:O16,C33)</f>
        <v>0.83099999999999996</v>
      </c>
    </row>
    <row r="34" spans="3:15" x14ac:dyDescent="0.2">
      <c r="C34" s="44">
        <v>0.15</v>
      </c>
      <c r="D34" s="75">
        <f>PERCENTILE(D7:D16,C34)</f>
        <v>0.58799999999999997</v>
      </c>
      <c r="E34" s="75">
        <f>PERCENTILE(E7:E16,C34)</f>
        <v>-1.4050000000000021E-2</v>
      </c>
      <c r="F34" s="75">
        <f>PERCENTILE(F7:F16,C34)</f>
        <v>-5.290000000000001E-2</v>
      </c>
      <c r="G34" s="75">
        <f>PERCENTILE(G7:G16,C34)</f>
        <v>-7.0050000000000001E-2</v>
      </c>
      <c r="H34" s="75">
        <f>PERCENTILE(H7:H16,C34)</f>
        <v>6.8864999999999982E-2</v>
      </c>
      <c r="I34" s="75">
        <f>PERCENTILE(I7:I16,C34)</f>
        <v>-9.0995000000000006E-2</v>
      </c>
      <c r="J34" s="75">
        <f>PERCENTILE(J7:J16,C34)</f>
        <v>-0.14367000000000002</v>
      </c>
      <c r="K34" s="75">
        <f>PERCENTILE(K7:K16,C34)</f>
        <v>-0.80515000000000003</v>
      </c>
      <c r="L34" s="75">
        <f>PERCENTILE(L7:L16,C34)</f>
        <v>0.13715999999999995</v>
      </c>
      <c r="M34" s="78">
        <f>PERCENTILE(M7:M16,C34)</f>
        <v>0.67499999999999971</v>
      </c>
      <c r="N34" s="75">
        <f>PERCENTILE(N7:N16,C34)</f>
        <v>0.13413999999999998</v>
      </c>
      <c r="O34" s="81">
        <f>PERCENTILE(O7:O16,C34)</f>
        <v>0.89599999999999991</v>
      </c>
    </row>
    <row r="35" spans="3:15" x14ac:dyDescent="0.2">
      <c r="C35" s="44">
        <v>0.2</v>
      </c>
      <c r="D35" s="75">
        <f>PERCENTILE(D7:D16,C35)</f>
        <v>0.63300000000000001</v>
      </c>
      <c r="E35" s="75">
        <f>PERCENTILE(E7:E16,C35)</f>
        <v>1.1599999999999992E-2</v>
      </c>
      <c r="F35" s="75">
        <f>PERCENTILE(F7:F16,C35)</f>
        <v>-4.1200000000000001E-2</v>
      </c>
      <c r="G35" s="75">
        <f>PERCENTILE(G7:G16,C35)</f>
        <v>-6.2399999999999997E-2</v>
      </c>
      <c r="H35" s="75">
        <f>PERCENTILE(H7:H16,C35)</f>
        <v>8.9519999999999988E-2</v>
      </c>
      <c r="I35" s="75">
        <f>PERCENTILE(I7:I16,C35)</f>
        <v>-8.9560000000000001E-2</v>
      </c>
      <c r="J35" s="75">
        <f>PERCENTILE(J7:J16,C35)</f>
        <v>-0.12283999999999999</v>
      </c>
      <c r="K35" s="75">
        <f>PERCENTILE(K7:K16,C35)</f>
        <v>-0.69519999999999993</v>
      </c>
      <c r="L35" s="75">
        <f>PERCENTILE(L7:L16,C35)</f>
        <v>0.18287999999999999</v>
      </c>
      <c r="M35" s="78">
        <f>PERCENTILE(M7:M16,C35)</f>
        <v>1.2000000000000006</v>
      </c>
      <c r="N35" s="75">
        <f>PERCENTILE(N7:N16,C35)</f>
        <v>0.14332</v>
      </c>
      <c r="O35" s="81">
        <f>PERCENTILE(O7:O16,C35)</f>
        <v>0.96799999999999997</v>
      </c>
    </row>
    <row r="36" spans="3:15" x14ac:dyDescent="0.2">
      <c r="C36" s="44">
        <v>0.25</v>
      </c>
      <c r="D36" s="75">
        <f>PERCENTILE(D7:D16,C36)</f>
        <v>0.67074999999999996</v>
      </c>
      <c r="E36" s="75">
        <f>PERCENTILE(E7:E16,C36)</f>
        <v>4.4499999999999998E-2</v>
      </c>
      <c r="F36" s="75">
        <f>PERCENTILE(F7:F16,C36)</f>
        <v>-2.0749999999999998E-2</v>
      </c>
      <c r="G36" s="75">
        <f>PERCENTILE(G7:G16,C36)</f>
        <v>-4.2599999999999999E-2</v>
      </c>
      <c r="H36" s="75">
        <f>PERCENTILE(H7:H16,C36)</f>
        <v>0.10277500000000001</v>
      </c>
      <c r="I36" s="75">
        <f>PERCENTILE(I7:I16,C36)</f>
        <v>-8.8124999999999995E-2</v>
      </c>
      <c r="J36" s="75">
        <f>PERCENTILE(J7:J16,C36)</f>
        <v>-0.12125</v>
      </c>
      <c r="K36" s="75">
        <f>PERCENTILE(K7:K16,C36)</f>
        <v>-0.53875000000000006</v>
      </c>
      <c r="L36" s="75">
        <f>PERCENTILE(L7:L16,C36)</f>
        <v>0.208675</v>
      </c>
      <c r="M36" s="78">
        <f>PERCENTILE(M7:M16,C36)</f>
        <v>1.7250000000000001</v>
      </c>
      <c r="N36" s="75">
        <f>PERCENTILE(N7:N16,C36)</f>
        <v>0.15277499999999999</v>
      </c>
      <c r="O36" s="81">
        <f>PERCENTILE(O7:O16,C36)</f>
        <v>1.01</v>
      </c>
    </row>
    <row r="37" spans="3:15" x14ac:dyDescent="0.2">
      <c r="C37" s="44">
        <v>0.3</v>
      </c>
      <c r="D37" s="75">
        <f>PERCENTILE(D7:D16,C37)</f>
        <v>0.70269999999999999</v>
      </c>
      <c r="E37" s="75">
        <f>PERCENTILE(E7:E16,C37)</f>
        <v>8.3199999999999968E-2</v>
      </c>
      <c r="F37" s="75">
        <f>PERCENTILE(F7:F16,C37)</f>
        <v>6.6999999999999837E-3</v>
      </c>
      <c r="G37" s="75">
        <f>PERCENTILE(G7:G16,C37)</f>
        <v>-1.3080000000000022E-2</v>
      </c>
      <c r="H37" s="75">
        <f>PERCENTILE(H7:H16,C37)</f>
        <v>0.11011</v>
      </c>
      <c r="I37" s="75">
        <f>PERCENTILE(I7:I16,C37)</f>
        <v>-7.7279999999999988E-2</v>
      </c>
      <c r="J37" s="75">
        <f>PERCENTILE(J7:J16,C37)</f>
        <v>-0.11966</v>
      </c>
      <c r="K37" s="75">
        <f>PERCENTILE(K7:K16,C37)</f>
        <v>-0.38230000000000008</v>
      </c>
      <c r="L37" s="75">
        <f>PERCENTILE(L7:L16,C37)</f>
        <v>0.21853</v>
      </c>
      <c r="M37" s="78">
        <f>PERCENTILE(M7:M16,C37)</f>
        <v>2.12</v>
      </c>
      <c r="N37" s="75">
        <f>PERCENTILE(N7:N16,C37)</f>
        <v>0.16244999999999998</v>
      </c>
      <c r="O37" s="81">
        <f>PERCENTILE(O7:O16,C37)</f>
        <v>1.028</v>
      </c>
    </row>
    <row r="38" spans="3:15" x14ac:dyDescent="0.2">
      <c r="C38" s="44">
        <v>0.35</v>
      </c>
      <c r="D38" s="75">
        <f>PERCENTILE(D7:D16,C38)</f>
        <v>0.72534999999999994</v>
      </c>
      <c r="E38" s="75">
        <f>PERCENTILE(E7:E16,C38)</f>
        <v>0.10975</v>
      </c>
      <c r="F38" s="75">
        <f>PERCENTILE(F7:F16,C38)</f>
        <v>2.9350000000000011E-2</v>
      </c>
      <c r="G38" s="75">
        <f>PERCENTILE(G7:G16,C38)</f>
        <v>6.8400000000000006E-3</v>
      </c>
      <c r="H38" s="75">
        <f>PERCENTILE(H7:H16,C38)</f>
        <v>0.11974000000000001</v>
      </c>
      <c r="I38" s="75">
        <f>PERCENTILE(I7:I16,C38)</f>
        <v>-4.2910000000000025E-2</v>
      </c>
      <c r="J38" s="75">
        <f>PERCENTILE(J7:J16,C38)</f>
        <v>-0.11809</v>
      </c>
      <c r="K38" s="75">
        <f>PERCENTILE(K7:K16,C38)</f>
        <v>-0.27160000000000006</v>
      </c>
      <c r="L38" s="75">
        <f>PERCENTILE(L7:L16,C38)</f>
        <v>0.23416000000000001</v>
      </c>
      <c r="M38" s="78">
        <f>PERCENTILE(M7:M16,C38)</f>
        <v>2.19</v>
      </c>
      <c r="N38" s="75">
        <f>PERCENTILE(N7:N16,C38)</f>
        <v>0.18003000000000002</v>
      </c>
      <c r="O38" s="81">
        <f>PERCENTILE(O7:O16,C38)</f>
        <v>1.0490000000000002</v>
      </c>
    </row>
    <row r="39" spans="3:15" x14ac:dyDescent="0.2">
      <c r="C39" s="44">
        <v>0.4</v>
      </c>
      <c r="D39" s="75">
        <f>PERCENTILE(D7:D16,C39)</f>
        <v>0.72939999999999994</v>
      </c>
      <c r="E39" s="75">
        <f>PERCENTILE(E7:E16,C39)</f>
        <v>0.112</v>
      </c>
      <c r="F39" s="75">
        <f>PERCENTILE(F7:F16,C39)</f>
        <v>4.2399999999999993E-2</v>
      </c>
      <c r="G39" s="75">
        <f>PERCENTILE(G7:G16,C39)</f>
        <v>7.5599999999999999E-3</v>
      </c>
      <c r="H39" s="75">
        <f>PERCENTILE(H7:H16,C39)</f>
        <v>0.13396</v>
      </c>
      <c r="I39" s="75">
        <f>PERCENTILE(I7:I16,C39)</f>
        <v>-8.5399999999999782E-3</v>
      </c>
      <c r="J39" s="75">
        <f>PERCENTILE(J7:J16,C39)</f>
        <v>-0.11656</v>
      </c>
      <c r="K39" s="75">
        <f>PERCENTILE(K7:K16,C39)</f>
        <v>-0.25240000000000001</v>
      </c>
      <c r="L39" s="75">
        <f>PERCENTILE(L7:L16,C39)</f>
        <v>0.26133999999999996</v>
      </c>
      <c r="M39" s="78">
        <f>PERCENTILE(M7:M16,C39)</f>
        <v>2.2599999999999998</v>
      </c>
      <c r="N39" s="75">
        <f>PERCENTILE(N7:N16,C39)</f>
        <v>0.21341999999999997</v>
      </c>
      <c r="O39" s="81">
        <f>PERCENTILE(O7:O16,C39)</f>
        <v>1.0760000000000001</v>
      </c>
    </row>
    <row r="40" spans="3:15" x14ac:dyDescent="0.2">
      <c r="C40" s="44">
        <v>0.45</v>
      </c>
      <c r="D40" s="75">
        <f>PERCENTILE(D7:D16,C40)</f>
        <v>0.73360000000000003</v>
      </c>
      <c r="E40" s="75">
        <f>PERCENTILE(E7:E16,C40)</f>
        <v>0.11695</v>
      </c>
      <c r="F40" s="75">
        <f>PERCENTILE(F7:F16,C40)</f>
        <v>5.425E-2</v>
      </c>
      <c r="G40" s="75">
        <f>PERCENTILE(G7:G16,C40)</f>
        <v>1.0414999999999994E-2</v>
      </c>
      <c r="H40" s="75">
        <f>PERCENTILE(H7:H16,C40)</f>
        <v>0.14844499999999999</v>
      </c>
      <c r="I40" s="75">
        <f>PERCENTILE(I7:I16,C40)</f>
        <v>1.4040000000000007E-2</v>
      </c>
      <c r="J40" s="75">
        <f>PERCENTILE(J7:J16,C40)</f>
        <v>-0.11503000000000001</v>
      </c>
      <c r="K40" s="75">
        <f>PERCENTILE(K7:K16,C40)</f>
        <v>-0.23319999999999999</v>
      </c>
      <c r="L40" s="75">
        <f>PERCENTILE(L7:L16,C40)</f>
        <v>0.28961499999999996</v>
      </c>
      <c r="M40" s="78">
        <f>PERCENTILE(M7:M16,C40)</f>
        <v>2.2999999999999998</v>
      </c>
      <c r="N40" s="75">
        <f>PERCENTILE(N7:N16,C40)</f>
        <v>0.24473500000000001</v>
      </c>
      <c r="O40" s="81">
        <f>PERCENTILE(O7:O16,C40)</f>
        <v>1.107</v>
      </c>
    </row>
    <row r="41" spans="3:15" x14ac:dyDescent="0.2">
      <c r="C41" s="44">
        <v>0.5</v>
      </c>
      <c r="D41" s="75">
        <f>PERCENTILE(D7:D16,C41)</f>
        <v>0.73899999999999999</v>
      </c>
      <c r="E41" s="75">
        <f>PERCENTILE(E7:E16,C41)</f>
        <v>0.14349999999999999</v>
      </c>
      <c r="F41" s="75">
        <f>PERCENTILE(F7:F16,C41)</f>
        <v>5.6499999999999995E-2</v>
      </c>
      <c r="G41" s="75">
        <f>PERCENTILE(G7:G16,C41)</f>
        <v>3.0350000000000002E-2</v>
      </c>
      <c r="H41" s="75">
        <f>PERCENTILE(H7:H16,C41)</f>
        <v>0.16505</v>
      </c>
      <c r="I41" s="75">
        <f>PERCENTILE(I7:I16,C41)</f>
        <v>2.0900000000000002E-2</v>
      </c>
      <c r="J41" s="75">
        <f>PERCENTILE(J7:J16,C41)</f>
        <v>-0.1135</v>
      </c>
      <c r="K41" s="75">
        <f>PERCENTILE(K7:K16,C41)</f>
        <v>-0.214</v>
      </c>
      <c r="L41" s="75">
        <f>PERCENTILE(L7:L16,C41)</f>
        <v>0.32665</v>
      </c>
      <c r="M41" s="78">
        <f>PERCENTILE(M7:M16,C41)</f>
        <v>2.2999999999999998</v>
      </c>
      <c r="N41" s="75">
        <f>PERCENTILE(N7:N16,C41)</f>
        <v>0.25945000000000001</v>
      </c>
      <c r="O41" s="81">
        <f>PERCENTILE(O7:O16,C41)</f>
        <v>1.17</v>
      </c>
    </row>
    <row r="42" spans="3:15" x14ac:dyDescent="0.2">
      <c r="C42" s="44">
        <v>0.55000000000000004</v>
      </c>
      <c r="D42" s="75">
        <f>PERCENTILE(D7:D16,C42)</f>
        <v>0.74439999999999995</v>
      </c>
      <c r="E42" s="75">
        <f>PERCENTILE(E7:E16,C42)</f>
        <v>0.17005000000000001</v>
      </c>
      <c r="F42" s="75">
        <f>PERCENTILE(F7:F16,C42)</f>
        <v>5.8749999999999997E-2</v>
      </c>
      <c r="G42" s="75">
        <f>PERCENTILE(G7:G16,C42)</f>
        <v>5.0285000000000003E-2</v>
      </c>
      <c r="H42" s="75">
        <f>PERCENTILE(H7:H16,C42)</f>
        <v>0.18165500000000001</v>
      </c>
      <c r="I42" s="75">
        <f>PERCENTILE(I7:I16,C42)</f>
        <v>2.7760000000000014E-2</v>
      </c>
      <c r="J42" s="75">
        <f>PERCENTILE(J7:J16,C42)</f>
        <v>-7.0539999999999908E-2</v>
      </c>
      <c r="K42" s="75">
        <f>PERCENTILE(K7:K16,C42)</f>
        <v>-0.15537999999999985</v>
      </c>
      <c r="L42" s="75">
        <f>PERCENTILE(L7:L16,C42)</f>
        <v>0.36368500000000004</v>
      </c>
      <c r="M42" s="78">
        <f>PERCENTILE(M7:M16,C42)</f>
        <v>2.2999999999999998</v>
      </c>
      <c r="N42" s="75">
        <f>PERCENTILE(N7:N16,C42)</f>
        <v>0.27416499999999999</v>
      </c>
      <c r="O42" s="81">
        <f>PERCENTILE(O7:O16,C42)</f>
        <v>1.2330000000000001</v>
      </c>
    </row>
    <row r="43" spans="3:15" x14ac:dyDescent="0.2">
      <c r="C43" s="44">
        <v>0.6</v>
      </c>
      <c r="D43" s="75">
        <f>PERCENTILE(D7:D16,C43)</f>
        <v>0.75780000000000003</v>
      </c>
      <c r="E43" s="75">
        <f>PERCENTILE(E7:E16,C43)</f>
        <v>0.18499999999999997</v>
      </c>
      <c r="F43" s="75">
        <f>PERCENTILE(F7:F16,C43)</f>
        <v>9.8999999999999949E-2</v>
      </c>
      <c r="G43" s="75">
        <f>PERCENTILE(G7:G16,C43)</f>
        <v>7.0859999999999979E-2</v>
      </c>
      <c r="H43" s="75">
        <f>PERCENTILE(H7:H16,C43)</f>
        <v>0.19394</v>
      </c>
      <c r="I43" s="75">
        <f>PERCENTILE(I7:I16,C43)</f>
        <v>3.09E-2</v>
      </c>
      <c r="J43" s="75">
        <f>PERCENTILE(J7:J16,C43)</f>
        <v>-2.7580000000000063E-2</v>
      </c>
      <c r="K43" s="75">
        <f>PERCENTILE(K7:K16,C43)</f>
        <v>-9.6760000000000068E-2</v>
      </c>
      <c r="L43" s="75">
        <f>PERCENTILE(L7:L16,C43)</f>
        <v>0.41175999999999996</v>
      </c>
      <c r="M43" s="78">
        <f>PERCENTILE(M7:M16,C43)</f>
        <v>2.62</v>
      </c>
      <c r="N43" s="75">
        <f>PERCENTILE(N7:N16,C43)</f>
        <v>0.28420000000000001</v>
      </c>
      <c r="O43" s="81">
        <f>PERCENTILE(O7:O16,C43)</f>
        <v>1.248</v>
      </c>
    </row>
    <row r="44" spans="3:15" x14ac:dyDescent="0.2">
      <c r="C44" s="44">
        <v>0.65</v>
      </c>
      <c r="D44" s="75">
        <f>PERCENTILE(D7:D16,C44)</f>
        <v>0.7722</v>
      </c>
      <c r="E44" s="75">
        <f>PERCENTILE(E7:E16,C44)</f>
        <v>0.19850000000000004</v>
      </c>
      <c r="F44" s="75">
        <f>PERCENTILE(F7:F16,C44)</f>
        <v>0.14400000000000007</v>
      </c>
      <c r="G44" s="75">
        <f>PERCENTILE(G7:G16,C44)</f>
        <v>9.1515000000000027E-2</v>
      </c>
      <c r="H44" s="75">
        <f>PERCENTILE(H7:H16,C44)</f>
        <v>0.20568500000000001</v>
      </c>
      <c r="I44" s="75">
        <f>PERCENTILE(I7:I16,C44)</f>
        <v>3.125E-2</v>
      </c>
      <c r="J44" s="75">
        <f>PERCENTILE(J7:J16,C44)</f>
        <v>1.5380000000000046E-2</v>
      </c>
      <c r="K44" s="75">
        <f>PERCENTILE(K7:K16,C44)</f>
        <v>-3.8139999999999924E-2</v>
      </c>
      <c r="L44" s="75">
        <f>PERCENTILE(L7:L16,C44)</f>
        <v>0.46121500000000004</v>
      </c>
      <c r="M44" s="78">
        <f>PERCENTILE(M7:M16,C44)</f>
        <v>3.1799999999999997</v>
      </c>
      <c r="N44" s="75">
        <f>PERCENTILE(N7:N16,C44)</f>
        <v>0.29365000000000002</v>
      </c>
      <c r="O44" s="81">
        <f>PERCENTILE(O7:O16,C44)</f>
        <v>1.2570000000000001</v>
      </c>
    </row>
    <row r="45" spans="3:15" x14ac:dyDescent="0.2">
      <c r="C45" s="44">
        <v>0.7</v>
      </c>
      <c r="D45" s="75">
        <f>PERCENTILE(D7:D16,C45)</f>
        <v>0.77910000000000001</v>
      </c>
      <c r="E45" s="75">
        <f>PERCENTILE(E7:E16,C45)</f>
        <v>0.23419999999999999</v>
      </c>
      <c r="F45" s="75">
        <f>PERCENTILE(F7:F16,C45)</f>
        <v>0.1875</v>
      </c>
      <c r="G45" s="75">
        <f>PERCENTILE(G7:G16,C45)</f>
        <v>0.12125999999999999</v>
      </c>
      <c r="H45" s="75">
        <f>PERCENTILE(H7:H16,C45)</f>
        <v>0.21196999999999999</v>
      </c>
      <c r="I45" s="75">
        <f>PERCENTILE(I7:I16,C45)</f>
        <v>3.1599999999999996E-2</v>
      </c>
      <c r="J45" s="75">
        <f>PERCENTILE(J7:J16,C45)</f>
        <v>0.15735999999999956</v>
      </c>
      <c r="K45" s="75">
        <f>PERCENTILE(K7:K16,C45)</f>
        <v>6.6199999999999107E-3</v>
      </c>
      <c r="L45" s="75">
        <f>PERCENTILE(L7:L16,C45)</f>
        <v>0.59901999999999989</v>
      </c>
      <c r="M45" s="78">
        <f>PERCENTILE(M7:M16,C45)</f>
        <v>3.7399999999999993</v>
      </c>
      <c r="N45" s="75">
        <f>PERCENTILE(N7:N16,C45)</f>
        <v>0.29776000000000002</v>
      </c>
      <c r="O45" s="81">
        <f>PERCENTILE(O7:O16,C45)</f>
        <v>1.266</v>
      </c>
    </row>
    <row r="46" spans="3:15" x14ac:dyDescent="0.2">
      <c r="C46" s="44">
        <v>0.75</v>
      </c>
      <c r="D46" s="75">
        <f>PERCENTILE(D7:D16,C46)</f>
        <v>0.78225</v>
      </c>
      <c r="E46" s="75">
        <f>PERCENTILE(E7:E16,C46)</f>
        <v>0.28100000000000003</v>
      </c>
      <c r="F46" s="75">
        <f>PERCENTILE(F7:F16,C46)</f>
        <v>0.23025000000000001</v>
      </c>
      <c r="G46" s="75">
        <f>PERCENTILE(G7:G16,C46)</f>
        <v>0.15555000000000002</v>
      </c>
      <c r="H46" s="75">
        <f>PERCENTILE(H7:H16,C46)</f>
        <v>0.21552499999999999</v>
      </c>
      <c r="I46" s="75">
        <f>PERCENTILE(I7:I16,C46)</f>
        <v>7.8399999999999997E-2</v>
      </c>
      <c r="J46" s="75">
        <f>PERCENTILE(J7:J16,C46)</f>
        <v>0.34885000000000005</v>
      </c>
      <c r="K46" s="75">
        <f>PERCENTILE(K7:K16,C46)</f>
        <v>4.4449999999999996E-2</v>
      </c>
      <c r="L46" s="75">
        <f>PERCENTILE(L7:L16,C46)</f>
        <v>0.78100000000000003</v>
      </c>
      <c r="M46" s="78">
        <f>PERCENTILE(M7:M16,C46)</f>
        <v>4.0999999999999996</v>
      </c>
      <c r="N46" s="75">
        <f>PERCENTILE(N7:N16,C46)</f>
        <v>0.29920000000000002</v>
      </c>
      <c r="O46" s="81">
        <f>PERCENTILE(O7:O16,C46)</f>
        <v>1.2749999999999999</v>
      </c>
    </row>
    <row r="47" spans="3:15" x14ac:dyDescent="0.2">
      <c r="C47" s="44">
        <v>0.8</v>
      </c>
      <c r="D47" s="75">
        <f>PERCENTILE(D7:D16,C47)</f>
        <v>0.79</v>
      </c>
      <c r="E47" s="75">
        <f>PERCENTILE(E7:E16,C47)</f>
        <v>0.32019999999999993</v>
      </c>
      <c r="F47" s="75">
        <f>PERCENTILE(F7:F16,C47)</f>
        <v>0.2616</v>
      </c>
      <c r="G47" s="75">
        <f>PERCENTILE(G7:G16,C47)</f>
        <v>0.18083999999999997</v>
      </c>
      <c r="H47" s="75">
        <f>PERCENTILE(H7:H16,C47)</f>
        <v>0.2473199999999999</v>
      </c>
      <c r="I47" s="75">
        <f>PERCENTILE(I7:I16,C47)</f>
        <v>0.1437800000000001</v>
      </c>
      <c r="J47" s="75">
        <f>PERCENTILE(J7:J16,C47)</f>
        <v>0.54034000000000049</v>
      </c>
      <c r="K47" s="75">
        <f>PERCENTILE(K7:K16,C47)</f>
        <v>8.2280000000000075E-2</v>
      </c>
      <c r="L47" s="75">
        <f>PERCENTILE(L7:L16,C47)</f>
        <v>0.90993999999999997</v>
      </c>
      <c r="M47" s="78">
        <f>PERCENTILE(M7:M16,C47)</f>
        <v>4.3800000000000008</v>
      </c>
      <c r="N47" s="75">
        <f>PERCENTILE(N7:N16,C47)</f>
        <v>0.30635999999999997</v>
      </c>
      <c r="O47" s="81">
        <f>PERCENTILE(O7:O16,C47)</f>
        <v>1.282</v>
      </c>
    </row>
    <row r="48" spans="3:15" x14ac:dyDescent="0.2">
      <c r="C48" s="44">
        <v>0.85</v>
      </c>
      <c r="D48" s="75">
        <f>PERCENTILE(D7:D16,C48)</f>
        <v>0.80349999999999988</v>
      </c>
      <c r="E48" s="75">
        <f>PERCENTILE(E7:E16,C48)</f>
        <v>0.34989999999999988</v>
      </c>
      <c r="F48" s="75">
        <f>PERCENTILE(F7:F16,C48)</f>
        <v>0.27869999999999995</v>
      </c>
      <c r="G48" s="75">
        <f>PERCENTILE(G7:G16,C48)</f>
        <v>0.19487999999999997</v>
      </c>
      <c r="H48" s="75">
        <f>PERCENTILE(H7:H16,C48)</f>
        <v>0.31441499999999978</v>
      </c>
      <c r="I48" s="75">
        <f>PERCENTILE(I7:I16,C48)</f>
        <v>0.20916000000000004</v>
      </c>
      <c r="J48" s="75">
        <f>PERCENTILE(J7:J16,C48)</f>
        <v>0.80983999999999945</v>
      </c>
      <c r="K48" s="75">
        <f>PERCENTILE(K7:K16,C48)</f>
        <v>0.17611999999999975</v>
      </c>
      <c r="L48" s="75">
        <f>PERCENTILE(L7:L16,C48)</f>
        <v>0.97257999999999989</v>
      </c>
      <c r="M48" s="78">
        <f>PERCENTILE(M7:M16,C48)</f>
        <v>4.66</v>
      </c>
      <c r="N48" s="75">
        <f>PERCENTILE(N7:N16,C48)</f>
        <v>0.32066999999999996</v>
      </c>
      <c r="O48" s="81">
        <f>PERCENTILE(O7:O16,C48)</f>
        <v>1.2865</v>
      </c>
    </row>
    <row r="49" spans="3:15" x14ac:dyDescent="0.2">
      <c r="C49" s="44">
        <v>0.9</v>
      </c>
      <c r="D49" s="75">
        <f>PERCENTILE(D7:D16,C49)</f>
        <v>0.82029999999999992</v>
      </c>
      <c r="E49" s="75">
        <f>PERCENTILE(E7:E16,C49)</f>
        <v>0.3745</v>
      </c>
      <c r="F49" s="75">
        <f>PERCENTILE(F7:F16,C49)</f>
        <v>0.29669999999999996</v>
      </c>
      <c r="G49" s="75">
        <f>PERCENTILE(G7:G16,C49)</f>
        <v>0.21153999999999998</v>
      </c>
      <c r="H49" s="75">
        <f>PERCENTILE(H7:H16,C49)</f>
        <v>0.39934999999999987</v>
      </c>
      <c r="I49" s="75">
        <f>PERCENTILE(I7:I16,C49)</f>
        <v>0.27108999999999994</v>
      </c>
      <c r="J49" s="75">
        <f>PERCENTILE(J7:J16,C49)</f>
        <v>1.2353600000000005</v>
      </c>
      <c r="K49" s="75">
        <f>PERCENTILE(K7:K16,C49)</f>
        <v>0.38198000000000021</v>
      </c>
      <c r="L49" s="75">
        <f>PERCENTILE(L7:L16,C49)</f>
        <v>1.02193</v>
      </c>
      <c r="M49" s="78">
        <f>PERCENTILE(M7:M16,C49)</f>
        <v>6.6499999999999986</v>
      </c>
      <c r="N49" s="75">
        <f>PERCENTILE(N7:N16,C49)</f>
        <v>0.36571999999999988</v>
      </c>
      <c r="O49" s="81">
        <f>PERCENTILE(O7:O16,C49)</f>
        <v>1.292</v>
      </c>
    </row>
    <row r="50" spans="3:15" x14ac:dyDescent="0.2">
      <c r="C50" s="44">
        <v>0.95</v>
      </c>
      <c r="D50" s="75">
        <f>PERCENTILE(D7:D16,C50)</f>
        <v>0.8486499999999999</v>
      </c>
      <c r="E50" s="75">
        <f>PERCENTILE(E7:E16,C50)</f>
        <v>0.38124999999999998</v>
      </c>
      <c r="F50" s="75">
        <f>PERCENTILE(F7:F16,C50)</f>
        <v>0.31784999999999997</v>
      </c>
      <c r="G50" s="75">
        <f>PERCENTILE(G7:G16,C50)</f>
        <v>0.23736999999999994</v>
      </c>
      <c r="H50" s="75">
        <f>PERCENTILE(H7:H16,C50)</f>
        <v>0.54672499999999968</v>
      </c>
      <c r="I50" s="75">
        <f>PERCENTILE(I7:I16,C50)</f>
        <v>0.33244499999999988</v>
      </c>
      <c r="J50" s="75">
        <f>PERCENTILE(J7:J16,C50)</f>
        <v>1.6608799999999988</v>
      </c>
      <c r="K50" s="75">
        <f>PERCENTILE(K7:K16,C50)</f>
        <v>0.58783999999999947</v>
      </c>
      <c r="L50" s="75">
        <f>PERCENTILE(L7:L16,C50)</f>
        <v>1.0247650000000001</v>
      </c>
      <c r="M50" s="78">
        <f>PERCENTILE(M7:M16,C50)</f>
        <v>8.9249999999999972</v>
      </c>
      <c r="N50" s="75">
        <f>PERCENTILE(N7:N16,C50)</f>
        <v>0.51835999999999971</v>
      </c>
      <c r="O50" s="81">
        <f>PERCENTILE(O7:O16,C50)</f>
        <v>1.3009999999999999</v>
      </c>
    </row>
    <row r="51" spans="3:15" ht="10.8" thickBot="1" x14ac:dyDescent="0.25">
      <c r="C51" s="46">
        <v>1</v>
      </c>
      <c r="D51" s="76">
        <f>PERCENTILE(D7:D16,C51)</f>
        <v>0.877</v>
      </c>
      <c r="E51" s="76">
        <f>PERCENTILE(E7:E16,C51)</f>
        <v>0.38800000000000001</v>
      </c>
      <c r="F51" s="76">
        <f>PERCENTILE(F7:F16,C51)</f>
        <v>0.33900000000000002</v>
      </c>
      <c r="G51" s="76">
        <f>PERCENTILE(G7:G16,C51)</f>
        <v>0.26319999999999999</v>
      </c>
      <c r="H51" s="76">
        <f>PERCENTILE(H7:H16,C51)</f>
        <v>0.69410000000000005</v>
      </c>
      <c r="I51" s="76">
        <f>PERCENTILE(I7:I16,C51)</f>
        <v>0.39379999999999998</v>
      </c>
      <c r="J51" s="76">
        <f>PERCENTILE(J7:J16,C51)</f>
        <v>2.0863999999999998</v>
      </c>
      <c r="K51" s="76">
        <f>PERCENTILE(K7:K16,C51)</f>
        <v>0.79369999999999996</v>
      </c>
      <c r="L51" s="76">
        <f>PERCENTILE(L7:L16,C51)</f>
        <v>1.0276000000000001</v>
      </c>
      <c r="M51" s="79">
        <f>PERCENTILE(M7:M16,C51)</f>
        <v>11.2</v>
      </c>
      <c r="N51" s="76">
        <f>PERCENTILE(N7:N16,C51)</f>
        <v>0.67100000000000004</v>
      </c>
      <c r="O51" s="82">
        <f>PERCENTILE(O7:O16,C51)</f>
        <v>1.31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449CB-1736-4D65-A496-507DB8B8A29A}">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195.94</v>
      </c>
      <c r="C15" s="13">
        <v>980.9</v>
      </c>
      <c r="D15" s="13">
        <v>192189.3</v>
      </c>
      <c r="E15" s="13">
        <v>2371</v>
      </c>
      <c r="F15" s="14" t="s">
        <v>26</v>
      </c>
      <c r="G15" s="14" t="s">
        <v>26</v>
      </c>
      <c r="H15" s="13">
        <v>194560.3</v>
      </c>
      <c r="I15" s="12">
        <v>2.72</v>
      </c>
      <c r="J15" s="16">
        <v>44993</v>
      </c>
      <c r="K15" s="13">
        <v>31352</v>
      </c>
      <c r="L15" s="13">
        <v>5436</v>
      </c>
      <c r="M15" s="13">
        <v>1858</v>
      </c>
      <c r="N15" s="12">
        <v>0.21</v>
      </c>
      <c r="O15" s="12">
        <v>34639.449999999997</v>
      </c>
      <c r="P15" s="12">
        <v>10354.75</v>
      </c>
      <c r="Q15" s="12">
        <v>7.16</v>
      </c>
    </row>
    <row r="16" spans="1:255" ht="12" customHeight="1" x14ac:dyDescent="0.2">
      <c r="A16" s="7" t="s">
        <v>27</v>
      </c>
      <c r="B16" s="12">
        <v>95.04</v>
      </c>
      <c r="C16" s="13">
        <v>2699.8</v>
      </c>
      <c r="D16" s="13">
        <v>256589.2</v>
      </c>
      <c r="E16" s="13">
        <v>83042</v>
      </c>
      <c r="F16" s="14" t="s">
        <v>26</v>
      </c>
      <c r="G16" s="12">
        <v>509</v>
      </c>
      <c r="H16" s="13">
        <v>340140.2</v>
      </c>
      <c r="I16" s="12">
        <v>-27.64</v>
      </c>
      <c r="J16" s="16">
        <v>44995</v>
      </c>
      <c r="K16" s="13">
        <v>47958</v>
      </c>
      <c r="L16" s="13">
        <v>18604</v>
      </c>
      <c r="M16" s="13">
        <v>13983</v>
      </c>
      <c r="N16" s="12">
        <v>3.04</v>
      </c>
      <c r="O16" s="12">
        <v>52575.91</v>
      </c>
      <c r="P16" s="12">
        <v>25466.75</v>
      </c>
      <c r="Q16" s="12">
        <v>5.45</v>
      </c>
    </row>
    <row r="17" spans="1:17" ht="12" customHeight="1" x14ac:dyDescent="0.2">
      <c r="A17" s="7" t="s">
        <v>28</v>
      </c>
      <c r="B17" s="12">
        <v>107.59</v>
      </c>
      <c r="C17" s="13">
        <v>12697</v>
      </c>
      <c r="D17" s="13">
        <v>1370652</v>
      </c>
      <c r="E17" s="13">
        <v>-85609</v>
      </c>
      <c r="F17" s="14" t="s">
        <v>26</v>
      </c>
      <c r="G17" s="14" t="s">
        <v>26</v>
      </c>
      <c r="H17" s="13">
        <v>1285043</v>
      </c>
      <c r="I17" s="12">
        <v>18.07</v>
      </c>
      <c r="J17" s="16">
        <v>45042</v>
      </c>
      <c r="K17" s="13">
        <v>284612</v>
      </c>
      <c r="L17" s="13">
        <v>87496</v>
      </c>
      <c r="M17" s="13">
        <v>72163</v>
      </c>
      <c r="N17" s="12">
        <v>4.5</v>
      </c>
      <c r="O17" s="12">
        <v>305093.65000000002</v>
      </c>
      <c r="P17" s="12">
        <v>122110.19</v>
      </c>
      <c r="Q17" s="12">
        <v>5.54</v>
      </c>
    </row>
    <row r="18" spans="1:17" ht="12" customHeight="1" x14ac:dyDescent="0.2">
      <c r="A18" s="7" t="s">
        <v>29</v>
      </c>
      <c r="B18" s="12">
        <v>124.41</v>
      </c>
      <c r="C18" s="13">
        <v>428.5</v>
      </c>
      <c r="D18" s="13">
        <v>53307.6</v>
      </c>
      <c r="E18" s="13">
        <v>6377</v>
      </c>
      <c r="F18" s="14" t="s">
        <v>26</v>
      </c>
      <c r="G18" s="14" t="s">
        <v>26</v>
      </c>
      <c r="H18" s="13">
        <v>59684.6</v>
      </c>
      <c r="I18" s="12">
        <v>-20.02</v>
      </c>
      <c r="J18" s="16">
        <v>45013</v>
      </c>
      <c r="K18" s="13">
        <v>13350</v>
      </c>
      <c r="L18" s="13">
        <v>2709</v>
      </c>
      <c r="M18" s="13">
        <v>2117</v>
      </c>
      <c r="N18" s="12">
        <v>3.09</v>
      </c>
      <c r="O18" s="12">
        <v>14120.92</v>
      </c>
      <c r="P18" s="12">
        <v>5188.47</v>
      </c>
      <c r="Q18" s="12">
        <v>6.92</v>
      </c>
    </row>
    <row r="19" spans="1:17" ht="12" customHeight="1" x14ac:dyDescent="0.2">
      <c r="A19" s="7" t="s">
        <v>30</v>
      </c>
      <c r="B19" s="12">
        <v>454.34</v>
      </c>
      <c r="C19" s="13">
        <v>203.7</v>
      </c>
      <c r="D19" s="13">
        <v>92567.3</v>
      </c>
      <c r="E19" s="13">
        <v>-2676</v>
      </c>
      <c r="F19" s="14" t="s">
        <v>26</v>
      </c>
      <c r="G19" s="14" t="s">
        <v>26</v>
      </c>
      <c r="H19" s="13">
        <v>89891.3</v>
      </c>
      <c r="I19" s="12">
        <v>22.41</v>
      </c>
      <c r="J19" s="16">
        <v>45043</v>
      </c>
      <c r="K19" s="13">
        <v>7619</v>
      </c>
      <c r="L19" s="13">
        <v>870</v>
      </c>
      <c r="M19" s="13">
        <v>412</v>
      </c>
      <c r="N19" s="12">
        <v>1.96</v>
      </c>
      <c r="O19" s="12">
        <v>9313.56</v>
      </c>
      <c r="P19" s="12">
        <v>3045.98</v>
      </c>
      <c r="Q19" s="12">
        <v>9.74</v>
      </c>
    </row>
    <row r="20" spans="1:17" ht="12" customHeight="1" x14ac:dyDescent="0.2">
      <c r="A20" s="7" t="s">
        <v>31</v>
      </c>
      <c r="B20" s="12">
        <v>109.82</v>
      </c>
      <c r="C20" s="13">
        <v>10258</v>
      </c>
      <c r="D20" s="13">
        <v>1126533.7</v>
      </c>
      <c r="E20" s="13">
        <v>76946</v>
      </c>
      <c r="F20" s="14" t="s">
        <v>26</v>
      </c>
      <c r="G20" s="14" t="s">
        <v>26</v>
      </c>
      <c r="H20" s="13">
        <v>1203479.7</v>
      </c>
      <c r="I20" s="12">
        <v>12.85</v>
      </c>
      <c r="J20" s="16">
        <v>45043</v>
      </c>
      <c r="K20" s="13">
        <v>524897</v>
      </c>
      <c r="L20" s="13">
        <v>57204</v>
      </c>
      <c r="M20" s="13">
        <v>13353</v>
      </c>
      <c r="N20" s="12">
        <v>0.42</v>
      </c>
      <c r="O20" s="14" t="s">
        <v>26</v>
      </c>
      <c r="P20" s="14" t="s">
        <v>26</v>
      </c>
      <c r="Q20" s="14" t="s">
        <v>26</v>
      </c>
    </row>
    <row r="21" spans="1:17" ht="12" customHeight="1" x14ac:dyDescent="0.2">
      <c r="A21" s="7" t="s">
        <v>32</v>
      </c>
      <c r="B21" s="12">
        <v>148.77000000000001</v>
      </c>
      <c r="C21" s="13">
        <v>325</v>
      </c>
      <c r="D21" s="13">
        <v>48350.3</v>
      </c>
      <c r="E21" s="13">
        <v>-4829.2</v>
      </c>
      <c r="F21" s="14" t="s">
        <v>26</v>
      </c>
      <c r="G21" s="12">
        <v>12.18</v>
      </c>
      <c r="H21" s="13">
        <v>43533.2</v>
      </c>
      <c r="I21" s="12">
        <v>14.19</v>
      </c>
      <c r="J21" s="16">
        <v>45014</v>
      </c>
      <c r="K21" s="13">
        <v>2065.6999999999998</v>
      </c>
      <c r="L21" s="13">
        <v>-783.6</v>
      </c>
      <c r="M21" s="13">
        <v>-837</v>
      </c>
      <c r="N21" s="12">
        <v>-2.5</v>
      </c>
      <c r="O21" s="12">
        <v>2890.38</v>
      </c>
      <c r="P21" s="12">
        <v>240.36</v>
      </c>
      <c r="Q21" s="12">
        <v>0.59</v>
      </c>
    </row>
    <row r="22" spans="1:17" ht="12" customHeight="1" x14ac:dyDescent="0.2">
      <c r="A22" s="7" t="s">
        <v>33</v>
      </c>
      <c r="B22" s="12">
        <v>187.13</v>
      </c>
      <c r="C22" s="13">
        <v>259</v>
      </c>
      <c r="D22" s="13">
        <v>48469.599999999999</v>
      </c>
      <c r="E22" s="13">
        <v>-2872.3</v>
      </c>
      <c r="F22" s="14" t="s">
        <v>26</v>
      </c>
      <c r="G22" s="14" t="s">
        <v>26</v>
      </c>
      <c r="H22" s="13">
        <v>45597.3</v>
      </c>
      <c r="I22" s="12">
        <v>9.3800000000000008</v>
      </c>
      <c r="J22" s="16">
        <v>44984</v>
      </c>
      <c r="K22" s="13">
        <v>6215.8</v>
      </c>
      <c r="L22" s="13">
        <v>142.19999999999999</v>
      </c>
      <c r="M22" s="13">
        <v>-222.2</v>
      </c>
      <c r="N22" s="12">
        <v>-1.44</v>
      </c>
      <c r="O22" s="12">
        <v>7197.8</v>
      </c>
      <c r="P22" s="12">
        <v>2026.14</v>
      </c>
      <c r="Q22" s="12">
        <v>5.1100000000000003</v>
      </c>
    </row>
    <row r="23" spans="1:17" ht="12" customHeight="1" x14ac:dyDescent="0.2">
      <c r="A23" s="7" t="s">
        <v>34</v>
      </c>
      <c r="B23" s="12">
        <v>371.42</v>
      </c>
      <c r="C23" s="13">
        <v>458.7</v>
      </c>
      <c r="D23" s="13">
        <v>170370.4</v>
      </c>
      <c r="E23" s="13">
        <v>-1527</v>
      </c>
      <c r="F23" s="14" t="s">
        <v>26</v>
      </c>
      <c r="G23" s="14" t="s">
        <v>26</v>
      </c>
      <c r="H23" s="13">
        <v>168843.4</v>
      </c>
      <c r="I23" s="12">
        <v>0.13</v>
      </c>
      <c r="J23" s="16">
        <v>45014</v>
      </c>
      <c r="K23" s="13">
        <v>17999</v>
      </c>
      <c r="L23" s="13">
        <v>6721</v>
      </c>
      <c r="M23" s="13">
        <v>6104</v>
      </c>
      <c r="N23" s="12">
        <v>10.14</v>
      </c>
      <c r="O23" s="12">
        <v>19792.57</v>
      </c>
      <c r="P23" s="12">
        <v>9731.4500000000007</v>
      </c>
      <c r="Q23" s="12">
        <v>15.94</v>
      </c>
    </row>
    <row r="24" spans="1:17" ht="12" customHeight="1" x14ac:dyDescent="0.2">
      <c r="A24" s="7" t="s">
        <v>35</v>
      </c>
      <c r="B24" s="12">
        <v>86.08</v>
      </c>
      <c r="C24" s="13">
        <v>165.5</v>
      </c>
      <c r="D24" s="13">
        <v>14246.2</v>
      </c>
      <c r="E24" s="13">
        <v>2104.4</v>
      </c>
      <c r="F24" s="14" t="s">
        <v>26</v>
      </c>
      <c r="G24" s="14" t="s">
        <v>26</v>
      </c>
      <c r="H24" s="13">
        <v>16350.6</v>
      </c>
      <c r="I24" s="12">
        <v>-9.99</v>
      </c>
      <c r="J24" s="16">
        <v>45008</v>
      </c>
      <c r="K24" s="13">
        <v>3653.7</v>
      </c>
      <c r="L24" s="13">
        <v>-126</v>
      </c>
      <c r="M24" s="13">
        <v>-225.5</v>
      </c>
      <c r="N24" s="12">
        <v>-1.71</v>
      </c>
      <c r="O24" s="12">
        <v>3895.34</v>
      </c>
      <c r="P24" s="12">
        <v>737.7</v>
      </c>
      <c r="Q24" s="12">
        <v>2.77</v>
      </c>
    </row>
    <row r="25" spans="1:17" x14ac:dyDescent="0.2">
      <c r="A25" s="7" t="s">
        <v>36</v>
      </c>
      <c r="B25" s="12">
        <v>304.83</v>
      </c>
      <c r="C25" s="13">
        <v>7435.5</v>
      </c>
      <c r="D25" s="13">
        <v>2266559.7000000002</v>
      </c>
      <c r="E25" s="13">
        <v>-25107</v>
      </c>
      <c r="F25" s="14" t="s">
        <v>26</v>
      </c>
      <c r="G25" s="14" t="s">
        <v>26</v>
      </c>
      <c r="H25" s="13">
        <v>2241452.7000000002</v>
      </c>
      <c r="I25" s="12">
        <v>15.71</v>
      </c>
      <c r="J25" s="16">
        <v>45041</v>
      </c>
      <c r="K25" s="13">
        <v>207591</v>
      </c>
      <c r="L25" s="13">
        <v>100080</v>
      </c>
      <c r="M25" s="13">
        <v>85974</v>
      </c>
      <c r="N25" s="12">
        <v>9.23</v>
      </c>
      <c r="O25" s="12">
        <v>227323.73</v>
      </c>
      <c r="P25" s="12">
        <v>113453.61</v>
      </c>
      <c r="Q25" s="12">
        <v>10.54</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454.34</v>
      </c>
      <c r="C28" s="13">
        <v>12697</v>
      </c>
      <c r="D28" s="13">
        <v>1370652</v>
      </c>
      <c r="E28" s="13">
        <v>83042</v>
      </c>
      <c r="F28" s="14" t="s">
        <v>26</v>
      </c>
      <c r="G28" s="12">
        <v>509</v>
      </c>
      <c r="H28" s="13">
        <v>1285043</v>
      </c>
      <c r="I28" s="12">
        <v>22.41</v>
      </c>
      <c r="J28" s="17" t="s">
        <v>26</v>
      </c>
      <c r="K28" s="13">
        <v>524897</v>
      </c>
      <c r="L28" s="13">
        <v>87496</v>
      </c>
      <c r="M28" s="13">
        <v>72163</v>
      </c>
      <c r="N28" s="12">
        <v>10.14</v>
      </c>
      <c r="O28" s="12">
        <v>305093.65000000002</v>
      </c>
      <c r="P28" s="12">
        <v>122110.19</v>
      </c>
      <c r="Q28" s="12">
        <v>15.94</v>
      </c>
    </row>
    <row r="29" spans="1:17" x14ac:dyDescent="0.2">
      <c r="A29" s="7" t="s">
        <v>39</v>
      </c>
      <c r="B29" s="12">
        <v>86.08</v>
      </c>
      <c r="C29" s="13">
        <v>165.5</v>
      </c>
      <c r="D29" s="13">
        <v>14246.2</v>
      </c>
      <c r="E29" s="13">
        <v>-85609</v>
      </c>
      <c r="F29" s="14" t="s">
        <v>26</v>
      </c>
      <c r="G29" s="12">
        <v>12.18</v>
      </c>
      <c r="H29" s="13">
        <v>16350.6</v>
      </c>
      <c r="I29" s="12">
        <v>-27.64</v>
      </c>
      <c r="J29" s="17" t="s">
        <v>26</v>
      </c>
      <c r="K29" s="13">
        <v>2065.6999999999998</v>
      </c>
      <c r="L29" s="13">
        <v>-783.6</v>
      </c>
      <c r="M29" s="13">
        <v>-837</v>
      </c>
      <c r="N29" s="12">
        <v>-2.5</v>
      </c>
      <c r="O29" s="12">
        <v>2890.38</v>
      </c>
      <c r="P29" s="12">
        <v>240.36</v>
      </c>
      <c r="Q29" s="12">
        <v>0.59</v>
      </c>
    </row>
    <row r="30" spans="1:17" x14ac:dyDescent="0.2">
      <c r="A30" s="7" t="s">
        <v>40</v>
      </c>
      <c r="B30" s="12">
        <v>188.05</v>
      </c>
      <c r="C30" s="13">
        <v>2847.6</v>
      </c>
      <c r="D30" s="13">
        <v>337327.5</v>
      </c>
      <c r="E30" s="13">
        <v>7332.7</v>
      </c>
      <c r="F30" s="14" t="s">
        <v>26</v>
      </c>
      <c r="G30" s="12">
        <v>260.58999999999997</v>
      </c>
      <c r="H30" s="13">
        <v>344712.3</v>
      </c>
      <c r="I30" s="12">
        <v>2.21</v>
      </c>
      <c r="J30" s="17" t="s">
        <v>26</v>
      </c>
      <c r="K30" s="13">
        <v>93972.2</v>
      </c>
      <c r="L30" s="13">
        <v>17827.2</v>
      </c>
      <c r="M30" s="13">
        <v>10870.5</v>
      </c>
      <c r="N30" s="12">
        <v>1.77</v>
      </c>
      <c r="O30" s="12">
        <v>49946.62</v>
      </c>
      <c r="P30" s="12">
        <v>19877.98</v>
      </c>
      <c r="Q30" s="12">
        <v>6.58</v>
      </c>
    </row>
    <row r="31" spans="1:17" x14ac:dyDescent="0.2">
      <c r="A31" s="7" t="s">
        <v>41</v>
      </c>
      <c r="B31" s="12">
        <v>136.59</v>
      </c>
      <c r="C31" s="13">
        <v>443.6</v>
      </c>
      <c r="D31" s="13">
        <v>131468.79999999999</v>
      </c>
      <c r="E31" s="13">
        <v>288.7</v>
      </c>
      <c r="F31" s="14" t="s">
        <v>26</v>
      </c>
      <c r="G31" s="12">
        <v>260.58999999999997</v>
      </c>
      <c r="H31" s="13">
        <v>129367.3</v>
      </c>
      <c r="I31" s="12">
        <v>6.05</v>
      </c>
      <c r="J31" s="17" t="s">
        <v>26</v>
      </c>
      <c r="K31" s="13">
        <v>15674.5</v>
      </c>
      <c r="L31" s="13">
        <v>4072.5</v>
      </c>
      <c r="M31" s="13">
        <v>1987.5</v>
      </c>
      <c r="N31" s="12">
        <v>1.19</v>
      </c>
      <c r="O31" s="12">
        <v>14120.92</v>
      </c>
      <c r="P31" s="12">
        <v>5188.47</v>
      </c>
      <c r="Q31" s="12">
        <v>5.54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901B4-23F9-45DB-B955-5426140C37C2}">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5.62</v>
      </c>
      <c r="H15" s="19">
        <v>18.79</v>
      </c>
      <c r="I15" s="19">
        <v>27.38</v>
      </c>
    </row>
    <row r="16" spans="1:255" ht="12" customHeight="1" x14ac:dyDescent="0.2">
      <c r="A16" s="7" t="s">
        <v>27</v>
      </c>
      <c r="B16" s="14" t="s">
        <v>26</v>
      </c>
      <c r="C16" s="14" t="s">
        <v>26</v>
      </c>
      <c r="D16" s="14" t="s">
        <v>26</v>
      </c>
      <c r="E16" s="14" t="s">
        <v>26</v>
      </c>
      <c r="F16" s="14" t="s">
        <v>26</v>
      </c>
      <c r="G16" s="19">
        <v>6.47</v>
      </c>
      <c r="H16" s="19">
        <v>13.36</v>
      </c>
      <c r="I16" s="19">
        <v>17.420000000000002</v>
      </c>
    </row>
    <row r="17" spans="1:9" ht="12" customHeight="1" x14ac:dyDescent="0.2">
      <c r="A17" s="7" t="s">
        <v>28</v>
      </c>
      <c r="B17" s="14" t="s">
        <v>26</v>
      </c>
      <c r="C17" s="14" t="s">
        <v>26</v>
      </c>
      <c r="D17" s="14" t="s">
        <v>26</v>
      </c>
      <c r="E17" s="14" t="s">
        <v>26</v>
      </c>
      <c r="F17" s="14" t="s">
        <v>26</v>
      </c>
      <c r="G17" s="19">
        <v>4.21</v>
      </c>
      <c r="H17" s="19">
        <v>10.52</v>
      </c>
      <c r="I17" s="19">
        <v>19.440000000000001</v>
      </c>
    </row>
    <row r="18" spans="1:9" ht="12" customHeight="1" x14ac:dyDescent="0.2">
      <c r="A18" s="7" t="s">
        <v>29</v>
      </c>
      <c r="B18" s="14" t="s">
        <v>26</v>
      </c>
      <c r="C18" s="14" t="s">
        <v>26</v>
      </c>
      <c r="D18" s="14" t="s">
        <v>26</v>
      </c>
      <c r="E18" s="14" t="s">
        <v>26</v>
      </c>
      <c r="F18" s="14" t="s">
        <v>26</v>
      </c>
      <c r="G18" s="19">
        <v>4.2300000000000004</v>
      </c>
      <c r="H18" s="19">
        <v>11.5</v>
      </c>
      <c r="I18" s="19">
        <v>17.97</v>
      </c>
    </row>
    <row r="19" spans="1:9" ht="12" customHeight="1" x14ac:dyDescent="0.2">
      <c r="A19" s="7" t="s">
        <v>30</v>
      </c>
      <c r="B19" s="14" t="s">
        <v>26</v>
      </c>
      <c r="C19" s="14" t="s">
        <v>26</v>
      </c>
      <c r="D19" s="14" t="s">
        <v>26</v>
      </c>
      <c r="E19" s="14" t="s">
        <v>26</v>
      </c>
      <c r="F19" s="14" t="s">
        <v>26</v>
      </c>
      <c r="G19" s="19">
        <v>9.65</v>
      </c>
      <c r="H19" s="19">
        <v>29.51</v>
      </c>
      <c r="I19" s="19">
        <v>46.67</v>
      </c>
    </row>
    <row r="20" spans="1:9" ht="12" customHeight="1" x14ac:dyDescent="0.2">
      <c r="A20" s="7" t="s">
        <v>31</v>
      </c>
      <c r="B20" s="14" t="s">
        <v>26</v>
      </c>
      <c r="C20" s="14" t="s">
        <v>26</v>
      </c>
      <c r="D20" s="14" t="s">
        <v>26</v>
      </c>
      <c r="E20" s="14" t="s">
        <v>26</v>
      </c>
      <c r="F20" s="14" t="s">
        <v>26</v>
      </c>
      <c r="G20" s="14" t="s">
        <v>26</v>
      </c>
      <c r="H20" s="14" t="s">
        <v>26</v>
      </c>
      <c r="I20" s="14" t="s">
        <v>26</v>
      </c>
    </row>
    <row r="21" spans="1:9" ht="12" customHeight="1" x14ac:dyDescent="0.2">
      <c r="A21" s="7" t="s">
        <v>32</v>
      </c>
      <c r="B21" s="14" t="s">
        <v>26</v>
      </c>
      <c r="C21" s="14" t="s">
        <v>26</v>
      </c>
      <c r="D21" s="14" t="s">
        <v>26</v>
      </c>
      <c r="E21" s="14" t="s">
        <v>26</v>
      </c>
      <c r="F21" s="14" t="s">
        <v>26</v>
      </c>
      <c r="G21" s="19">
        <v>15.06</v>
      </c>
      <c r="H21" s="19">
        <v>181.11</v>
      </c>
      <c r="I21" s="19">
        <v>251.39</v>
      </c>
    </row>
    <row r="22" spans="1:9" ht="12" customHeight="1" x14ac:dyDescent="0.2">
      <c r="A22" s="7" t="s">
        <v>33</v>
      </c>
      <c r="B22" s="14" t="s">
        <v>26</v>
      </c>
      <c r="C22" s="14" t="s">
        <v>26</v>
      </c>
      <c r="D22" s="14" t="s">
        <v>26</v>
      </c>
      <c r="E22" s="14" t="s">
        <v>26</v>
      </c>
      <c r="F22" s="14" t="s">
        <v>26</v>
      </c>
      <c r="G22" s="19">
        <v>6.33</v>
      </c>
      <c r="H22" s="19">
        <v>22.5</v>
      </c>
      <c r="I22" s="19">
        <v>36.590000000000003</v>
      </c>
    </row>
    <row r="23" spans="1:9" ht="12" customHeight="1" x14ac:dyDescent="0.2">
      <c r="A23" s="7" t="s">
        <v>34</v>
      </c>
      <c r="B23" s="14" t="s">
        <v>26</v>
      </c>
      <c r="C23" s="14" t="s">
        <v>26</v>
      </c>
      <c r="D23" s="14" t="s">
        <v>26</v>
      </c>
      <c r="E23" s="14" t="s">
        <v>26</v>
      </c>
      <c r="F23" s="14" t="s">
        <v>26</v>
      </c>
      <c r="G23" s="19">
        <v>8.5299999999999994</v>
      </c>
      <c r="H23" s="19">
        <v>17.350000000000001</v>
      </c>
      <c r="I23" s="19">
        <v>23.3</v>
      </c>
    </row>
    <row r="24" spans="1:9" ht="12" customHeight="1" x14ac:dyDescent="0.2">
      <c r="A24" s="7" t="s">
        <v>35</v>
      </c>
      <c r="B24" s="14" t="s">
        <v>26</v>
      </c>
      <c r="C24" s="14" t="s">
        <v>26</v>
      </c>
      <c r="D24" s="14" t="s">
        <v>26</v>
      </c>
      <c r="E24" s="14" t="s">
        <v>26</v>
      </c>
      <c r="F24" s="14" t="s">
        <v>26</v>
      </c>
      <c r="G24" s="19">
        <v>4.2</v>
      </c>
      <c r="H24" s="19">
        <v>22.16</v>
      </c>
      <c r="I24" s="19">
        <v>31.08</v>
      </c>
    </row>
    <row r="25" spans="1:9" x14ac:dyDescent="0.2">
      <c r="A25" s="7" t="s">
        <v>36</v>
      </c>
      <c r="B25" s="14" t="s">
        <v>26</v>
      </c>
      <c r="C25" s="14" t="s">
        <v>26</v>
      </c>
      <c r="D25" s="14" t="s">
        <v>26</v>
      </c>
      <c r="E25" s="14" t="s">
        <v>26</v>
      </c>
      <c r="F25" s="14" t="s">
        <v>26</v>
      </c>
      <c r="G25" s="19">
        <v>9.86</v>
      </c>
      <c r="H25" s="19">
        <v>19.760000000000002</v>
      </c>
      <c r="I25" s="19">
        <v>28.92</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15.06</v>
      </c>
      <c r="H28" s="19">
        <v>181.11</v>
      </c>
      <c r="I28" s="19">
        <v>251.39</v>
      </c>
    </row>
    <row r="29" spans="1:9" x14ac:dyDescent="0.2">
      <c r="A29" s="7" t="s">
        <v>39</v>
      </c>
      <c r="B29" s="14" t="s">
        <v>26</v>
      </c>
      <c r="C29" s="14" t="s">
        <v>26</v>
      </c>
      <c r="D29" s="14" t="s">
        <v>26</v>
      </c>
      <c r="E29" s="14" t="s">
        <v>26</v>
      </c>
      <c r="F29" s="14" t="s">
        <v>26</v>
      </c>
      <c r="G29" s="19">
        <v>4.2</v>
      </c>
      <c r="H29" s="19">
        <v>10.52</v>
      </c>
      <c r="I29" s="19">
        <v>17.420000000000002</v>
      </c>
    </row>
    <row r="30" spans="1:9" x14ac:dyDescent="0.2">
      <c r="A30" s="7" t="s">
        <v>40</v>
      </c>
      <c r="B30" s="14" t="s">
        <v>26</v>
      </c>
      <c r="C30" s="14" t="s">
        <v>26</v>
      </c>
      <c r="D30" s="14" t="s">
        <v>26</v>
      </c>
      <c r="E30" s="14" t="s">
        <v>26</v>
      </c>
      <c r="F30" s="14" t="s">
        <v>26</v>
      </c>
      <c r="G30" s="19">
        <v>7.14</v>
      </c>
      <c r="H30" s="19">
        <v>36.31</v>
      </c>
      <c r="I30" s="19">
        <v>52.36</v>
      </c>
    </row>
    <row r="31" spans="1:9" x14ac:dyDescent="0.2">
      <c r="A31" s="7" t="s">
        <v>41</v>
      </c>
      <c r="B31" s="14" t="s">
        <v>26</v>
      </c>
      <c r="C31" s="14" t="s">
        <v>26</v>
      </c>
      <c r="D31" s="14" t="s">
        <v>26</v>
      </c>
      <c r="E31" s="14" t="s">
        <v>26</v>
      </c>
      <c r="F31" s="14" t="s">
        <v>26</v>
      </c>
      <c r="G31" s="19">
        <v>6.33</v>
      </c>
      <c r="H31" s="19">
        <v>18.79</v>
      </c>
      <c r="I31" s="19">
        <v>27.38</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8DC6D-BF55-47AF-B5CC-11F40171CDD5}">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0.73299999999999998</v>
      </c>
      <c r="C15" s="20">
        <v>0.17299999999999999</v>
      </c>
      <c r="D15" s="20">
        <v>5.8999999999999997E-2</v>
      </c>
      <c r="E15" s="21">
        <v>6.6E-3</v>
      </c>
      <c r="F15" s="21">
        <v>0.1835</v>
      </c>
      <c r="G15" s="21">
        <v>0.39379999999999998</v>
      </c>
      <c r="H15" s="21">
        <v>2.0863999999999998</v>
      </c>
      <c r="I15" s="21">
        <v>-0.85599999999999998</v>
      </c>
      <c r="J15" s="21">
        <v>0.20319999999999999</v>
      </c>
      <c r="K15" s="22">
        <v>2.2999999999999998</v>
      </c>
      <c r="L15" s="21">
        <v>0.24310000000000001</v>
      </c>
      <c r="M15" s="12">
        <v>1.24</v>
      </c>
    </row>
    <row r="16" spans="1:255" ht="12" customHeight="1" x14ac:dyDescent="0.2">
      <c r="A16" s="7" t="s">
        <v>27</v>
      </c>
      <c r="B16" s="20">
        <v>0.745</v>
      </c>
      <c r="C16" s="20">
        <v>0.38800000000000001</v>
      </c>
      <c r="D16" s="20">
        <v>0.29199999999999998</v>
      </c>
      <c r="E16" s="21">
        <v>0.17460000000000001</v>
      </c>
      <c r="F16" s="21">
        <v>0.14660000000000001</v>
      </c>
      <c r="G16" s="21">
        <v>1.11E-2</v>
      </c>
      <c r="H16" s="21">
        <v>-0.1186</v>
      </c>
      <c r="I16" s="21">
        <v>0.1075</v>
      </c>
      <c r="J16" s="21">
        <v>1.0213000000000001</v>
      </c>
      <c r="K16" s="22">
        <v>4.7</v>
      </c>
      <c r="L16" s="21">
        <v>0.1027</v>
      </c>
      <c r="M16" s="12">
        <v>1</v>
      </c>
    </row>
    <row r="17" spans="1:13" ht="12" customHeight="1" x14ac:dyDescent="0.2">
      <c r="A17" s="7" t="s">
        <v>28</v>
      </c>
      <c r="B17" s="20">
        <v>0.55300000000000005</v>
      </c>
      <c r="C17" s="20">
        <v>0.307</v>
      </c>
      <c r="D17" s="20">
        <v>0.254</v>
      </c>
      <c r="E17" s="21">
        <v>0.20580000000000001</v>
      </c>
      <c r="F17" s="21">
        <v>5.28E-2</v>
      </c>
      <c r="G17" s="21">
        <v>-8.7099999999999997E-2</v>
      </c>
      <c r="H17" s="21">
        <v>-0.1239</v>
      </c>
      <c r="I17" s="21">
        <v>-0.214</v>
      </c>
      <c r="J17" s="21">
        <v>0.1016</v>
      </c>
      <c r="K17" s="22">
        <v>0.3</v>
      </c>
      <c r="L17" s="21">
        <v>0.16889999999999999</v>
      </c>
      <c r="M17" s="12">
        <v>1.1000000000000001</v>
      </c>
    </row>
    <row r="18" spans="1:13" ht="12" customHeight="1" x14ac:dyDescent="0.2">
      <c r="A18" s="7" t="s">
        <v>29</v>
      </c>
      <c r="B18" s="20">
        <v>0.81399999999999995</v>
      </c>
      <c r="C18" s="20">
        <v>0.20300000000000001</v>
      </c>
      <c r="D18" s="20">
        <v>0.159</v>
      </c>
      <c r="E18" s="21">
        <v>9.8400000000000001E-2</v>
      </c>
      <c r="F18" s="21">
        <v>3.8800000000000001E-2</v>
      </c>
      <c r="G18" s="21">
        <v>-9.1200000000000003E-2</v>
      </c>
      <c r="H18" s="21">
        <v>-0.1135</v>
      </c>
      <c r="I18" s="21">
        <v>-0.27800000000000002</v>
      </c>
      <c r="J18" s="21">
        <v>0.8821</v>
      </c>
      <c r="K18" s="22">
        <v>3.9</v>
      </c>
      <c r="L18" s="21">
        <v>0.127</v>
      </c>
      <c r="M18" s="12">
        <v>0.84</v>
      </c>
    </row>
    <row r="19" spans="1:13" ht="12" customHeight="1" x14ac:dyDescent="0.2">
      <c r="A19" s="7" t="s">
        <v>30</v>
      </c>
      <c r="B19" s="20">
        <v>0.78400000000000003</v>
      </c>
      <c r="C19" s="20">
        <v>0.114</v>
      </c>
      <c r="D19" s="20">
        <v>5.3999999999999999E-2</v>
      </c>
      <c r="E19" s="21">
        <v>5.2499999999999998E-2</v>
      </c>
      <c r="F19" s="21">
        <v>0.2175</v>
      </c>
      <c r="G19" s="21">
        <v>0.2185</v>
      </c>
      <c r="H19" s="21">
        <v>0.66800000000000004</v>
      </c>
      <c r="I19" s="21">
        <v>0.79369999999999996</v>
      </c>
      <c r="J19" s="21">
        <v>0.28549999999999998</v>
      </c>
      <c r="K19" s="22">
        <v>2.2999999999999998</v>
      </c>
      <c r="L19" s="21">
        <v>0.33179999999999998</v>
      </c>
      <c r="M19" s="12">
        <v>1.04</v>
      </c>
    </row>
    <row r="20" spans="1:13" ht="12" customHeight="1" x14ac:dyDescent="0.2">
      <c r="A20" s="7" t="s">
        <v>31</v>
      </c>
      <c r="B20" s="20">
        <v>0.44700000000000001</v>
      </c>
      <c r="C20" s="20">
        <v>0.109</v>
      </c>
      <c r="D20" s="20">
        <v>2.5000000000000001E-2</v>
      </c>
      <c r="E20" s="21">
        <v>8.2000000000000007E-3</v>
      </c>
      <c r="F20" s="21">
        <v>9.8699999999999996E-2</v>
      </c>
      <c r="G20" s="21">
        <v>3.1699999999999999E-2</v>
      </c>
      <c r="H20" s="21">
        <v>-0.3216</v>
      </c>
      <c r="I20" s="21">
        <v>-0.79949999999999999</v>
      </c>
      <c r="J20" s="21">
        <v>0.47770000000000001</v>
      </c>
      <c r="K20" s="22">
        <v>2.1</v>
      </c>
      <c r="L20" s="21">
        <v>0.27579999999999999</v>
      </c>
      <c r="M20" s="12">
        <v>1.26</v>
      </c>
    </row>
    <row r="21" spans="1:13" ht="12" customHeight="1" x14ac:dyDescent="0.2">
      <c r="A21" s="7" t="s">
        <v>32</v>
      </c>
      <c r="B21" s="20">
        <v>0.65300000000000002</v>
      </c>
      <c r="C21" s="20">
        <v>-0.379</v>
      </c>
      <c r="D21" s="20">
        <v>-0.40500000000000003</v>
      </c>
      <c r="E21" s="21">
        <v>-0.38569999999999999</v>
      </c>
      <c r="F21" s="21">
        <v>0.69410000000000005</v>
      </c>
      <c r="G21" s="14" t="s">
        <v>26</v>
      </c>
      <c r="H21" s="14" t="s">
        <v>26</v>
      </c>
      <c r="I21" s="14" t="s">
        <v>26</v>
      </c>
      <c r="J21" s="21">
        <v>4.3999999999999997E-2</v>
      </c>
      <c r="K21" s="14" t="s">
        <v>74</v>
      </c>
      <c r="L21" s="21">
        <v>0.3</v>
      </c>
      <c r="M21" s="12">
        <v>0.75</v>
      </c>
    </row>
    <row r="22" spans="1:13" ht="12" customHeight="1" x14ac:dyDescent="0.2">
      <c r="A22" s="7" t="s">
        <v>33</v>
      </c>
      <c r="B22" s="20">
        <v>0.72399999999999998</v>
      </c>
      <c r="C22" s="20">
        <v>2.3E-2</v>
      </c>
      <c r="D22" s="20">
        <v>-3.5999999999999997E-2</v>
      </c>
      <c r="E22" s="21">
        <v>-5.8999999999999997E-2</v>
      </c>
      <c r="F22" s="21">
        <v>0.20960000000000001</v>
      </c>
      <c r="G22" s="21">
        <v>-0.3745</v>
      </c>
      <c r="H22" s="14" t="s">
        <v>26</v>
      </c>
      <c r="I22" s="14" t="s">
        <v>26</v>
      </c>
      <c r="J22" s="21">
        <v>0.36780000000000002</v>
      </c>
      <c r="K22" s="22">
        <v>11.2</v>
      </c>
      <c r="L22" s="21">
        <v>0.29680000000000001</v>
      </c>
      <c r="M22" s="12">
        <v>1.28</v>
      </c>
    </row>
    <row r="23" spans="1:13" ht="12" customHeight="1" x14ac:dyDescent="0.2">
      <c r="A23" s="7" t="s">
        <v>34</v>
      </c>
      <c r="B23" s="20">
        <v>0.877</v>
      </c>
      <c r="C23" s="20">
        <v>0.373</v>
      </c>
      <c r="D23" s="20">
        <v>0.33900000000000002</v>
      </c>
      <c r="E23" s="21">
        <v>0.26319999999999999</v>
      </c>
      <c r="F23" s="21">
        <v>0.115</v>
      </c>
      <c r="G23" s="21">
        <v>3.0700000000000002E-2</v>
      </c>
      <c r="H23" s="21">
        <v>2.9700000000000001E-2</v>
      </c>
      <c r="I23" s="21">
        <v>-1.8599999999999998E-2</v>
      </c>
      <c r="J23" s="21">
        <v>0.22509999999999999</v>
      </c>
      <c r="K23" s="22">
        <v>0.6</v>
      </c>
      <c r="L23" s="21">
        <v>0.1474</v>
      </c>
      <c r="M23" s="12">
        <v>1.31</v>
      </c>
    </row>
    <row r="24" spans="1:13" ht="12" customHeight="1" x14ac:dyDescent="0.2">
      <c r="A24" s="7" t="s">
        <v>35</v>
      </c>
      <c r="B24" s="20">
        <v>0.77700000000000002</v>
      </c>
      <c r="C24" s="20">
        <v>-3.4000000000000002E-2</v>
      </c>
      <c r="D24" s="20">
        <v>-6.2E-2</v>
      </c>
      <c r="E24" s="21">
        <v>-7.5999999999999998E-2</v>
      </c>
      <c r="F24" s="21">
        <v>0.36659999999999998</v>
      </c>
      <c r="G24" s="14" t="s">
        <v>26</v>
      </c>
      <c r="H24" s="14" t="s">
        <v>26</v>
      </c>
      <c r="I24" s="14" t="s">
        <v>26</v>
      </c>
      <c r="J24" s="21">
        <v>1.0276000000000001</v>
      </c>
      <c r="K24" s="14" t="s">
        <v>74</v>
      </c>
      <c r="L24" s="21">
        <v>0.67100000000000004</v>
      </c>
      <c r="M24" s="12">
        <v>1.29</v>
      </c>
    </row>
    <row r="25" spans="1:13" x14ac:dyDescent="0.2">
      <c r="A25" s="7" t="s">
        <v>36</v>
      </c>
      <c r="B25" s="20">
        <v>0.68500000000000005</v>
      </c>
      <c r="C25" s="20">
        <v>0.48199999999999998</v>
      </c>
      <c r="D25" s="20">
        <v>0.41399999999999998</v>
      </c>
      <c r="E25" s="21">
        <v>0.33250000000000002</v>
      </c>
      <c r="F25" s="21">
        <v>7.8100000000000003E-2</v>
      </c>
      <c r="G25" s="21">
        <v>5.3699999999999998E-2</v>
      </c>
      <c r="H25" s="21">
        <v>4.9200000000000001E-2</v>
      </c>
      <c r="I25" s="21">
        <v>-4.7399999999999998E-2</v>
      </c>
      <c r="J25" s="21">
        <v>0.28949999999999998</v>
      </c>
      <c r="K25" s="22">
        <v>0.8</v>
      </c>
      <c r="L25" s="21">
        <v>0.1197</v>
      </c>
      <c r="M25" s="12">
        <v>0.93</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0.877</v>
      </c>
      <c r="C28" s="20">
        <v>0.38800000000000001</v>
      </c>
      <c r="D28" s="20">
        <v>0.33900000000000002</v>
      </c>
      <c r="E28" s="21">
        <v>0.26319999999999999</v>
      </c>
      <c r="F28" s="21">
        <v>0.69410000000000005</v>
      </c>
      <c r="G28" s="21">
        <v>0.39379999999999998</v>
      </c>
      <c r="H28" s="21">
        <v>2.0863999999999998</v>
      </c>
      <c r="I28" s="21">
        <v>0.79369999999999996</v>
      </c>
      <c r="J28" s="21">
        <v>1.0276000000000001</v>
      </c>
      <c r="K28" s="22">
        <v>11.2</v>
      </c>
      <c r="L28" s="21">
        <v>0.67100000000000004</v>
      </c>
      <c r="M28" s="12">
        <v>1.31</v>
      </c>
    </row>
    <row r="29" spans="1:13" x14ac:dyDescent="0.2">
      <c r="A29" s="7" t="s">
        <v>39</v>
      </c>
      <c r="B29" s="20">
        <v>0.44700000000000001</v>
      </c>
      <c r="C29" s="20">
        <v>-0.379</v>
      </c>
      <c r="D29" s="20">
        <v>-0.40500000000000003</v>
      </c>
      <c r="E29" s="21">
        <v>-0.38569999999999999</v>
      </c>
      <c r="F29" s="21">
        <v>3.8800000000000001E-2</v>
      </c>
      <c r="G29" s="21">
        <v>-0.3745</v>
      </c>
      <c r="H29" s="21">
        <v>-0.3216</v>
      </c>
      <c r="I29" s="21">
        <v>-0.85599999999999998</v>
      </c>
      <c r="J29" s="21">
        <v>4.3999999999999997E-2</v>
      </c>
      <c r="K29" s="22">
        <v>0.3</v>
      </c>
      <c r="L29" s="21">
        <v>0.1027</v>
      </c>
      <c r="M29" s="12">
        <v>0.75</v>
      </c>
    </row>
    <row r="30" spans="1:13" x14ac:dyDescent="0.2">
      <c r="A30" s="7" t="s">
        <v>40</v>
      </c>
      <c r="B30" s="20">
        <v>0.71099999999999997</v>
      </c>
      <c r="C30" s="20">
        <v>0.128</v>
      </c>
      <c r="D30" s="20">
        <v>6.8000000000000005E-2</v>
      </c>
      <c r="E30" s="21">
        <v>2.8899999999999999E-2</v>
      </c>
      <c r="F30" s="21">
        <v>0.21229999999999999</v>
      </c>
      <c r="G30" s="21">
        <v>1.66E-2</v>
      </c>
      <c r="H30" s="21">
        <v>0.3009</v>
      </c>
      <c r="I30" s="21">
        <v>-0.1807</v>
      </c>
      <c r="J30" s="21">
        <v>0.46360000000000001</v>
      </c>
      <c r="K30" s="22">
        <v>3.4</v>
      </c>
      <c r="L30" s="21">
        <v>0.26640000000000003</v>
      </c>
      <c r="M30" s="12">
        <v>1.1100000000000001</v>
      </c>
    </row>
    <row r="31" spans="1:13" x14ac:dyDescent="0.2">
      <c r="A31" s="7" t="s">
        <v>41</v>
      </c>
      <c r="B31" s="20">
        <v>0.73899999999999999</v>
      </c>
      <c r="C31" s="20">
        <v>0.14399999999999999</v>
      </c>
      <c r="D31" s="20">
        <v>5.7000000000000002E-2</v>
      </c>
      <c r="E31" s="21">
        <v>3.0300000000000001E-2</v>
      </c>
      <c r="F31" s="21">
        <v>0.16500000000000001</v>
      </c>
      <c r="G31" s="21">
        <v>2.0899999999999998E-2</v>
      </c>
      <c r="H31" s="21">
        <v>-0.1135</v>
      </c>
      <c r="I31" s="21">
        <v>-0.214</v>
      </c>
      <c r="J31" s="21">
        <v>0.3266</v>
      </c>
      <c r="K31" s="22">
        <v>2.2999999999999998</v>
      </c>
      <c r="L31" s="21">
        <v>0.25940000000000002</v>
      </c>
      <c r="M31" s="12">
        <v>1.17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3D3AE-4D7A-4A99-ACDD-33331405F3CA}">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E9556-7167-4A59-AF01-3421D37713A3}">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207591</v>
      </c>
      <c r="C15" s="13">
        <v>100080</v>
      </c>
      <c r="D15" s="13">
        <v>85974</v>
      </c>
      <c r="E15" s="12">
        <v>227323.73</v>
      </c>
      <c r="F15" s="12">
        <v>113453.61</v>
      </c>
      <c r="G15" s="12">
        <v>9.26</v>
      </c>
      <c r="H15" s="12">
        <v>10.54</v>
      </c>
      <c r="I15" s="12">
        <v>15.71</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74</v>
      </c>
      <c r="C19" s="14" t="s">
        <v>74</v>
      </c>
      <c r="D19" s="14" t="s">
        <v>74</v>
      </c>
      <c r="E19" s="19">
        <v>15.06</v>
      </c>
      <c r="F19" s="19">
        <v>181.11</v>
      </c>
      <c r="G19" s="14" t="s">
        <v>74</v>
      </c>
      <c r="H19" s="19">
        <v>251.39</v>
      </c>
      <c r="I19" s="14" t="s">
        <v>74</v>
      </c>
    </row>
    <row r="20" spans="1:9" x14ac:dyDescent="0.2">
      <c r="A20" s="9" t="s">
        <v>39</v>
      </c>
      <c r="B20" s="14" t="s">
        <v>74</v>
      </c>
      <c r="C20" s="14" t="s">
        <v>74</v>
      </c>
      <c r="D20" s="14" t="s">
        <v>74</v>
      </c>
      <c r="E20" s="19">
        <v>4.2</v>
      </c>
      <c r="F20" s="19">
        <v>10.52</v>
      </c>
      <c r="G20" s="14" t="s">
        <v>74</v>
      </c>
      <c r="H20" s="19">
        <v>17.420000000000002</v>
      </c>
      <c r="I20" s="14" t="s">
        <v>74</v>
      </c>
    </row>
    <row r="21" spans="1:9" x14ac:dyDescent="0.2">
      <c r="A21" s="9" t="s">
        <v>40</v>
      </c>
      <c r="B21" s="14" t="s">
        <v>74</v>
      </c>
      <c r="C21" s="14" t="s">
        <v>74</v>
      </c>
      <c r="D21" s="14" t="s">
        <v>74</v>
      </c>
      <c r="E21" s="19">
        <v>7.14</v>
      </c>
      <c r="F21" s="19">
        <v>36.31</v>
      </c>
      <c r="G21" s="14" t="s">
        <v>74</v>
      </c>
      <c r="H21" s="19">
        <v>52.36</v>
      </c>
      <c r="I21" s="14" t="s">
        <v>74</v>
      </c>
    </row>
    <row r="22" spans="1:9" x14ac:dyDescent="0.2">
      <c r="A22" s="9" t="s">
        <v>41</v>
      </c>
      <c r="B22" s="14" t="s">
        <v>74</v>
      </c>
      <c r="C22" s="14" t="s">
        <v>74</v>
      </c>
      <c r="D22" s="14" t="s">
        <v>74</v>
      </c>
      <c r="E22" s="19">
        <v>6.33</v>
      </c>
      <c r="F22" s="19">
        <v>18.79</v>
      </c>
      <c r="G22" s="14" t="s">
        <v>74</v>
      </c>
      <c r="H22" s="19">
        <v>27.38</v>
      </c>
      <c r="I22" s="14" t="s">
        <v>74</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3423812.45</v>
      </c>
      <c r="F25" s="12">
        <v>20548057.210000001</v>
      </c>
      <c r="G25" s="8"/>
      <c r="H25" s="8"/>
      <c r="I25" s="8"/>
    </row>
    <row r="26" spans="1:9" x14ac:dyDescent="0.2">
      <c r="A26" s="7" t="s">
        <v>39</v>
      </c>
      <c r="B26" s="14" t="s">
        <v>115</v>
      </c>
      <c r="C26" s="14" t="s">
        <v>115</v>
      </c>
      <c r="D26" s="14" t="s">
        <v>115</v>
      </c>
      <c r="E26" s="12">
        <v>954184.69</v>
      </c>
      <c r="F26" s="12">
        <v>1193944.33</v>
      </c>
      <c r="G26" s="8"/>
      <c r="H26" s="8"/>
      <c r="I26" s="8"/>
    </row>
    <row r="27" spans="1:9" x14ac:dyDescent="0.2">
      <c r="A27" s="7" t="s">
        <v>40</v>
      </c>
      <c r="B27" s="14" t="s">
        <v>115</v>
      </c>
      <c r="C27" s="14" t="s">
        <v>115</v>
      </c>
      <c r="D27" s="14" t="s">
        <v>115</v>
      </c>
      <c r="E27" s="12">
        <v>1624125.35</v>
      </c>
      <c r="F27" s="12">
        <v>4119845.76</v>
      </c>
      <c r="G27" s="8"/>
      <c r="H27" s="8"/>
      <c r="I27" s="8"/>
    </row>
    <row r="28" spans="1:9" x14ac:dyDescent="0.2">
      <c r="A28" s="7" t="s">
        <v>41</v>
      </c>
      <c r="B28" s="14" t="s">
        <v>115</v>
      </c>
      <c r="C28" s="14" t="s">
        <v>115</v>
      </c>
      <c r="D28" s="14" t="s">
        <v>115</v>
      </c>
      <c r="E28" s="12">
        <v>1440071.49</v>
      </c>
      <c r="F28" s="12">
        <v>2131733.5499999998</v>
      </c>
      <c r="G28" s="8"/>
      <c r="H28" s="8"/>
      <c r="I28" s="8"/>
    </row>
    <row r="29" spans="1:9" x14ac:dyDescent="0.2">
      <c r="A29" s="8"/>
      <c r="B29" s="8"/>
      <c r="C29" s="8"/>
      <c r="D29" s="8"/>
      <c r="E29" s="8"/>
      <c r="F29" s="8"/>
      <c r="G29" s="8"/>
      <c r="H29" s="8"/>
      <c r="I29" s="8"/>
    </row>
    <row r="30" spans="1:9" ht="12" customHeight="1" x14ac:dyDescent="0.2">
      <c r="A30" s="9" t="s">
        <v>116</v>
      </c>
      <c r="B30" s="13">
        <v>104419</v>
      </c>
      <c r="C30" s="13">
        <v>104419</v>
      </c>
      <c r="D30" s="13">
        <v>104419</v>
      </c>
      <c r="E30" s="13">
        <v>104419</v>
      </c>
      <c r="F30" s="13">
        <v>104419</v>
      </c>
      <c r="G30" s="8"/>
      <c r="H30" s="8"/>
      <c r="I30" s="8"/>
    </row>
    <row r="31" spans="1:9" ht="12" customHeight="1" x14ac:dyDescent="0.2">
      <c r="A31" s="9" t="s">
        <v>117</v>
      </c>
      <c r="B31" s="13">
        <v>79312</v>
      </c>
      <c r="C31" s="13">
        <v>79312</v>
      </c>
      <c r="D31" s="13">
        <v>79312</v>
      </c>
      <c r="E31" s="13">
        <v>79312</v>
      </c>
      <c r="F31" s="13">
        <v>79312</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3448919.45</v>
      </c>
      <c r="F36" s="12">
        <v>20573164.210000001</v>
      </c>
      <c r="G36" s="14" t="s">
        <v>115</v>
      </c>
      <c r="H36" s="12">
        <v>19703821.530000001</v>
      </c>
      <c r="I36" s="14" t="s">
        <v>115</v>
      </c>
    </row>
    <row r="37" spans="1:9" x14ac:dyDescent="0.2">
      <c r="A37" s="7" t="s">
        <v>39</v>
      </c>
      <c r="B37" s="14" t="s">
        <v>115</v>
      </c>
      <c r="C37" s="14" t="s">
        <v>115</v>
      </c>
      <c r="D37" s="14" t="s">
        <v>115</v>
      </c>
      <c r="E37" s="12">
        <v>979291.69</v>
      </c>
      <c r="F37" s="12">
        <v>1219051.33</v>
      </c>
      <c r="G37" s="14" t="s">
        <v>115</v>
      </c>
      <c r="H37" s="12">
        <v>1365573.31</v>
      </c>
      <c r="I37" s="14" t="s">
        <v>115</v>
      </c>
    </row>
    <row r="38" spans="1:9" x14ac:dyDescent="0.2">
      <c r="A38" s="7" t="s">
        <v>40</v>
      </c>
      <c r="B38" s="14" t="s">
        <v>115</v>
      </c>
      <c r="C38" s="14" t="s">
        <v>115</v>
      </c>
      <c r="D38" s="14" t="s">
        <v>115</v>
      </c>
      <c r="E38" s="12">
        <v>1649232.35</v>
      </c>
      <c r="F38" s="12">
        <v>4144952.76</v>
      </c>
      <c r="G38" s="14" t="s">
        <v>115</v>
      </c>
      <c r="H38" s="12">
        <v>4103832.24</v>
      </c>
      <c r="I38" s="14" t="s">
        <v>115</v>
      </c>
    </row>
    <row r="39" spans="1:9" x14ac:dyDescent="0.2">
      <c r="A39" s="7" t="s">
        <v>41</v>
      </c>
      <c r="B39" s="14" t="s">
        <v>115</v>
      </c>
      <c r="C39" s="14" t="s">
        <v>115</v>
      </c>
      <c r="D39" s="14" t="s">
        <v>115</v>
      </c>
      <c r="E39" s="12">
        <v>1465178.49</v>
      </c>
      <c r="F39" s="12">
        <v>2156840.5499999998</v>
      </c>
      <c r="G39" s="14" t="s">
        <v>115</v>
      </c>
      <c r="H39" s="12">
        <v>2146034.14</v>
      </c>
      <c r="I39" s="14" t="s">
        <v>115</v>
      </c>
    </row>
    <row r="40" spans="1:9" x14ac:dyDescent="0.2">
      <c r="A40" s="8"/>
      <c r="B40" s="8"/>
      <c r="C40" s="8"/>
      <c r="D40" s="8"/>
      <c r="E40" s="8"/>
      <c r="F40" s="8"/>
      <c r="G40" s="8"/>
      <c r="H40" s="8"/>
      <c r="I40" s="8"/>
    </row>
    <row r="41" spans="1:9" ht="12" customHeight="1" x14ac:dyDescent="0.2">
      <c r="A41" s="9" t="s">
        <v>121</v>
      </c>
      <c r="B41" s="12">
        <v>7435.49</v>
      </c>
      <c r="C41" s="12">
        <v>7435.49</v>
      </c>
      <c r="D41" s="12">
        <v>7435.49</v>
      </c>
      <c r="E41" s="12">
        <v>7435.49</v>
      </c>
      <c r="F41" s="12">
        <v>7435.49</v>
      </c>
      <c r="G41" s="12">
        <v>7435.49</v>
      </c>
      <c r="H41" s="12">
        <v>7435.49</v>
      </c>
      <c r="I41" s="12">
        <v>7435.49</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463.85</v>
      </c>
      <c r="F44" s="12">
        <v>2766.89</v>
      </c>
      <c r="G44" s="14" t="s">
        <v>115</v>
      </c>
      <c r="H44" s="12">
        <v>2649.97</v>
      </c>
      <c r="I44" s="14" t="s">
        <v>115</v>
      </c>
    </row>
    <row r="45" spans="1:9" x14ac:dyDescent="0.2">
      <c r="A45" s="7" t="s">
        <v>39</v>
      </c>
      <c r="B45" s="14" t="s">
        <v>115</v>
      </c>
      <c r="C45" s="14" t="s">
        <v>115</v>
      </c>
      <c r="D45" s="14" t="s">
        <v>115</v>
      </c>
      <c r="E45" s="12">
        <v>131.71</v>
      </c>
      <c r="F45" s="12">
        <v>163.95</v>
      </c>
      <c r="G45" s="14" t="s">
        <v>115</v>
      </c>
      <c r="H45" s="12">
        <v>183.66</v>
      </c>
      <c r="I45" s="14" t="s">
        <v>115</v>
      </c>
    </row>
    <row r="46" spans="1:9" x14ac:dyDescent="0.2">
      <c r="A46" s="7" t="s">
        <v>40</v>
      </c>
      <c r="B46" s="14" t="s">
        <v>115</v>
      </c>
      <c r="C46" s="14" t="s">
        <v>115</v>
      </c>
      <c r="D46" s="14" t="s">
        <v>115</v>
      </c>
      <c r="E46" s="12">
        <v>221.81</v>
      </c>
      <c r="F46" s="12">
        <v>557.46</v>
      </c>
      <c r="G46" s="14" t="s">
        <v>115</v>
      </c>
      <c r="H46" s="12">
        <v>551.92999999999995</v>
      </c>
      <c r="I46" s="14" t="s">
        <v>115</v>
      </c>
    </row>
    <row r="47" spans="1:9" x14ac:dyDescent="0.2">
      <c r="A47" s="7" t="s">
        <v>41</v>
      </c>
      <c r="B47" s="14" t="s">
        <v>115</v>
      </c>
      <c r="C47" s="14" t="s">
        <v>115</v>
      </c>
      <c r="D47" s="14" t="s">
        <v>115</v>
      </c>
      <c r="E47" s="12">
        <v>197.05</v>
      </c>
      <c r="F47" s="12">
        <v>290.07</v>
      </c>
      <c r="G47" s="14" t="s">
        <v>115</v>
      </c>
      <c r="H47" s="12">
        <v>288.62</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14575301.73</v>
      </c>
      <c r="C50" s="24">
        <v>1960.23</v>
      </c>
      <c r="D50" s="8"/>
      <c r="E50" s="8"/>
      <c r="F50" s="8"/>
      <c r="G50" s="8"/>
      <c r="H50" s="8"/>
      <c r="I50" s="8"/>
    </row>
    <row r="51" spans="1:9" x14ac:dyDescent="0.2">
      <c r="A51" s="9" t="s">
        <v>39</v>
      </c>
      <c r="B51" s="24">
        <v>1187972.1100000001</v>
      </c>
      <c r="C51" s="24">
        <v>159.77000000000001</v>
      </c>
      <c r="D51" s="8"/>
      <c r="E51" s="8"/>
      <c r="F51" s="8"/>
      <c r="G51" s="8"/>
      <c r="H51" s="8"/>
      <c r="I51" s="8"/>
    </row>
    <row r="52" spans="1:9" x14ac:dyDescent="0.2">
      <c r="A52" s="9" t="s">
        <v>40</v>
      </c>
      <c r="B52" s="24">
        <v>3299339.12</v>
      </c>
      <c r="C52" s="24">
        <v>443.73</v>
      </c>
      <c r="D52" s="8"/>
      <c r="E52" s="8"/>
      <c r="F52" s="8"/>
      <c r="G52" s="8"/>
      <c r="H52" s="8"/>
      <c r="I52" s="8"/>
    </row>
    <row r="53" spans="1:9" x14ac:dyDescent="0.2">
      <c r="A53" s="9" t="s">
        <v>41</v>
      </c>
      <c r="B53" s="24">
        <v>1922684.39</v>
      </c>
      <c r="C53" s="24">
        <v>258.58</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94050-4405-4D65-AF66-C2F262E93654}">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8F5E9-F89B-4A2F-87B2-8497092D6A18}">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28</v>
      </c>
      <c r="B15" s="30">
        <v>1</v>
      </c>
      <c r="C15" s="30">
        <v>1</v>
      </c>
      <c r="D15" s="30">
        <v>1</v>
      </c>
      <c r="E15" s="31">
        <v>2</v>
      </c>
      <c r="F15" s="35">
        <v>44926</v>
      </c>
      <c r="G15" s="35">
        <v>45043</v>
      </c>
      <c r="H15" s="36" t="s">
        <v>145</v>
      </c>
      <c r="I15" s="36" t="s">
        <v>146</v>
      </c>
      <c r="J15" s="36" t="s">
        <v>147</v>
      </c>
      <c r="K15" s="37" t="s">
        <v>148</v>
      </c>
      <c r="L15" s="37" t="s">
        <v>149</v>
      </c>
    </row>
    <row r="16" spans="1:255" ht="12" customHeight="1" x14ac:dyDescent="0.2">
      <c r="A16" s="28" t="s">
        <v>34</v>
      </c>
      <c r="B16" s="31">
        <v>2</v>
      </c>
      <c r="C16" s="31">
        <v>2</v>
      </c>
      <c r="D16" s="30">
        <v>1</v>
      </c>
      <c r="E16" s="32">
        <v>3</v>
      </c>
      <c r="F16" s="35">
        <v>44988</v>
      </c>
      <c r="G16" s="35">
        <v>45015</v>
      </c>
      <c r="H16" s="36" t="s">
        <v>150</v>
      </c>
      <c r="I16" s="36" t="s">
        <v>151</v>
      </c>
      <c r="J16" s="36" t="s">
        <v>152</v>
      </c>
      <c r="K16" s="37" t="s">
        <v>148</v>
      </c>
      <c r="L16" s="37" t="s">
        <v>153</v>
      </c>
    </row>
    <row r="17" spans="1:12" ht="12" customHeight="1" x14ac:dyDescent="0.2">
      <c r="A17" s="28" t="s">
        <v>32</v>
      </c>
      <c r="B17" s="31">
        <v>2</v>
      </c>
      <c r="C17" s="33">
        <v>4</v>
      </c>
      <c r="D17" s="31">
        <v>2</v>
      </c>
      <c r="E17" s="30">
        <v>1</v>
      </c>
      <c r="F17" s="35">
        <v>44957</v>
      </c>
      <c r="G17" s="35">
        <v>45015</v>
      </c>
      <c r="H17" s="36" t="s">
        <v>26</v>
      </c>
      <c r="I17" s="36" t="s">
        <v>154</v>
      </c>
      <c r="J17" s="36" t="s">
        <v>155</v>
      </c>
      <c r="K17" s="37" t="s">
        <v>148</v>
      </c>
      <c r="L17" s="37" t="s">
        <v>156</v>
      </c>
    </row>
    <row r="18" spans="1:12" ht="12" customHeight="1" x14ac:dyDescent="0.2">
      <c r="A18" s="28" t="s">
        <v>30</v>
      </c>
      <c r="B18" s="31">
        <v>2</v>
      </c>
      <c r="C18" s="33">
        <v>4</v>
      </c>
      <c r="D18" s="31">
        <v>2</v>
      </c>
      <c r="E18" s="31">
        <v>2</v>
      </c>
      <c r="F18" s="35">
        <v>44926</v>
      </c>
      <c r="G18" s="35">
        <v>44958</v>
      </c>
      <c r="H18" s="36" t="s">
        <v>157</v>
      </c>
      <c r="I18" s="36" t="s">
        <v>158</v>
      </c>
      <c r="J18" s="36" t="s">
        <v>159</v>
      </c>
      <c r="K18" s="37" t="s">
        <v>148</v>
      </c>
      <c r="L18" s="37" t="s">
        <v>160</v>
      </c>
    </row>
    <row r="19" spans="1:12" ht="12" customHeight="1" x14ac:dyDescent="0.2">
      <c r="A19" s="28" t="s">
        <v>31</v>
      </c>
      <c r="B19" s="32">
        <v>3</v>
      </c>
      <c r="C19" s="31">
        <v>2</v>
      </c>
      <c r="D19" s="32">
        <v>3</v>
      </c>
      <c r="E19" s="33">
        <v>4</v>
      </c>
      <c r="F19" s="35">
        <v>44926</v>
      </c>
      <c r="G19" s="35">
        <v>45028</v>
      </c>
      <c r="H19" s="36" t="s">
        <v>161</v>
      </c>
      <c r="I19" s="36" t="s">
        <v>162</v>
      </c>
      <c r="J19" s="36" t="s">
        <v>163</v>
      </c>
      <c r="K19" s="37" t="s">
        <v>148</v>
      </c>
      <c r="L19" s="37" t="s">
        <v>164</v>
      </c>
    </row>
    <row r="20" spans="1:12" ht="12" customHeight="1" x14ac:dyDescent="0.2">
      <c r="A20" s="28" t="s">
        <v>35</v>
      </c>
      <c r="B20" s="32">
        <v>3</v>
      </c>
      <c r="C20" s="32">
        <v>3</v>
      </c>
      <c r="D20" s="33">
        <v>4</v>
      </c>
      <c r="E20" s="32">
        <v>3</v>
      </c>
      <c r="F20" s="35">
        <v>44957</v>
      </c>
      <c r="G20" s="35">
        <v>45011</v>
      </c>
      <c r="H20" s="36" t="s">
        <v>26</v>
      </c>
      <c r="I20" s="36" t="s">
        <v>165</v>
      </c>
      <c r="J20" s="36" t="s">
        <v>166</v>
      </c>
      <c r="K20" s="37" t="s">
        <v>148</v>
      </c>
      <c r="L20" s="37" t="s">
        <v>153</v>
      </c>
    </row>
    <row r="21" spans="1:12" ht="12" customHeight="1" x14ac:dyDescent="0.2">
      <c r="A21" s="28" t="s">
        <v>33</v>
      </c>
      <c r="B21" s="32">
        <v>3</v>
      </c>
      <c r="C21" s="33">
        <v>4</v>
      </c>
      <c r="D21" s="32">
        <v>3</v>
      </c>
      <c r="E21" s="30">
        <v>1</v>
      </c>
      <c r="F21" s="35">
        <v>44957</v>
      </c>
      <c r="G21" s="35">
        <v>44986</v>
      </c>
      <c r="H21" s="36" t="s">
        <v>167</v>
      </c>
      <c r="I21" s="36" t="s">
        <v>168</v>
      </c>
      <c r="J21" s="36" t="s">
        <v>169</v>
      </c>
      <c r="K21" s="37" t="s">
        <v>148</v>
      </c>
      <c r="L21" s="37" t="s">
        <v>153</v>
      </c>
    </row>
    <row r="22" spans="1:12" ht="12" customHeight="1" x14ac:dyDescent="0.2">
      <c r="A22" s="28" t="s">
        <v>27</v>
      </c>
      <c r="B22" s="33">
        <v>4</v>
      </c>
      <c r="C22" s="31">
        <v>2</v>
      </c>
      <c r="D22" s="33">
        <v>4</v>
      </c>
      <c r="E22" s="32">
        <v>3</v>
      </c>
      <c r="F22" s="35">
        <v>44985</v>
      </c>
      <c r="G22" s="35">
        <v>44997</v>
      </c>
      <c r="H22" s="36" t="s">
        <v>167</v>
      </c>
      <c r="I22" s="36" t="s">
        <v>170</v>
      </c>
      <c r="J22" s="36" t="s">
        <v>171</v>
      </c>
      <c r="K22" s="37" t="s">
        <v>148</v>
      </c>
      <c r="L22" s="37" t="s">
        <v>160</v>
      </c>
    </row>
    <row r="23" spans="1:12" ht="12" customHeight="1" x14ac:dyDescent="0.2">
      <c r="A23" s="28" t="s">
        <v>25</v>
      </c>
      <c r="B23" s="33">
        <v>4</v>
      </c>
      <c r="C23" s="32">
        <v>3</v>
      </c>
      <c r="D23" s="32">
        <v>3</v>
      </c>
      <c r="E23" s="33">
        <v>4</v>
      </c>
      <c r="F23" s="35">
        <v>44957</v>
      </c>
      <c r="G23" s="35">
        <v>44994</v>
      </c>
      <c r="H23" s="36" t="s">
        <v>150</v>
      </c>
      <c r="I23" s="36" t="s">
        <v>170</v>
      </c>
      <c r="J23" s="36" t="s">
        <v>172</v>
      </c>
      <c r="K23" s="37" t="s">
        <v>148</v>
      </c>
      <c r="L23" s="37" t="s">
        <v>153</v>
      </c>
    </row>
    <row r="24" spans="1:12" ht="12" customHeight="1" x14ac:dyDescent="0.2">
      <c r="A24" s="28" t="s">
        <v>29</v>
      </c>
      <c r="B24" s="33">
        <v>4</v>
      </c>
      <c r="C24" s="32">
        <v>3</v>
      </c>
      <c r="D24" s="33">
        <v>4</v>
      </c>
      <c r="E24" s="33">
        <v>4</v>
      </c>
      <c r="F24" s="35">
        <v>44960</v>
      </c>
      <c r="G24" s="35">
        <v>45014</v>
      </c>
      <c r="H24" s="36" t="s">
        <v>173</v>
      </c>
      <c r="I24" s="36" t="s">
        <v>170</v>
      </c>
      <c r="J24" s="36" t="s">
        <v>174</v>
      </c>
      <c r="K24" s="37" t="s">
        <v>148</v>
      </c>
      <c r="L24" s="37" t="s">
        <v>160</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0">
        <v>1</v>
      </c>
      <c r="C27" s="30">
        <v>1</v>
      </c>
      <c r="D27" s="31">
        <v>2</v>
      </c>
      <c r="E27" s="31">
        <v>2</v>
      </c>
      <c r="F27" s="35">
        <v>45016</v>
      </c>
      <c r="G27" s="35">
        <v>45042</v>
      </c>
      <c r="H27" s="36" t="s">
        <v>175</v>
      </c>
      <c r="I27" s="36" t="s">
        <v>146</v>
      </c>
      <c r="J27" s="36" t="s">
        <v>176</v>
      </c>
      <c r="K27" s="37" t="s">
        <v>148</v>
      </c>
      <c r="L27" s="37" t="s">
        <v>160</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177</v>
      </c>
    </row>
    <row r="45" spans="1:1" ht="25.05" customHeight="1" x14ac:dyDescent="0.2">
      <c r="A45" s="18" t="s">
        <v>178</v>
      </c>
    </row>
    <row r="48" spans="1:1" ht="120" customHeight="1" x14ac:dyDescent="0.2">
      <c r="A48" s="38" t="s">
        <v>179</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42138-70E0-4D48-A40D-9358A57EC7A9}">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180</v>
      </c>
    </row>
    <row r="8" spans="1:1" x14ac:dyDescent="0.2">
      <c r="A8" t="s">
        <v>181</v>
      </c>
    </row>
    <row r="10" spans="1:1" ht="120" customHeight="1" x14ac:dyDescent="0.2">
      <c r="A10" s="39" t="s">
        <v>182</v>
      </c>
    </row>
    <row r="12" spans="1:1" ht="72" customHeight="1" x14ac:dyDescent="0.2">
      <c r="A12" s="39" t="s">
        <v>183</v>
      </c>
    </row>
    <row r="14" spans="1:1" ht="36" customHeight="1" x14ac:dyDescent="0.2">
      <c r="A14" s="39" t="s">
        <v>184</v>
      </c>
    </row>
    <row r="16" spans="1:1" ht="36" customHeight="1" x14ac:dyDescent="0.2">
      <c r="A16" s="40" t="s">
        <v>185</v>
      </c>
    </row>
    <row r="18" spans="1:1" ht="36" customHeight="1" x14ac:dyDescent="0.2">
      <c r="A18" s="40" t="s">
        <v>186</v>
      </c>
    </row>
    <row r="20" spans="1:1" ht="36" customHeight="1" x14ac:dyDescent="0.2">
      <c r="A20" s="40" t="s">
        <v>187</v>
      </c>
    </row>
    <row r="22" spans="1:1" ht="24" customHeight="1" x14ac:dyDescent="0.2">
      <c r="A22" s="40" t="s">
        <v>188</v>
      </c>
    </row>
    <row r="24" spans="1:1" ht="24" customHeight="1" x14ac:dyDescent="0.2">
      <c r="A24" s="40" t="s">
        <v>189</v>
      </c>
    </row>
    <row r="26" spans="1:1" ht="24" customHeight="1" x14ac:dyDescent="0.2">
      <c r="A26" s="40" t="s">
        <v>190</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146E-5E94-4124-8012-0B93F0222101}">
  <sheetPr codeName="Sheet11"/>
  <dimension ref="A5"/>
  <sheetViews>
    <sheetView workbookViewId="0"/>
  </sheetViews>
  <sheetFormatPr defaultRowHeight="10.199999999999999" x14ac:dyDescent="0.2"/>
  <sheetData>
    <row r="5" spans="1:1" ht="23.25" customHeight="1" x14ac:dyDescent="0.4">
      <c r="A5" s="42" t="s">
        <v>191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2023-04-28T02:49:12Z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