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82A31947-DE31-4928-84B9-09CE9A42A432}" xr6:coauthVersionLast="47" xr6:coauthVersionMax="47" xr10:uidLastSave="{00000000-0000-0000-0000-000000000000}"/>
  <bookViews>
    <workbookView xWindow="1812" yWindow="612" windowWidth="17316" windowHeight="10512"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Q8" i="11" s="1"/>
  <c r="Q10" i="11" s="1"/>
  <c r="Q12" i="11" s="1"/>
  <c r="Q14"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R8" i="11" l="1"/>
  <c r="R10" i="11" s="1"/>
  <c r="R12" i="11" s="1"/>
  <c r="R14" i="11" s="1"/>
  <c r="Q15" i="11" s="1"/>
  <c r="Q17" i="11" s="1"/>
  <c r="S8" i="11"/>
  <c r="S14" i="11" s="1"/>
  <c r="S12" i="11" s="1"/>
  <c r="S10" i="11" s="1"/>
</calcChain>
</file>

<file path=xl/sharedStrings.xml><?xml version="1.0" encoding="utf-8"?>
<sst xmlns="http://schemas.openxmlformats.org/spreadsheetml/2006/main" count="653" uniqueCount="200">
  <si>
    <t>Devon Energy Corporation (NYSE:DVN)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</si>
  <si>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</si>
  <si>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</si>
  <si>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</si>
  <si>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</si>
  <si>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</si>
  <si>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</si>
  <si>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</si>
  <si>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</si>
  <si>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</si>
  <si>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</si>
  <si>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</si>
  <si>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</si>
  <si>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</si>
  <si>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</si>
  <si>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</si>
  <si>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</si>
  <si>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</si>
  <si>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</si>
  <si>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</si>
  <si>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</si>
  <si>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</si>
  <si>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</si>
  <si>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</si>
  <si>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</si>
  <si>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Pioneer Natural Resources Company (NYSE:PXD)</t>
  </si>
  <si>
    <t>-</t>
  </si>
  <si>
    <t>EOG Resources, Inc. (NYSE:EOG)</t>
  </si>
  <si>
    <t>Southwestern Energy Company (NYSE:SWN)</t>
  </si>
  <si>
    <t>APA Corporation (NasdaqGS:APA)</t>
  </si>
  <si>
    <t>Chesapeake Energy Corporation (NasdaqGS:CHK)</t>
  </si>
  <si>
    <t>Ovintiv Inc. (TSX:OVV)</t>
  </si>
  <si>
    <t>Hess Corporation (NYSE:HES)</t>
  </si>
  <si>
    <t>Marathon Oil Corporation (NYSE:MRO)</t>
  </si>
  <si>
    <t>Coterra Energy Inc. (NYSE:CTRA)</t>
  </si>
  <si>
    <t>Diamondback Energy, Inc. (NasdaqGS:FANG)</t>
  </si>
  <si>
    <t>Devon Energy Corporation (NYSE:DVN)</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</si>
  <si>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</si>
  <si>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</si>
  <si>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</si>
  <si>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</si>
  <si>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</si>
  <si>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</si>
  <si>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</si>
  <si>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</si>
  <si>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</si>
  <si>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Devon Energy Corporation (NYSE:DVN)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</si>
  <si>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</si>
  <si>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</si>
  <si>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</si>
  <si>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</si>
  <si>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</si>
  <si>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</si>
  <si>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</si>
  <si>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</si>
  <si>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</si>
  <si>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</si>
  <si>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</si>
  <si>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Devon Energy Corporation (NYSE:DVN)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</si>
  <si>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</si>
  <si>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</si>
  <si>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</si>
  <si>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</si>
  <si>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</si>
  <si>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</si>
  <si>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</si>
  <si>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</si>
  <si>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</si>
  <si>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</si>
  <si>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</si>
  <si>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</si>
  <si>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</si>
  <si>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</si>
  <si>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</si>
  <si>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Devon Energy Corporation (NYSE:DVN) &gt;  Quick Comparable Analysis &gt; Business Description</t>
  </si>
  <si>
    <t>Template:</t>
  </si>
  <si>
    <t>Currency:</t>
  </si>
  <si>
    <t>As-Of Date:</t>
  </si>
  <si>
    <t>Business Description</t>
  </si>
  <si>
    <t>Headquarters</t>
  </si>
  <si>
    <t>Pioneer Natural Resources Company operates as an independent oil and gas exploration and production company in the United States. The company explores for, develops, and produces oil, natural gas liquids (NGLs), and gas. It has operations in the Midland Basin in West Texas. Pioneer Natural Resources Company was founded in 1997 and is headquartered in Irving, Texas.</t>
  </si>
  <si>
    <t>777 Hidden Ridge, Irving, Texas, 75038, United States</t>
  </si>
  <si>
    <t>EOG Resources, Inc., together with its subsidiaries, explores for, develops, produces, and markets crude oil, and natural gas and natural gas liquids. Its principal producing areas are in New Mexico and Texas in the United States; and the Republic of Trinidad and Tobago. The company was formerly known as Enron Oil &amp; Gas Company. EOG Resources, Inc. was incorporated in 1985 and is headquartered in Houston, Texas.</t>
  </si>
  <si>
    <t>1111 Bagby Street, Sky Lobby 2, Houston, Texas, 77002, United States</t>
  </si>
  <si>
    <t>Southwestern Energy Company, an independent energy company, engages in the exploration, development, and production of natural gas, oil, and natural gas liquids (NGLs) in the United States. It operates through two segments, Exploration and Production, and Marketing. The company focuses on the development of unconventional natural gas and oil reservoirs located in Pennsylvania, West Virginia, Ohio, and Louisiana. It also engages in the marketing and transportation of natural gas, oil, and NGLs. The company serves LNG exporters, energy companies, utilities, and industrial purchasers of natural gas. Southwestern Energy Company was incorporated in 1929 and is headquartered in Spring, Texas.</t>
  </si>
  <si>
    <t>10000 Energy Drive, Spring, Texas, 77389, United States</t>
  </si>
  <si>
    <t>APA Corporation, through its subsidiaries, explores for, develops, and produces natural gas, crude oil, and natural gas liquids. It has operations in the United States, Egypt, and the United Kingdom, as well as has exploration activities offshore Suriname. The company also operates gathering, compression, processing, and transmission assets in West Texas, as well as holds ownership in four Permian Basin long-haul pipeline. APA Corporation was founded in 1954 and is based in Houston, Texas.</t>
  </si>
  <si>
    <t>2000 Post Oak Boulevard, Suite 100, One Post Oak Central, Houston, Texas, 77056-4000, United States</t>
  </si>
  <si>
    <t>Chesapeake Energy Corporation, an independent exploration and production company, engages in the acquisition, exploration, and development of properties to produce oil, natural gas, and natural gas liquids from underground reservoirs in the United States. The company holds interests in natural gas resource plays in the Marcellus Shale in the northern Appalachian Basin in Pennsylvania and the Haynesville/Bossier Shales in northwestern Louisiana. The company was founded in 1989 and is headquartered in Oklahoma City, Oklahoma.</t>
  </si>
  <si>
    <t>6100 North Western Avenue, Oklahoma City, Oklahoma, 73118, United States</t>
  </si>
  <si>
    <t>Ovintiv Inc., together with its subsidiaries, explores, develops, produces, and markets natural gas, oil, and natural gas liquids in the United States and Canada. It operates through USA Operations, Canadian Operations, and Market Optimization segments. The company’s principal assets include Permian in west Texas and Anadarko in west-central Oklahoma; and Montney in northeast British Columbia and northwest Alberta. Its other upstream assets comprise Bakken in northwest North Dakota, and Uinta in central Utah; and Horn River in northeast British Columbia, and Wheatland in southern Alberta. The company was formerly known as Encana Corporation and changed its name to Ovintiv Inc. in January 2020. Ovintiv Inc. was incorporated in 2020 and is based in Denver, Colorado.</t>
  </si>
  <si>
    <t>370 17th Street, Suite 1700, Denver, Colorado, 80202, United States</t>
  </si>
  <si>
    <t>Hess Corporation, an exploration and production company, explores, develops, produces, purchases, transports, and sells crude oil, natural gas liquids (NGLs), and natural gas. The company operates in two segments, Exploration and Production, and Midstream. It conducts production operations primarily in the United States, Guyana, the Malaysia/Thailand Joint Development Area, and Malaysia; and exploration activities principally offshore Guyana, the U.S. Gulf of Mexico, and offshore Suriname and Canada. The company is also involved in gathering, compressing, and processing natural gas; fractionating NGLs; gathering, terminaling, loading, and transporting crude oil and NGL through rail car; and storing and terminaling propane, as well as providing water handling services primarily in the Bakken Shale plays in the Williston Basin area of North Dakota. The company was incorporated in 1920 and is headquartered in New York, New York.</t>
  </si>
  <si>
    <t>1185 Avenue of the Americas, 40th Floor, New York, New York, 10036, United States</t>
  </si>
  <si>
    <t>Marathon Oil Corporation operates as an independent exploration and production company in the United States and internationally. The company engages in the exploration, production, and marketing of crude oil and condensate, natural gas liquids, and natural gas; and the production and marketing of products manufactured from natural gas, such as liquefied natural gas and methanol. It also owns and operates central gathering and treating facilities; and the Sugarloaf gathering system, a 42-mile natural gas pipeline through Karnes and Atascosa Counties. The company was formerly known as USX Corporation and changed its name to Marathon Oil Corporation in December 2001. The company was founded in 1886 and is headquartered in Houston, Texas.</t>
  </si>
  <si>
    <t>990 Town and Country Boulevard, Houston, Texas, 77024-2217, United States</t>
  </si>
  <si>
    <t>Coterra Energy Inc., an independent oil and gas company, engages in the development, exploration and production of oil, natural gas, and natural gas liquids in the United States. The company primarily focuses on the Marcellus Shale with approximately 183,000 net acres in the dry gas window of the play located in Susquehanna County, Pennsylvania. It also holds Permian Basin properties with approximately 307,000 net acres; and Anadarko Basin properties with approximately 182,000 net acres located in Oklahoma. In addition, the company operates natural gas and saltwater disposal gathering systems in Texas. It sells its natural gas to industrial customers, local distribution companies, oil and gas marketers, major energy companies, pipeline companies, and power generation facilities. The company was incorporated in 1989 and is headquartered in Houston, Texas.</t>
  </si>
  <si>
    <t>Three Memorial City Plaza, Suite 1400, 840 Gessner Road, Houston, Texas, 77024, United States</t>
  </si>
  <si>
    <t>Diamondback Energy, Inc., an independent oil and natural gas company, focuses on the acquisition, development, exploration, and exploitation of unconventional and onshore oil and natural gas reserves in the Permian Basin in West Texas. It focuses on the development of the Spraberry and Wolfcamp formations of the Midland basin; and the Wolfcamp and Bone Spring formations of the Delaware basin, which are part of the Permian Basin in West Texas and New Mexico. The company also owns, operates, develops, and acquires midstream infrastructure assets, including 770 miles of crude oil gathering pipelines, natural gas gathering pipelines, and an integrated water system in the Midland and Delaware Basins of the Permian Basin. Diamondback Energy, Inc. was founded in 2007 and is headquartered in Midland, Texas.</t>
  </si>
  <si>
    <t>500 West Texas Avenue, Suite 1200, Midland, Texas, 79701, United States</t>
  </si>
  <si>
    <t>Devon Energy Corporation, an independent energy company, explores for, develops, and produces oil, natural gas, and natural gas liquids in the United States. It operates in Delaware, Anadarko, Williston, Eagle Ford, and Powder River Basin. The company was incorporated in 1971 and is headquartered in Oklahoma City, Oklahoma.</t>
  </si>
  <si>
    <t>333 West Sheridan Avenue, Oklahoma City, Oklahoma, 73102-5015, United States</t>
  </si>
  <si>
    <t>Devon Energy Corporation (NYSE:DVN)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</si>
  <si>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</si>
  <si>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</si>
  <si>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</si>
  <si>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</si>
  <si>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</si>
  <si>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</si>
  <si>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</si>
  <si>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</si>
  <si>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</si>
  <si>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</si>
  <si>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NM</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</si>
  <si>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</si>
  <si>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</si>
  <si>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</si>
  <si>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</si>
  <si>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</si>
  <si>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</si>
  <si>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</si>
  <si>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</si>
  <si>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</si>
  <si>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</si>
  <si>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</si>
  <si>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</si>
  <si>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Devon Energy Corporation (NYSE:DVN) &gt;  Quick Comparable Analysis &gt; Valuation Chart</t>
  </si>
  <si>
    <t>Template:</t>
  </si>
  <si>
    <t>Currency:</t>
  </si>
  <si>
    <t>As-Of Date:</t>
  </si>
  <si>
    <t>Devon Energy Corporation (NYSE:DVN)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</si>
  <si>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</si>
  <si>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</si>
  <si>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</si>
  <si>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</si>
  <si>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</si>
  <si>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</si>
  <si>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</si>
  <si>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</si>
  <si>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</si>
  <si>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</si>
  <si>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</si>
  <si>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</si>
  <si>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</si>
  <si>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</si>
  <si>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A-</t>
  </si>
  <si>
    <t>a-</t>
  </si>
  <si>
    <t>0.3645%</t>
  </si>
  <si>
    <t>United States</t>
  </si>
  <si>
    <t>Oil and Gas Exploration and Production</t>
  </si>
  <si>
    <t>BBB</t>
  </si>
  <si>
    <t>0.8146%</t>
  </si>
  <si>
    <t>0.3626%</t>
  </si>
  <si>
    <t>BBB-</t>
  </si>
  <si>
    <t>bbb+</t>
  </si>
  <si>
    <t>0.6151%</t>
  </si>
  <si>
    <t>bbb</t>
  </si>
  <si>
    <t>1.7893%</t>
  </si>
  <si>
    <t>BB</t>
  </si>
  <si>
    <t>1.0739%</t>
  </si>
  <si>
    <t>0.8966%</t>
  </si>
  <si>
    <t>1.7374%</t>
  </si>
  <si>
    <t>0.4383%</t>
  </si>
  <si>
    <t>BB+</t>
  </si>
  <si>
    <t>bbb-</t>
  </si>
  <si>
    <t>2.7557%</t>
  </si>
  <si>
    <t>0.8400%</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</si>
  <si>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</si>
  <si>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</si>
  <si>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</si>
  <si>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Devon Energy Corporation (NYSE:DVN)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</si>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</sst>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0">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4" xfId="0" applyNumberFormat="1" applyFont="1" applyFill="1" applyBorder="1" applyAlignment="1"/>
    <xf numFmtId="9" fontId="1" fillId="0" borderId="5" xfId="0" applyNumberFormat="1" applyFont="1" applyFill="1" applyBorder="1" applyAlignment="1"/>
    <xf numFmtId="9" fontId="1" fillId="0" borderId="8" xfId="0" applyNumberFormat="1" applyFont="1" applyFill="1" applyBorder="1" applyAlignment="1"/>
    <xf numFmtId="9" fontId="1" fillId="0" borderId="14" xfId="0" applyNumberFormat="1" applyFont="1" applyFill="1" applyBorder="1" applyAlignment="1"/>
    <xf numFmtId="9" fontId="1" fillId="0" borderId="15" xfId="0" applyNumberFormat="1" applyFont="1" applyFill="1" applyBorder="1" applyAlignment="1"/>
    <xf numFmtId="9" fontId="20" fillId="0" borderId="15" xfId="0" applyNumberFormat="1" applyFont="1" applyFill="1" applyBorder="1" applyAlignment="1"/>
    <xf numFmtId="9" fontId="1" fillId="0" borderId="17" xfId="0" applyNumberFormat="1" applyFont="1" applyFill="1" applyBorder="1" applyAlignment="1"/>
    <xf numFmtId="0" fontId="1" fillId="0" borderId="18" xfId="0" applyFont="1" applyFill="1" applyBorder="1" applyAlignment="1"/>
    <xf numFmtId="0" fontId="1" fillId="0" borderId="10"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 fillId="0" borderId="2" xfId="0" applyNumberFormat="1" applyFont="1" applyFill="1" applyBorder="1" applyAlignment="1">
      <alignment horizontal="right" vertical="top" wrapText="1"/>
    </xf>
    <xf numFmtId="0" fontId="16" fillId="0" borderId="5" xfId="0" applyFont="1" applyFill="1" applyBorder="1" applyAlignment="1">
      <alignment horizontal="left" vertical="top" wrapText="1"/>
    </xf>
    <xf numFmtId="169" fontId="1" fillId="0" borderId="9" xfId="0" applyNumberFormat="1" applyFont="1" applyFill="1" applyBorder="1" applyAlignment="1">
      <alignment horizontal="right" vertical="top" wrapText="1"/>
    </xf>
    <xf numFmtId="170" fontId="1" fillId="0" borderId="9" xfId="0" applyNumberFormat="1" applyFont="1" applyFill="1" applyBorder="1" applyAlignment="1">
      <alignment horizontal="right" vertical="top" wrapText="1"/>
    </xf>
    <xf numFmtId="167" fontId="1" fillId="0" borderId="9"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5" fontId="1" fillId="0" borderId="13" xfId="0" applyNumberFormat="1" applyFont="1" applyFill="1" applyBorder="1" applyAlignment="1">
      <alignment horizontal="righ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6" xfId="0"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8"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70" fontId="1" fillId="0" borderId="6" xfId="0" applyNumberFormat="1" applyFont="1" applyFill="1" applyBorder="1" applyAlignment="1">
      <alignment horizontal="right" vertical="top" wrapText="1"/>
    </xf>
    <xf numFmtId="167" fontId="1" fillId="0" borderId="6"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9" fontId="1" fillId="0" borderId="6" xfId="3" applyFont="1" applyFill="1" applyBorder="1" applyAlignment="1"/>
    <xf numFmtId="9" fontId="1" fillId="0" borderId="2" xfId="3" applyFont="1" applyFill="1" applyBorder="1" applyAlignment="1"/>
    <xf numFmtId="9" fontId="1" fillId="0" borderId="9" xfId="3" applyFont="1" applyFill="1" applyBorder="1" applyAlignment="1"/>
    <xf numFmtId="168" fontId="1" fillId="0" borderId="6" xfId="3" applyNumberFormat="1" applyFont="1" applyFill="1" applyBorder="1" applyAlignment="1"/>
    <xf numFmtId="168" fontId="1" fillId="0" borderId="2" xfId="3" applyNumberFormat="1" applyFont="1" applyFill="1" applyBorder="1" applyAlignment="1"/>
    <xf numFmtId="168" fontId="1" fillId="0" borderId="9" xfId="3" applyNumberFormat="1" applyFont="1" applyFill="1" applyBorder="1" applyAlignment="1"/>
    <xf numFmtId="43" fontId="1" fillId="0" borderId="11" xfId="1" applyFont="1" applyFill="1" applyBorder="1" applyAlignment="1"/>
    <xf numFmtId="43" fontId="1" fillId="0" borderId="12" xfId="1" applyFont="1" applyFill="1" applyBorder="1" applyAlignment="1"/>
    <xf numFmtId="43" fontId="1" fillId="0" borderId="13" xfId="1" applyFont="1" applyFill="1" applyBorder="1" applyAlignment="1"/>
    <xf numFmtId="0" fontId="0" fillId="0" borderId="0" xfId="0"/>
    <xf numFmtId="0" fontId="0" fillId="0" borderId="4" xfId="0" applyBorder="1"/>
    <xf numFmtId="0" fontId="0" fillId="0" borderId="5" xfId="0" applyBorder="1"/>
    <xf numFmtId="0" fontId="0" fillId="0" borderId="6" xfId="0" applyBorder="1"/>
    <xf numFmtId="0" fontId="0" fillId="0" borderId="8" xfId="0" applyBorder="1"/>
    <xf numFmtId="0" fontId="0" fillId="0" borderId="11" xfId="0" applyBorder="1"/>
    <xf numFmtId="0" fontId="0" fillId="0" borderId="5" xfId="0" applyBorder="1" applyAlignment="1">
      <alignment wrapText="1"/>
    </xf>
    <xf numFmtId="0" fontId="0" fillId="0" borderId="6" xfId="0" applyBorder="1" applyAlignment="1">
      <alignment wrapText="1"/>
    </xf>
    <xf numFmtId="0" fontId="0" fillId="0" borderId="11" xfId="0" applyBorder="1" applyAlignment="1">
      <alignment wrapText="1"/>
    </xf>
    <xf numFmtId="0" fontId="0" fillId="0" borderId="4" xfId="0" applyBorder="1" applyAlignment="1">
      <alignment wrapText="1"/>
    </xf>
    <xf numFmtId="0" fontId="0" fillId="0" borderId="8" xfId="0" applyBorder="1" applyAlignment="1">
      <alignment wrapText="1"/>
    </xf>
    <xf numFmtId="168" fontId="0" fillId="0" borderId="6" xfId="0" applyNumberFormat="1" applyBorder="1"/>
    <xf numFmtId="168" fontId="0" fillId="0" borderId="11" xfId="0" applyNumberFormat="1" applyBorder="1"/>
    <xf numFmtId="168" fontId="0" fillId="0" borderId="2" xfId="0" applyNumberFormat="1" applyBorder="1"/>
    <xf numFmtId="168" fontId="0" fillId="0" borderId="12" xfId="0" applyNumberFormat="1" applyBorder="1"/>
    <xf numFmtId="168" fontId="0" fillId="0" borderId="9" xfId="0" applyNumberFormat="1" applyBorder="1"/>
    <xf numFmtId="168" fontId="0" fillId="0" borderId="13" xfId="0" applyNumberFormat="1" applyBorder="1"/>
    <xf numFmtId="0" fontId="0" fillId="0" borderId="7" xfId="0" applyBorder="1"/>
    <xf numFmtId="0" fontId="0" fillId="0" borderId="22"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9" xfId="2" applyFont="1" applyBorder="1" applyAlignment="1">
      <alignment wrapText="1"/>
    </xf>
    <xf numFmtId="43" fontId="0" fillId="0" borderId="2" xfId="1" applyFont="1" applyBorder="1" applyAlignment="1">
      <alignment wrapText="1"/>
    </xf>
    <xf numFmtId="43" fontId="0" fillId="0" borderId="9" xfId="1" applyFont="1" applyBorder="1" applyAlignment="1">
      <alignment wrapText="1"/>
    </xf>
    <xf numFmtId="168" fontId="0" fillId="0" borderId="2" xfId="2" applyNumberFormat="1" applyFont="1" applyBorder="1" applyAlignment="1">
      <alignment wrapText="1"/>
    </xf>
    <xf numFmtId="168" fontId="0" fillId="0" borderId="12" xfId="2" applyNumberFormat="1" applyFont="1" applyBorder="1" applyAlignment="1">
      <alignment wrapText="1"/>
    </xf>
    <xf numFmtId="168" fontId="0" fillId="0" borderId="9" xfId="2" applyNumberFormat="1" applyFont="1" applyBorder="1" applyAlignment="1">
      <alignment wrapText="1"/>
    </xf>
    <xf numFmtId="168" fontId="0" fillId="0" borderId="13" xfId="2" applyNumberFormat="1" applyFont="1" applyBorder="1" applyAlignment="1">
      <alignment wrapText="1"/>
    </xf>
    <xf numFmtId="9" fontId="0" fillId="0" borderId="5" xfId="3" applyFont="1" applyBorder="1"/>
    <xf numFmtId="9" fontId="0" fillId="0" borderId="4" xfId="3" applyFont="1" applyBorder="1"/>
    <xf numFmtId="9" fontId="0" fillId="0" borderId="8" xfId="3" applyFont="1" applyBorder="1"/>
    <xf numFmtId="44" fontId="0" fillId="0" borderId="2" xfId="2" applyFont="1" applyBorder="1"/>
    <xf numFmtId="44" fontId="0" fillId="0" borderId="12" xfId="2" applyFont="1" applyBorder="1"/>
    <xf numFmtId="44" fontId="0" fillId="0" borderId="3" xfId="2" applyFont="1" applyBorder="1"/>
    <xf numFmtId="44" fontId="0" fillId="0" borderId="9" xfId="2" applyFont="1" applyBorder="1"/>
    <xf numFmtId="44" fontId="0" fillId="0" borderId="13" xfId="2" applyFont="1" applyBorder="1"/>
    <xf numFmtId="44" fontId="0" fillId="0" borderId="11" xfId="2" applyFont="1" applyBorder="1"/>
    <xf numFmtId="44" fontId="0" fillId="0" borderId="0" xfId="2" applyFont="1"/>
    <xf numFmtId="9" fontId="0" fillId="0" borderId="2" xfId="3" applyFont="1" applyBorder="1"/>
    <xf numFmtId="9" fontId="0" fillId="0" borderId="12" xfId="3" applyFont="1" applyBorder="1"/>
    <xf numFmtId="168" fontId="0" fillId="0" borderId="2" xfId="2" applyNumberFormat="1" applyFont="1" applyBorder="1"/>
    <xf numFmtId="168" fontId="0" fillId="0" borderId="12" xfId="2" applyNumberFormat="1" applyFont="1" applyBorder="1"/>
    <xf numFmtId="43" fontId="0" fillId="0" borderId="2" xfId="1" applyFont="1" applyBorder="1"/>
    <xf numFmtId="43" fontId="0" fillId="0" borderId="12" xfId="1" applyFont="1" applyBorder="1"/>
    <xf numFmtId="9" fontId="0" fillId="0" borderId="13" xfId="3" applyFont="1" applyBorder="1"/>
    <xf numFmtId="9" fontId="21" fillId="0" borderId="15"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B5667C53-1A25-4A0E-BBFD-5A5D11F432BC}"/>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FD380583-D585-4B23-9B90-A059790CEAB3}"/>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F95746EE-5BC6-449C-87A2-5907071AC7F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5763F9D4-8D57-498A-B743-994F389A7F35}"/>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44C662ED-903A-4097-8473-BCB2F85E58D3}"/>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17DEC3E9-3B01-456E-8B2E-57EE12404908}"/>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A6CC9EFF-4A54-4662-B021-3171D6A383B8}"/>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D368AB09-5910-4E9F-AB9A-91A5527B5B57}"/>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29855CD5-7AC5-4414-BB65-BE2E62B1E1D0}"/>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5024866F-0FA4-4376-838C-755236C1F640}"/>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5F5808CC-0950-47B4-9EE4-3539162B5E7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79F77B72-E2BD-49D4-BD6C-F44512BDFB1E}"/>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2F05363E-05A9-41D1-8C7B-E7C2DE4DA51B}"/>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AC4C3D8F-CCCD-4F13-A894-DC66B235A2F2}"/>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44</xdr:row>
      <xdr:rowOff>0</xdr:rowOff>
    </xdr:from>
    <xdr:to>
      <xdr:col>4</xdr:col>
      <xdr:colOff>49625</xdr:colOff>
      <xdr:row>46</xdr:row>
      <xdr:rowOff>151172</xdr:rowOff>
    </xdr:to>
    <xdr:pic>
      <xdr:nvPicPr>
        <xdr:cNvPr id="3" name="Picture 3">
          <a:extLst>
            <a:ext uri="{FF2B5EF4-FFF2-40B4-BE49-F238E27FC236}">
              <a16:creationId xmlns:a16="http://schemas.microsoft.com/office/drawing/2014/main" id="{17A9F1C2-5CF5-417B-BC12-05F8A26D0EA4}"/>
            </a:ext>
          </a:extLst>
        </xdr:cNvPr>
        <xdr:cNvPicPr>
          <a:picLocks noChangeAspect="1"/>
        </xdr:cNvPicPr>
      </xdr:nvPicPr>
      <xdr:blipFill>
        <a:blip xmlns:r="http://schemas.openxmlformats.org/officeDocument/2006/relationships" r:embed="rId2"/>
        <a:stretch>
          <a:fillRect/>
        </a:stretch>
      </xdr:blipFill>
      <xdr:spPr>
        <a:xfrm>
          <a:off x="5038725" y="70199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D3D2A412-0079-4E04-AC7C-F696BD091DF0}"/>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1E50DED1-0D53-4002-BDB1-9428FC70DCF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F5ECC-2F85-4C20-81D9-FEA0A86F9C52}">
  <sheetPr codeName="Sheet1"/>
  <dimension ref="C5:S44"/>
  <sheetViews>
    <sheetView showGridLines="0" tabSelected="1" workbookViewId="0"/>
  </sheetViews>
  <sheetFormatPr defaultRowHeight="13.2" x14ac:dyDescent="0.25"/>
  <cols>
    <col min="1" max="2" width="8.88671875" style="83"/>
    <col min="3" max="3" width="43.44140625" style="83" bestFit="1" customWidth="1"/>
    <col min="4" max="4" width="19.88671875" style="83" bestFit="1" customWidth="1"/>
    <col min="5" max="5" width="22.5546875" style="83" bestFit="1" customWidth="1"/>
    <col min="6" max="6" width="23.44140625" style="83" bestFit="1" customWidth="1"/>
    <col min="7" max="7" width="12.5546875" style="83" bestFit="1" customWidth="1"/>
    <col min="8" max="8" width="24.44140625" style="83" bestFit="1" customWidth="1"/>
    <col min="9" max="9" width="23" style="83" bestFit="1" customWidth="1"/>
    <col min="10" max="10" width="22.5546875" style="83" bestFit="1" customWidth="1"/>
    <col min="11" max="11" width="19.5546875" style="83" bestFit="1" customWidth="1"/>
    <col min="12" max="12" width="39" style="83" bestFit="1" customWidth="1"/>
    <col min="13" max="13" width="34.109375" style="83" bestFit="1" customWidth="1"/>
    <col min="14" max="14" width="26.33203125" style="83" bestFit="1" customWidth="1"/>
    <col min="15" max="15" width="8.88671875" style="83"/>
    <col min="16" max="16" width="28.5546875" style="83" bestFit="1" customWidth="1"/>
    <col min="17" max="19" width="11.44140625" style="83" bestFit="1" customWidth="1"/>
    <col min="20" max="16384" width="8.88671875" style="83"/>
  </cols>
  <sheetData>
    <row r="5" spans="3:19" ht="13.8" thickBot="1" x14ac:dyDescent="0.3"/>
    <row r="6" spans="3:19" x14ac:dyDescent="0.25">
      <c r="C6" s="89" t="s">
        <v>8</v>
      </c>
      <c r="D6" s="90" t="s">
        <v>9</v>
      </c>
      <c r="E6" s="90" t="s">
        <v>10</v>
      </c>
      <c r="F6" s="90" t="s">
        <v>11</v>
      </c>
      <c r="G6" s="90" t="s">
        <v>12</v>
      </c>
      <c r="H6" s="90" t="s">
        <v>15</v>
      </c>
      <c r="I6" s="90" t="s">
        <v>22</v>
      </c>
      <c r="J6" s="90" t="s">
        <v>23</v>
      </c>
      <c r="K6" s="90" t="s">
        <v>24</v>
      </c>
      <c r="L6" s="90" t="s">
        <v>55</v>
      </c>
      <c r="M6" s="90" t="s">
        <v>56</v>
      </c>
      <c r="N6" s="91" t="s">
        <v>57</v>
      </c>
      <c r="P6" s="85"/>
      <c r="Q6" s="86" t="s">
        <v>186</v>
      </c>
      <c r="R6" s="86" t="s">
        <v>187</v>
      </c>
      <c r="S6" s="88" t="s">
        <v>188</v>
      </c>
    </row>
    <row r="7" spans="3:19" x14ac:dyDescent="0.25">
      <c r="C7" s="92" t="s">
        <v>25</v>
      </c>
      <c r="D7" s="104">
        <v>212.81</v>
      </c>
      <c r="E7" s="106">
        <v>235</v>
      </c>
      <c r="F7" s="104">
        <v>50011.199999999997</v>
      </c>
      <c r="G7" s="104">
        <v>4987</v>
      </c>
      <c r="H7" s="104">
        <v>54998.2</v>
      </c>
      <c r="I7" s="104">
        <v>20406.25</v>
      </c>
      <c r="J7" s="104">
        <v>9970.44</v>
      </c>
      <c r="K7" s="104">
        <v>21.91</v>
      </c>
      <c r="L7" s="108">
        <v>2.7</v>
      </c>
      <c r="M7" s="108">
        <v>5.52</v>
      </c>
      <c r="N7" s="109">
        <v>9.7100000000000009</v>
      </c>
      <c r="P7" s="84" t="s">
        <v>189</v>
      </c>
      <c r="Q7" s="122">
        <v>0.33333333333333331</v>
      </c>
      <c r="R7" s="122">
        <v>0.33333333333333331</v>
      </c>
      <c r="S7" s="123">
        <v>0.33333333333333331</v>
      </c>
    </row>
    <row r="8" spans="3:19" x14ac:dyDescent="0.25">
      <c r="C8" s="92" t="s">
        <v>27</v>
      </c>
      <c r="D8" s="104">
        <v>115.84</v>
      </c>
      <c r="E8" s="106">
        <v>587.79999999999995</v>
      </c>
      <c r="F8" s="104">
        <v>68088.600000000006</v>
      </c>
      <c r="G8" s="104">
        <v>-14</v>
      </c>
      <c r="H8" s="104">
        <v>68074.600000000006</v>
      </c>
      <c r="I8" s="104">
        <v>23885.55</v>
      </c>
      <c r="J8" s="104">
        <v>12878.27</v>
      </c>
      <c r="K8" s="104">
        <v>11.92</v>
      </c>
      <c r="L8" s="108">
        <v>2.85</v>
      </c>
      <c r="M8" s="108">
        <v>5.29</v>
      </c>
      <c r="N8" s="109">
        <v>9.7200000000000006</v>
      </c>
      <c r="P8" s="84" t="s">
        <v>190</v>
      </c>
      <c r="Q8" s="124">
        <f>INDEX(L24:L44,MATCH($L$22,$K$24:$K$44))</f>
        <v>2.8980000000000001</v>
      </c>
      <c r="R8" s="124">
        <f>INDEX(M24:M44,MATCH($L$22,$K$24:$K$44))</f>
        <v>4.9334999999999996</v>
      </c>
      <c r="S8" s="125">
        <f>INDEX(N24:N44,MATCH($L$22,$K$24:$K$44))</f>
        <v>8.307500000000001</v>
      </c>
    </row>
    <row r="9" spans="3:19" x14ac:dyDescent="0.25">
      <c r="C9" s="92" t="s">
        <v>28</v>
      </c>
      <c r="D9" s="104">
        <v>5.03</v>
      </c>
      <c r="E9" s="106">
        <v>1101.0999999999999</v>
      </c>
      <c r="F9" s="104">
        <v>5538.3</v>
      </c>
      <c r="G9" s="104">
        <v>4103</v>
      </c>
      <c r="H9" s="104">
        <v>9641.2999999999993</v>
      </c>
      <c r="I9" s="104" t="s">
        <v>26</v>
      </c>
      <c r="J9" s="104" t="s">
        <v>26</v>
      </c>
      <c r="K9" s="104" t="s">
        <v>26</v>
      </c>
      <c r="L9" s="108" t="s">
        <v>26</v>
      </c>
      <c r="M9" s="108" t="s">
        <v>26</v>
      </c>
      <c r="N9" s="109" t="s">
        <v>26</v>
      </c>
      <c r="P9" s="84" t="s">
        <v>191</v>
      </c>
      <c r="Q9" s="115">
        <v>16241.76</v>
      </c>
      <c r="R9" s="115">
        <v>8293.56</v>
      </c>
      <c r="S9" s="116">
        <v>6.58</v>
      </c>
    </row>
    <row r="10" spans="3:19" x14ac:dyDescent="0.25">
      <c r="C10" s="92" t="s">
        <v>29</v>
      </c>
      <c r="D10" s="104">
        <v>35.659999999999997</v>
      </c>
      <c r="E10" s="106">
        <v>311</v>
      </c>
      <c r="F10" s="104">
        <v>11091.9</v>
      </c>
      <c r="G10" s="104">
        <v>5508</v>
      </c>
      <c r="H10" s="104">
        <v>17521.900000000001</v>
      </c>
      <c r="I10" s="104">
        <v>8341.33</v>
      </c>
      <c r="J10" s="104">
        <v>5408.5</v>
      </c>
      <c r="K10" s="104">
        <v>5.86</v>
      </c>
      <c r="L10" s="108">
        <v>2.1</v>
      </c>
      <c r="M10" s="108">
        <v>3.24</v>
      </c>
      <c r="N10" s="109">
        <v>6.08</v>
      </c>
      <c r="P10" s="84" t="s">
        <v>192</v>
      </c>
      <c r="Q10" s="115">
        <f>Q9*Q8</f>
        <v>47068.620480000005</v>
      </c>
      <c r="R10" s="115">
        <f>R9*R8</f>
        <v>40916.278259999992</v>
      </c>
      <c r="S10" s="116">
        <f>S12+S11</f>
        <v>40596.264730000003</v>
      </c>
    </row>
    <row r="11" spans="3:19" x14ac:dyDescent="0.25">
      <c r="C11" s="92" t="s">
        <v>30</v>
      </c>
      <c r="D11" s="104">
        <v>80.36</v>
      </c>
      <c r="E11" s="106">
        <v>134.69999999999999</v>
      </c>
      <c r="F11" s="104">
        <v>10826.1</v>
      </c>
      <c r="G11" s="104">
        <v>3082</v>
      </c>
      <c r="H11" s="104">
        <v>13908.1</v>
      </c>
      <c r="I11" s="104">
        <v>4237.01</v>
      </c>
      <c r="J11" s="104">
        <v>2646.26</v>
      </c>
      <c r="K11" s="104">
        <v>4.97</v>
      </c>
      <c r="L11" s="108">
        <v>3.28</v>
      </c>
      <c r="M11" s="108">
        <v>5.26</v>
      </c>
      <c r="N11" s="109">
        <v>16.170000000000002</v>
      </c>
      <c r="P11" s="84" t="s">
        <v>193</v>
      </c>
      <c r="Q11" s="115">
        <v>5404</v>
      </c>
      <c r="R11" s="115">
        <v>5404</v>
      </c>
      <c r="S11" s="116">
        <v>5404</v>
      </c>
    </row>
    <row r="12" spans="3:19" x14ac:dyDescent="0.25">
      <c r="C12" s="92" t="s">
        <v>31</v>
      </c>
      <c r="D12" s="104">
        <v>34.68</v>
      </c>
      <c r="E12" s="106">
        <v>244.5</v>
      </c>
      <c r="F12" s="104">
        <v>8481.2000000000007</v>
      </c>
      <c r="G12" s="104">
        <v>4418</v>
      </c>
      <c r="H12" s="104">
        <v>12877.9</v>
      </c>
      <c r="I12" s="104">
        <v>10760.91</v>
      </c>
      <c r="J12" s="104">
        <v>4215.75</v>
      </c>
      <c r="K12" s="104">
        <v>8.31</v>
      </c>
      <c r="L12" s="108">
        <v>1.2</v>
      </c>
      <c r="M12" s="108">
        <v>3.05</v>
      </c>
      <c r="N12" s="109">
        <v>4.17</v>
      </c>
      <c r="P12" s="84" t="s">
        <v>124</v>
      </c>
      <c r="Q12" s="115">
        <f>Q10-Q11</f>
        <v>41664.620480000005</v>
      </c>
      <c r="R12" s="115">
        <f>R10-R11</f>
        <v>35512.278259999992</v>
      </c>
      <c r="S12" s="116">
        <f>S13*S14</f>
        <v>35192.264730000003</v>
      </c>
    </row>
    <row r="13" spans="3:19" x14ac:dyDescent="0.25">
      <c r="C13" s="92" t="s">
        <v>32</v>
      </c>
      <c r="D13" s="104">
        <v>141.47999999999999</v>
      </c>
      <c r="E13" s="106">
        <v>305.7</v>
      </c>
      <c r="F13" s="104">
        <v>43255.9</v>
      </c>
      <c r="G13" s="104">
        <v>7120</v>
      </c>
      <c r="H13" s="104">
        <v>50963.9</v>
      </c>
      <c r="I13" s="104">
        <v>10910.81</v>
      </c>
      <c r="J13" s="104" t="s">
        <v>26</v>
      </c>
      <c r="K13" s="104" t="s">
        <v>26</v>
      </c>
      <c r="L13" s="108">
        <v>4.67</v>
      </c>
      <c r="M13" s="108" t="s">
        <v>26</v>
      </c>
      <c r="N13" s="109" t="s">
        <v>26</v>
      </c>
      <c r="P13" s="84" t="s">
        <v>194</v>
      </c>
      <c r="Q13" s="126">
        <v>643.79999999999995</v>
      </c>
      <c r="R13" s="126">
        <v>643.79999999999995</v>
      </c>
      <c r="S13" s="127">
        <v>643.79999999999995</v>
      </c>
    </row>
    <row r="14" spans="3:19" ht="13.8" thickBot="1" x14ac:dyDescent="0.3">
      <c r="C14" s="92" t="s">
        <v>33</v>
      </c>
      <c r="D14" s="104">
        <v>23.48</v>
      </c>
      <c r="E14" s="106">
        <v>622.9</v>
      </c>
      <c r="F14" s="104">
        <v>14625.1</v>
      </c>
      <c r="G14" s="104">
        <v>5730</v>
      </c>
      <c r="H14" s="104">
        <v>20355.099999999999</v>
      </c>
      <c r="I14" s="104">
        <v>6935.74</v>
      </c>
      <c r="J14" s="104">
        <v>4584.79</v>
      </c>
      <c r="K14" s="104">
        <v>2.91</v>
      </c>
      <c r="L14" s="108">
        <v>2.93</v>
      </c>
      <c r="M14" s="108">
        <v>4.4400000000000004</v>
      </c>
      <c r="N14" s="109">
        <v>8.06</v>
      </c>
      <c r="P14" s="101" t="s">
        <v>195</v>
      </c>
      <c r="Q14" s="117">
        <f>Q12/Q13</f>
        <v>64.716714010562299</v>
      </c>
      <c r="R14" s="118">
        <f>R12/R13</f>
        <v>55.160419788754261</v>
      </c>
      <c r="S14" s="119">
        <f>S8*S9</f>
        <v>54.663350000000008</v>
      </c>
    </row>
    <row r="15" spans="3:19" x14ac:dyDescent="0.25">
      <c r="C15" s="92" t="s">
        <v>34</v>
      </c>
      <c r="D15" s="104">
        <v>25.16</v>
      </c>
      <c r="E15" s="106">
        <v>765.5</v>
      </c>
      <c r="F15" s="104">
        <v>19260.099999999999</v>
      </c>
      <c r="G15" s="104">
        <v>1926</v>
      </c>
      <c r="H15" s="104">
        <v>21197.1</v>
      </c>
      <c r="I15" s="104">
        <v>6001.37</v>
      </c>
      <c r="J15" s="104">
        <v>4233.3900000000003</v>
      </c>
      <c r="K15" s="104">
        <v>2.39</v>
      </c>
      <c r="L15" s="108">
        <v>3.53</v>
      </c>
      <c r="M15" s="108">
        <v>5.01</v>
      </c>
      <c r="N15" s="109">
        <v>10.54</v>
      </c>
      <c r="P15" s="85" t="s">
        <v>196</v>
      </c>
      <c r="Q15" s="120">
        <f>SUMPRODUCT(Q14:S14,Q7:S7)</f>
        <v>58.180161266438851</v>
      </c>
      <c r="R15" s="121"/>
      <c r="S15" s="121"/>
    </row>
    <row r="16" spans="3:19" x14ac:dyDescent="0.25">
      <c r="C16" s="92" t="s">
        <v>35</v>
      </c>
      <c r="D16" s="104">
        <v>138.06</v>
      </c>
      <c r="E16" s="106">
        <v>181.4</v>
      </c>
      <c r="F16" s="104">
        <v>25047.3</v>
      </c>
      <c r="G16" s="104">
        <v>6284</v>
      </c>
      <c r="H16" s="104">
        <v>32012.3</v>
      </c>
      <c r="I16" s="104">
        <v>8506.34</v>
      </c>
      <c r="J16" s="104">
        <v>6504.93</v>
      </c>
      <c r="K16" s="104">
        <v>20.03</v>
      </c>
      <c r="L16" s="108">
        <v>3.76</v>
      </c>
      <c r="M16" s="108">
        <v>4.92</v>
      </c>
      <c r="N16" s="109">
        <v>6.89</v>
      </c>
      <c r="P16" s="84" t="s">
        <v>197</v>
      </c>
      <c r="Q16" s="116">
        <v>52.25</v>
      </c>
      <c r="R16" s="121"/>
      <c r="S16" s="121"/>
    </row>
    <row r="17" spans="3:19" ht="13.8" thickBot="1" x14ac:dyDescent="0.3">
      <c r="C17" s="93" t="s">
        <v>36</v>
      </c>
      <c r="D17" s="105">
        <v>52.25</v>
      </c>
      <c r="E17" s="107">
        <v>643.79999999999995</v>
      </c>
      <c r="F17" s="105">
        <v>33640.800000000003</v>
      </c>
      <c r="G17" s="105">
        <v>5404</v>
      </c>
      <c r="H17" s="105">
        <v>39173.800000000003</v>
      </c>
      <c r="I17" s="105">
        <v>16241.76</v>
      </c>
      <c r="J17" s="105">
        <v>8293.56</v>
      </c>
      <c r="K17" s="105">
        <v>6.58</v>
      </c>
      <c r="L17" s="110">
        <v>2.41</v>
      </c>
      <c r="M17" s="110">
        <v>4.72</v>
      </c>
      <c r="N17" s="111">
        <v>7.94</v>
      </c>
      <c r="P17" s="87" t="s">
        <v>198</v>
      </c>
      <c r="Q17" s="128">
        <f>Q15/Q16-1</f>
        <v>0.11349590940552834</v>
      </c>
      <c r="R17" s="121"/>
      <c r="S17" s="121"/>
    </row>
    <row r="20" spans="3:19" ht="26.4" x14ac:dyDescent="0.25">
      <c r="C20" s="102" t="s">
        <v>199</v>
      </c>
      <c r="D20" s="103">
        <f>Q17</f>
        <v>0.11349590940552834</v>
      </c>
    </row>
    <row r="21" spans="3:19" ht="13.8" thickBot="1" x14ac:dyDescent="0.3"/>
    <row r="22" spans="3:19" ht="13.8" thickBot="1" x14ac:dyDescent="0.3">
      <c r="K22" s="100" t="s">
        <v>185</v>
      </c>
      <c r="L22" s="129">
        <f>BENCHMARKING!D28</f>
        <v>0.48749999999999999</v>
      </c>
    </row>
    <row r="23" spans="3:19" ht="13.8" thickBot="1" x14ac:dyDescent="0.3">
      <c r="K23" s="83" t="s">
        <v>184</v>
      </c>
    </row>
    <row r="24" spans="3:19" x14ac:dyDescent="0.25">
      <c r="K24" s="112">
        <v>0</v>
      </c>
      <c r="L24" s="94">
        <f>PERCENTILE(L7:L16,K24)</f>
        <v>1.2</v>
      </c>
      <c r="M24" s="94">
        <f>PERCENTILE(M7:M16,K24)</f>
        <v>3.05</v>
      </c>
      <c r="N24" s="95">
        <f>PERCENTILE(N7:N16,K24)</f>
        <v>4.17</v>
      </c>
    </row>
    <row r="25" spans="3:19" x14ac:dyDescent="0.25">
      <c r="K25" s="113">
        <v>0.05</v>
      </c>
      <c r="L25" s="96">
        <f>PERCENTILE(L7:L16,K25)</f>
        <v>1.56</v>
      </c>
      <c r="M25" s="96">
        <f>PERCENTILE(M7:M16,K25)</f>
        <v>3.1164999999999998</v>
      </c>
      <c r="N25" s="97">
        <f>PERCENTILE(N7:N16,K25)</f>
        <v>4.8384999999999998</v>
      </c>
    </row>
    <row r="26" spans="3:19" x14ac:dyDescent="0.25">
      <c r="K26" s="113">
        <v>0.1</v>
      </c>
      <c r="L26" s="96">
        <f>PERCENTILE(L7:L16,K26)</f>
        <v>1.9200000000000002</v>
      </c>
      <c r="M26" s="96">
        <f>PERCENTILE(M7:M16,K26)</f>
        <v>3.1830000000000003</v>
      </c>
      <c r="N26" s="97">
        <f>PERCENTILE(N7:N16,K26)</f>
        <v>5.5070000000000006</v>
      </c>
    </row>
    <row r="27" spans="3:19" x14ac:dyDescent="0.25">
      <c r="K27" s="113">
        <v>0.15</v>
      </c>
      <c r="L27" s="96">
        <f>PERCENTILE(L7:L16,K27)</f>
        <v>2.2200000000000002</v>
      </c>
      <c r="M27" s="96">
        <f>PERCENTILE(M7:M16,K27)</f>
        <v>3.3</v>
      </c>
      <c r="N27" s="97">
        <f>PERCENTILE(N7:N16,K27)</f>
        <v>6.1204999999999998</v>
      </c>
    </row>
    <row r="28" spans="3:19" x14ac:dyDescent="0.25">
      <c r="K28" s="113">
        <v>0.2</v>
      </c>
      <c r="L28" s="96">
        <f>PERCENTILE(L7:L16,K28)</f>
        <v>2.46</v>
      </c>
      <c r="M28" s="96">
        <f>PERCENTILE(M7:M16,K28)</f>
        <v>3.7200000000000006</v>
      </c>
      <c r="N28" s="97">
        <f>PERCENTILE(N7:N16,K28)</f>
        <v>6.4039999999999999</v>
      </c>
    </row>
    <row r="29" spans="3:19" x14ac:dyDescent="0.25">
      <c r="K29" s="113">
        <v>0.25</v>
      </c>
      <c r="L29" s="96">
        <f>PERCENTILE(L7:L16,K29)</f>
        <v>2.7</v>
      </c>
      <c r="M29" s="96">
        <f>PERCENTILE(M7:M16,K29)</f>
        <v>4.1400000000000006</v>
      </c>
      <c r="N29" s="97">
        <f>PERCENTILE(N7:N16,K29)</f>
        <v>6.6875</v>
      </c>
    </row>
    <row r="30" spans="3:19" x14ac:dyDescent="0.25">
      <c r="K30" s="113">
        <v>0.3</v>
      </c>
      <c r="L30" s="96">
        <f>PERCENTILE(L7:L16,K30)</f>
        <v>2.7600000000000002</v>
      </c>
      <c r="M30" s="96">
        <f>PERCENTILE(M7:M16,K30)</f>
        <v>4.4880000000000004</v>
      </c>
      <c r="N30" s="97">
        <f>PERCENTILE(N7:N16,K30)</f>
        <v>7.0069999999999997</v>
      </c>
    </row>
    <row r="31" spans="3:19" x14ac:dyDescent="0.25">
      <c r="K31" s="113">
        <v>0.35</v>
      </c>
      <c r="L31" s="96">
        <f>PERCENTILE(L7:L16,K31)</f>
        <v>2.8200000000000003</v>
      </c>
      <c r="M31" s="96">
        <f>PERCENTILE(M7:M16,K31)</f>
        <v>4.6559999999999997</v>
      </c>
      <c r="N31" s="97">
        <f>PERCENTILE(N7:N16,K31)</f>
        <v>7.4165000000000001</v>
      </c>
    </row>
    <row r="32" spans="3:19" x14ac:dyDescent="0.25">
      <c r="K32" s="113">
        <v>0.4</v>
      </c>
      <c r="L32" s="96">
        <f>PERCENTILE(L7:L16,K32)</f>
        <v>2.8660000000000001</v>
      </c>
      <c r="M32" s="96">
        <f>PERCENTILE(M7:M16,K32)</f>
        <v>4.8239999999999998</v>
      </c>
      <c r="N32" s="97">
        <f>PERCENTILE(N7:N16,K32)</f>
        <v>7.8260000000000005</v>
      </c>
    </row>
    <row r="33" spans="11:14" x14ac:dyDescent="0.25">
      <c r="K33" s="113">
        <v>0.45</v>
      </c>
      <c r="L33" s="96">
        <f>PERCENTILE(L7:L16,K33)</f>
        <v>2.8980000000000001</v>
      </c>
      <c r="M33" s="96">
        <f>PERCENTILE(M7:M16,K33)</f>
        <v>4.9334999999999996</v>
      </c>
      <c r="N33" s="97">
        <f>PERCENTILE(N7:N16,K33)</f>
        <v>8.307500000000001</v>
      </c>
    </row>
    <row r="34" spans="11:14" x14ac:dyDescent="0.25">
      <c r="K34" s="113">
        <v>0.5</v>
      </c>
      <c r="L34" s="96">
        <f>PERCENTILE(L7:L16,K34)</f>
        <v>2.93</v>
      </c>
      <c r="M34" s="96">
        <f>PERCENTILE(M7:M16,K34)</f>
        <v>4.9649999999999999</v>
      </c>
      <c r="N34" s="97">
        <f>PERCENTILE(N7:N16,K34)</f>
        <v>8.8850000000000016</v>
      </c>
    </row>
    <row r="35" spans="11:14" x14ac:dyDescent="0.25">
      <c r="K35" s="113">
        <v>0.55000000000000004</v>
      </c>
      <c r="L35" s="96">
        <f>PERCENTILE(L7:L16,K35)</f>
        <v>3.0700000000000003</v>
      </c>
      <c r="M35" s="96">
        <f>PERCENTILE(M7:M16,K35)</f>
        <v>4.9965000000000002</v>
      </c>
      <c r="N35" s="97">
        <f>PERCENTILE(N7:N16,K35)</f>
        <v>9.4625000000000021</v>
      </c>
    </row>
    <row r="36" spans="11:14" x14ac:dyDescent="0.25">
      <c r="K36" s="113">
        <v>0.6</v>
      </c>
      <c r="L36" s="96">
        <f>PERCENTILE(L7:L16,K36)</f>
        <v>3.21</v>
      </c>
      <c r="M36" s="96">
        <f>PERCENTILE(M7:M16,K36)</f>
        <v>5.0599999999999996</v>
      </c>
      <c r="N36" s="97">
        <f>PERCENTILE(N7:N16,K36)</f>
        <v>9.7120000000000015</v>
      </c>
    </row>
    <row r="37" spans="11:14" x14ac:dyDescent="0.25">
      <c r="K37" s="113">
        <v>0.65</v>
      </c>
      <c r="L37" s="96">
        <f>PERCENTILE(L7:L16,K37)</f>
        <v>3.33</v>
      </c>
      <c r="M37" s="96">
        <f>PERCENTILE(M7:M16,K37)</f>
        <v>5.1475</v>
      </c>
      <c r="N37" s="97">
        <f>PERCENTILE(N7:N16,K37)</f>
        <v>9.7155000000000005</v>
      </c>
    </row>
    <row r="38" spans="11:14" x14ac:dyDescent="0.25">
      <c r="K38" s="113">
        <v>0.7</v>
      </c>
      <c r="L38" s="96">
        <f>PERCENTILE(L7:L16,K38)</f>
        <v>3.4299999999999997</v>
      </c>
      <c r="M38" s="96">
        <f>PERCENTILE(M7:M16,K38)</f>
        <v>5.2349999999999994</v>
      </c>
      <c r="N38" s="97">
        <f>PERCENTILE(N7:N16,K38)</f>
        <v>9.7190000000000012</v>
      </c>
    </row>
    <row r="39" spans="11:14" x14ac:dyDescent="0.25">
      <c r="K39" s="113">
        <v>0.75</v>
      </c>
      <c r="L39" s="96">
        <f>PERCENTILE(L7:L16,K39)</f>
        <v>3.53</v>
      </c>
      <c r="M39" s="96">
        <f>PERCENTILE(M7:M16,K39)</f>
        <v>5.2675000000000001</v>
      </c>
      <c r="N39" s="97">
        <f>PERCENTILE(N7:N16,K39)</f>
        <v>9.9250000000000007</v>
      </c>
    </row>
    <row r="40" spans="11:14" x14ac:dyDescent="0.25">
      <c r="K40" s="113">
        <v>0.8</v>
      </c>
      <c r="L40" s="96">
        <f>PERCENTILE(L7:L16,K40)</f>
        <v>3.6219999999999999</v>
      </c>
      <c r="M40" s="96">
        <f>PERCENTILE(M7:M16,K40)</f>
        <v>5.2779999999999996</v>
      </c>
      <c r="N40" s="97">
        <f>PERCENTILE(N7:N16,K40)</f>
        <v>10.212</v>
      </c>
    </row>
    <row r="41" spans="11:14" x14ac:dyDescent="0.25">
      <c r="K41" s="113">
        <v>0.85</v>
      </c>
      <c r="L41" s="96">
        <f>PERCENTILE(L7:L16,K41)</f>
        <v>3.7139999999999995</v>
      </c>
      <c r="M41" s="96">
        <f>PERCENTILE(M7:M16,K41)</f>
        <v>5.2885</v>
      </c>
      <c r="N41" s="97">
        <f>PERCENTILE(N7:N16,K41)</f>
        <v>10.498999999999999</v>
      </c>
    </row>
    <row r="42" spans="11:14" x14ac:dyDescent="0.25">
      <c r="K42" s="113">
        <v>0.9</v>
      </c>
      <c r="L42" s="96">
        <f>PERCENTILE(L7:L16,K42)</f>
        <v>3.9419999999999993</v>
      </c>
      <c r="M42" s="96">
        <f>PERCENTILE(M7:M16,K42)</f>
        <v>5.359</v>
      </c>
      <c r="N42" s="97">
        <f>PERCENTILE(N7:N16,K42)</f>
        <v>12.228999999999999</v>
      </c>
    </row>
    <row r="43" spans="11:14" x14ac:dyDescent="0.25">
      <c r="K43" s="113">
        <v>0.95</v>
      </c>
      <c r="L43" s="96">
        <f>PERCENTILE(L7:L16,K43)</f>
        <v>4.3059999999999992</v>
      </c>
      <c r="M43" s="96">
        <f>PERCENTILE(M7:M16,K43)</f>
        <v>5.4394999999999998</v>
      </c>
      <c r="N43" s="97">
        <f>PERCENTILE(N7:N16,K43)</f>
        <v>14.199499999999997</v>
      </c>
    </row>
    <row r="44" spans="11:14" ht="13.8" thickBot="1" x14ac:dyDescent="0.3">
      <c r="K44" s="114">
        <v>1</v>
      </c>
      <c r="L44" s="98">
        <f>PERCENTILE(L7:L16,K44)</f>
        <v>4.67</v>
      </c>
      <c r="M44" s="98">
        <f>PERCENTILE(M7:M16,K44)</f>
        <v>5.52</v>
      </c>
      <c r="N44" s="99">
        <f>PERCENTILE(N7:N16,K44)</f>
        <v>16.170000000000002</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E944F-7E6D-485B-804D-DF19079B5538}">
  <sheetPr codeName="Sheet2"/>
  <dimension ref="C5:O51"/>
  <sheetViews>
    <sheetView showGridLines="0" workbookViewId="0"/>
  </sheetViews>
  <sheetFormatPr defaultRowHeight="10.199999999999999" x14ac:dyDescent="0.2"/>
  <cols>
    <col min="1" max="2" width="8.88671875" style="43"/>
    <col min="3" max="3" width="13" style="43" bestFit="1" customWidth="1"/>
    <col min="4" max="4" width="8.109375" style="43" bestFit="1" customWidth="1"/>
    <col min="5" max="5" width="7.21875" style="43" bestFit="1" customWidth="1"/>
    <col min="6" max="6" width="7.44140625" style="43" bestFit="1" customWidth="1"/>
    <col min="7" max="7" width="7.21875" style="43" bestFit="1" customWidth="1"/>
    <col min="8" max="8" width="8.109375" style="43" bestFit="1" customWidth="1"/>
    <col min="9" max="9" width="7.77734375" style="43" bestFit="1" customWidth="1"/>
    <col min="10" max="10" width="7.88671875" style="43" bestFit="1" customWidth="1"/>
    <col min="11" max="11" width="7.77734375" style="43" bestFit="1" customWidth="1"/>
    <col min="12" max="12" width="8.109375" style="43" bestFit="1" customWidth="1"/>
    <col min="13" max="14" width="8.6640625" style="43" bestFit="1" customWidth="1"/>
    <col min="15" max="16384" width="8.88671875" style="43"/>
  </cols>
  <sheetData>
    <row r="5" spans="3:15" ht="10.8" thickBot="1" x14ac:dyDescent="0.25"/>
    <row r="6" spans="3:15" ht="51.6" thickBot="1" x14ac:dyDescent="0.25">
      <c r="C6" s="57" t="s">
        <v>8</v>
      </c>
      <c r="D6" s="65" t="s">
        <v>62</v>
      </c>
      <c r="E6" s="65" t="s">
        <v>63</v>
      </c>
      <c r="F6" s="65" t="s">
        <v>64</v>
      </c>
      <c r="G6" s="65" t="s">
        <v>65</v>
      </c>
      <c r="H6" s="65" t="s">
        <v>66</v>
      </c>
      <c r="I6" s="65" t="s">
        <v>67</v>
      </c>
      <c r="J6" s="65" t="s">
        <v>68</v>
      </c>
      <c r="K6" s="65" t="s">
        <v>69</v>
      </c>
      <c r="L6" s="65" t="s">
        <v>70</v>
      </c>
      <c r="M6" s="65" t="s">
        <v>71</v>
      </c>
      <c r="N6" s="65" t="s">
        <v>72</v>
      </c>
      <c r="O6" s="66" t="s">
        <v>73</v>
      </c>
    </row>
    <row r="7" spans="3:15" ht="40.799999999999997" x14ac:dyDescent="0.2">
      <c r="C7" s="63" t="s">
        <v>25</v>
      </c>
      <c r="D7" s="69">
        <v>0.54100000000000004</v>
      </c>
      <c r="E7" s="70">
        <v>0.51</v>
      </c>
      <c r="F7" s="70">
        <v>0.39600000000000002</v>
      </c>
      <c r="G7" s="71">
        <v>0.30909999999999999</v>
      </c>
      <c r="H7" s="71">
        <v>8.9800000000000005E-2</v>
      </c>
      <c r="I7" s="71">
        <v>0.26690000000000003</v>
      </c>
      <c r="J7" s="71">
        <v>0.38329999999999997</v>
      </c>
      <c r="K7" s="71">
        <v>0.68169999999999997</v>
      </c>
      <c r="L7" s="71">
        <v>0.2238</v>
      </c>
      <c r="M7" s="72">
        <v>0.5</v>
      </c>
      <c r="N7" s="71">
        <v>6.7000000000000002E-3</v>
      </c>
      <c r="O7" s="73">
        <v>1.45</v>
      </c>
    </row>
    <row r="8" spans="3:15" ht="20.399999999999999" x14ac:dyDescent="0.2">
      <c r="C8" s="63" t="s">
        <v>27</v>
      </c>
      <c r="D8" s="67">
        <v>0.68</v>
      </c>
      <c r="E8" s="53">
        <v>0.46600000000000003</v>
      </c>
      <c r="F8" s="53">
        <v>0.33500000000000002</v>
      </c>
      <c r="G8" s="54">
        <v>0.26200000000000001</v>
      </c>
      <c r="H8" s="54">
        <v>0.49719999999999998</v>
      </c>
      <c r="I8" s="54">
        <v>0.36559999999999998</v>
      </c>
      <c r="J8" s="54">
        <v>0.62190000000000001</v>
      </c>
      <c r="K8" s="54">
        <v>0.66359999999999997</v>
      </c>
      <c r="L8" s="54">
        <v>0.1938</v>
      </c>
      <c r="M8" s="55">
        <v>0.4</v>
      </c>
      <c r="N8" s="54">
        <v>7.8799999999999995E-2</v>
      </c>
      <c r="O8" s="61">
        <v>1.54</v>
      </c>
    </row>
    <row r="9" spans="3:15" ht="30.6" x14ac:dyDescent="0.2">
      <c r="C9" s="63" t="s">
        <v>28</v>
      </c>
      <c r="D9" s="67">
        <v>0.58699999999999997</v>
      </c>
      <c r="E9" s="53">
        <v>0.56000000000000005</v>
      </c>
      <c r="F9" s="53">
        <v>0.47499999999999998</v>
      </c>
      <c r="G9" s="54">
        <v>0.45590000000000003</v>
      </c>
      <c r="H9" s="54">
        <v>0.66049999999999998</v>
      </c>
      <c r="I9" s="56" t="s">
        <v>26</v>
      </c>
      <c r="J9" s="56" t="s">
        <v>26</v>
      </c>
      <c r="K9" s="56" t="s">
        <v>26</v>
      </c>
      <c r="L9" s="54">
        <v>0.39629999999999999</v>
      </c>
      <c r="M9" s="55">
        <v>0.5</v>
      </c>
      <c r="N9" s="54">
        <v>-0.1474</v>
      </c>
      <c r="O9" s="61">
        <v>1.31</v>
      </c>
    </row>
    <row r="10" spans="3:15" ht="20.399999999999999" x14ac:dyDescent="0.2">
      <c r="C10" s="63" t="s">
        <v>29</v>
      </c>
      <c r="D10" s="67">
        <v>0.69699999999999995</v>
      </c>
      <c r="E10" s="53">
        <v>0.59599999999999997</v>
      </c>
      <c r="F10" s="53">
        <v>0.47099999999999997</v>
      </c>
      <c r="G10" s="54">
        <v>0.3352</v>
      </c>
      <c r="H10" s="54">
        <v>0.36570000000000003</v>
      </c>
      <c r="I10" s="54">
        <v>0.48909999999999998</v>
      </c>
      <c r="J10" s="54">
        <v>0.78920000000000001</v>
      </c>
      <c r="K10" s="54">
        <v>2.7759999999999998</v>
      </c>
      <c r="L10" s="54">
        <v>0.8105</v>
      </c>
      <c r="M10" s="55">
        <v>0.9</v>
      </c>
      <c r="N10" s="54">
        <v>-0.03</v>
      </c>
      <c r="O10" s="61">
        <v>3.53</v>
      </c>
    </row>
    <row r="11" spans="3:15" ht="40.799999999999997" x14ac:dyDescent="0.2">
      <c r="C11" s="63" t="s">
        <v>30</v>
      </c>
      <c r="D11" s="67">
        <v>0.57599999999999996</v>
      </c>
      <c r="E11" s="53">
        <v>0.374</v>
      </c>
      <c r="F11" s="53">
        <v>0.25</v>
      </c>
      <c r="G11" s="54">
        <v>0.34949999999999998</v>
      </c>
      <c r="H11" s="54">
        <v>0.93440000000000001</v>
      </c>
      <c r="I11" s="54">
        <v>1.9258</v>
      </c>
      <c r="J11" s="54">
        <v>3.3210999999999999</v>
      </c>
      <c r="K11" s="54">
        <v>-0.22</v>
      </c>
      <c r="L11" s="54">
        <v>0.26040000000000002</v>
      </c>
      <c r="M11" s="55">
        <v>0.6</v>
      </c>
      <c r="N11" s="54">
        <v>-0.05</v>
      </c>
      <c r="O11" s="61">
        <v>0.62</v>
      </c>
    </row>
    <row r="12" spans="3:15" ht="20.399999999999999" x14ac:dyDescent="0.2">
      <c r="C12" s="63" t="s">
        <v>31</v>
      </c>
      <c r="D12" s="67">
        <v>0.51</v>
      </c>
      <c r="E12" s="53">
        <v>0.35</v>
      </c>
      <c r="F12" s="53">
        <v>0.27</v>
      </c>
      <c r="G12" s="54">
        <v>0.255</v>
      </c>
      <c r="H12" s="54">
        <v>0.36249999999999999</v>
      </c>
      <c r="I12" s="54">
        <v>0.8135</v>
      </c>
      <c r="J12" s="54">
        <v>1.5067999999999999</v>
      </c>
      <c r="K12" s="54">
        <v>1.5685</v>
      </c>
      <c r="L12" s="54">
        <v>0.36880000000000002</v>
      </c>
      <c r="M12" s="55">
        <v>0.9</v>
      </c>
      <c r="N12" s="54">
        <v>0.29289999999999999</v>
      </c>
      <c r="O12" s="61">
        <v>3.58</v>
      </c>
    </row>
    <row r="13" spans="3:15" ht="20.399999999999999" x14ac:dyDescent="0.2">
      <c r="C13" s="63" t="s">
        <v>32</v>
      </c>
      <c r="D13" s="67">
        <v>0.71299999999999997</v>
      </c>
      <c r="E13" s="53">
        <v>0.50700000000000001</v>
      </c>
      <c r="F13" s="53">
        <v>0.34100000000000003</v>
      </c>
      <c r="G13" s="54">
        <v>0.17879999999999999</v>
      </c>
      <c r="H13" s="54">
        <v>0.47260000000000002</v>
      </c>
      <c r="I13" s="54">
        <v>0.5696</v>
      </c>
      <c r="J13" s="54">
        <v>0.78390000000000004</v>
      </c>
      <c r="K13" s="54">
        <v>1.7969999999999999</v>
      </c>
      <c r="L13" s="54">
        <v>0.51390000000000002</v>
      </c>
      <c r="M13" s="55">
        <v>1.5</v>
      </c>
      <c r="N13" s="54">
        <v>7.0000000000000007E-2</v>
      </c>
      <c r="O13" s="61">
        <v>1.58</v>
      </c>
    </row>
    <row r="14" spans="3:15" ht="30.6" x14ac:dyDescent="0.2">
      <c r="C14" s="63" t="s">
        <v>33</v>
      </c>
      <c r="D14" s="67">
        <v>0.81200000000000006</v>
      </c>
      <c r="E14" s="53">
        <v>0.68899999999999995</v>
      </c>
      <c r="F14" s="53">
        <v>0.44900000000000001</v>
      </c>
      <c r="G14" s="54">
        <v>0.4768</v>
      </c>
      <c r="H14" s="54">
        <v>0.3488</v>
      </c>
      <c r="I14" s="54">
        <v>0.5766</v>
      </c>
      <c r="J14" s="54">
        <v>1.9531000000000001</v>
      </c>
      <c r="K14" s="54">
        <v>2.8182</v>
      </c>
      <c r="L14" s="54">
        <v>0.34760000000000002</v>
      </c>
      <c r="M14" s="55">
        <v>1.1000000000000001</v>
      </c>
      <c r="N14" s="54">
        <v>0.04</v>
      </c>
      <c r="O14" s="61">
        <v>2.4</v>
      </c>
    </row>
    <row r="15" spans="3:15" ht="20.399999999999999" x14ac:dyDescent="0.2">
      <c r="C15" s="63" t="s">
        <v>34</v>
      </c>
      <c r="D15" s="67">
        <v>0.84399999999999997</v>
      </c>
      <c r="E15" s="53">
        <v>0.76400000000000001</v>
      </c>
      <c r="F15" s="53">
        <v>0.58299999999999996</v>
      </c>
      <c r="G15" s="54">
        <v>0.4491</v>
      </c>
      <c r="H15" s="54">
        <v>1.6242000000000001</v>
      </c>
      <c r="I15" s="54">
        <v>1.9235</v>
      </c>
      <c r="J15" s="54">
        <v>2.1573000000000002</v>
      </c>
      <c r="K15" s="54">
        <v>2.5104000000000002</v>
      </c>
      <c r="L15" s="54">
        <v>0.17019999999999999</v>
      </c>
      <c r="M15" s="55">
        <v>0.4</v>
      </c>
      <c r="N15" s="54">
        <v>0.5504</v>
      </c>
      <c r="O15" s="61">
        <v>0.23</v>
      </c>
    </row>
    <row r="16" spans="3:15" ht="40.799999999999997" x14ac:dyDescent="0.2">
      <c r="C16" s="63" t="s">
        <v>35</v>
      </c>
      <c r="D16" s="67">
        <v>0.9</v>
      </c>
      <c r="E16" s="53">
        <v>0.80800000000000005</v>
      </c>
      <c r="F16" s="53">
        <v>0.66</v>
      </c>
      <c r="G16" s="54">
        <v>0.4829</v>
      </c>
      <c r="H16" s="54">
        <v>0.41970000000000002</v>
      </c>
      <c r="I16" s="54">
        <v>0.67689999999999995</v>
      </c>
      <c r="J16" s="54">
        <v>0.93289999999999995</v>
      </c>
      <c r="K16" s="54">
        <v>1.0101</v>
      </c>
      <c r="L16" s="54">
        <v>0.29099999999999998</v>
      </c>
      <c r="M16" s="55">
        <v>0.9</v>
      </c>
      <c r="N16" s="54">
        <v>-4.4999999999999998E-2</v>
      </c>
      <c r="O16" s="61">
        <v>2.0299999999999998</v>
      </c>
    </row>
    <row r="17" spans="3:15" ht="31.2" thickBot="1" x14ac:dyDescent="0.25">
      <c r="C17" s="64" t="s">
        <v>36</v>
      </c>
      <c r="D17" s="68">
        <v>0.6</v>
      </c>
      <c r="E17" s="58">
        <v>0.54500000000000004</v>
      </c>
      <c r="F17" s="58">
        <v>0.42499999999999999</v>
      </c>
      <c r="G17" s="59">
        <v>0.31869999999999998</v>
      </c>
      <c r="H17" s="59">
        <v>0.43880000000000002</v>
      </c>
      <c r="I17" s="59">
        <v>0.86670000000000003</v>
      </c>
      <c r="J17" s="59">
        <v>1.4177999999999999</v>
      </c>
      <c r="K17" s="59">
        <v>1.1383000000000001</v>
      </c>
      <c r="L17" s="59">
        <v>0.37290000000000001</v>
      </c>
      <c r="M17" s="60">
        <v>0.7</v>
      </c>
      <c r="N17" s="59">
        <v>0.05</v>
      </c>
      <c r="O17" s="62">
        <v>2.36</v>
      </c>
    </row>
    <row r="27" spans="3:15" ht="10.8" thickBot="1" x14ac:dyDescent="0.25"/>
    <row r="28" spans="3:15" ht="10.8" thickBot="1" x14ac:dyDescent="0.25">
      <c r="C28" s="51" t="s">
        <v>182</v>
      </c>
      <c r="D28" s="49">
        <f>AVERAGE(D29:O29)</f>
        <v>0.48749999999999999</v>
      </c>
    </row>
    <row r="29" spans="3:15" ht="10.8" thickBot="1" x14ac:dyDescent="0.25">
      <c r="C29" s="52" t="s">
        <v>183</v>
      </c>
      <c r="D29" s="50">
        <f>IFERROR(INDEX(C31:C51,MATCH(D17,D31:D51)),"NA")</f>
        <v>0.3</v>
      </c>
      <c r="E29" s="47">
        <f>IFERROR(INDEX(C31:C51,MATCH(E17,E31:E51)),"NA")</f>
        <v>0.5</v>
      </c>
      <c r="F29" s="47">
        <f>IFERROR(INDEX(C31:C51,MATCH(F17,F31:F51)),"NA")</f>
        <v>0.5</v>
      </c>
      <c r="G29" s="47">
        <f>IFERROR(INDEX(C31:C51,MATCH(G17,G31:G51)),"NA")</f>
        <v>0.35</v>
      </c>
      <c r="H29" s="47">
        <f>IFERROR(INDEX(C31:C51,MATCH(H17,H31:H51)),"NA")</f>
        <v>0.45</v>
      </c>
      <c r="I29" s="47">
        <f>IFERROR(INDEX(C31:C51,MATCH(I17,I31:I51)),"NA")</f>
        <v>0.75</v>
      </c>
      <c r="J29" s="47">
        <f>IFERROR(INDEX(C31:C51,MATCH(J17,J31:J51)),"NA")</f>
        <v>0.6</v>
      </c>
      <c r="K29" s="47">
        <f>IFERROR(INDEX(C31:C51,MATCH(K17,K31:K51)),"NA")</f>
        <v>0.4</v>
      </c>
      <c r="L29" s="47">
        <f>IFERROR(INDEX(C31:C51,MATCH(L17,L31:L51)),"NA")</f>
        <v>0.65</v>
      </c>
      <c r="M29" s="47">
        <f>IFERROR((1-INDEX(C31:C51,MATCH(M17,M31:M51))),"NA")</f>
        <v>0.55000000000000004</v>
      </c>
      <c r="N29" s="47">
        <f>IFERROR(INDEX(C31:C51,MATCH(N17,N31:N51)),"NA")</f>
        <v>0.55000000000000004</v>
      </c>
      <c r="O29" s="48">
        <f>IFERROR((1-INDEX(C31:C51,MATCH(O17,O31:O51))),"NA")</f>
        <v>0.25</v>
      </c>
    </row>
    <row r="30" spans="3:15" ht="10.8" thickBot="1" x14ac:dyDescent="0.25">
      <c r="C30" s="43" t="s">
        <v>184</v>
      </c>
    </row>
    <row r="31" spans="3:15" x14ac:dyDescent="0.2">
      <c r="C31" s="45">
        <v>0</v>
      </c>
      <c r="D31" s="74">
        <f>PERCENTILE(D7:D16,C31)</f>
        <v>0.51</v>
      </c>
      <c r="E31" s="74">
        <f>PERCENTILE(E7:E16,C31)</f>
        <v>0.35</v>
      </c>
      <c r="F31" s="74">
        <f>PERCENTILE(F7:F16,C31)</f>
        <v>0.25</v>
      </c>
      <c r="G31" s="74">
        <f>PERCENTILE(G7:G16,C31)</f>
        <v>0.17879999999999999</v>
      </c>
      <c r="H31" s="74">
        <f>PERCENTILE(H7:H16,C31)</f>
        <v>8.9800000000000005E-2</v>
      </c>
      <c r="I31" s="74">
        <f>PERCENTILE(I7:I16,C31)</f>
        <v>0.26690000000000003</v>
      </c>
      <c r="J31" s="74">
        <f>PERCENTILE(J7:J16,C31)</f>
        <v>0.38329999999999997</v>
      </c>
      <c r="K31" s="74">
        <f>PERCENTILE(K7:K16,C31)</f>
        <v>-0.22</v>
      </c>
      <c r="L31" s="74">
        <f>PERCENTILE(L7:L16,C31)</f>
        <v>0.17019999999999999</v>
      </c>
      <c r="M31" s="77">
        <f>PERCENTILE(M7:M16,C31)</f>
        <v>0.4</v>
      </c>
      <c r="N31" s="74">
        <f>PERCENTILE(N7:N16,C31)</f>
        <v>-0.1474</v>
      </c>
      <c r="O31" s="80">
        <f>PERCENTILE(O7:O16,C31)</f>
        <v>0.23</v>
      </c>
    </row>
    <row r="32" spans="3:15" x14ac:dyDescent="0.2">
      <c r="C32" s="44">
        <v>0.05</v>
      </c>
      <c r="D32" s="75">
        <f>PERCENTILE(D7:D16,C32)</f>
        <v>0.52395000000000003</v>
      </c>
      <c r="E32" s="75">
        <f>PERCENTILE(E7:E16,C32)</f>
        <v>0.36080000000000001</v>
      </c>
      <c r="F32" s="75">
        <f>PERCENTILE(F7:F16,C32)</f>
        <v>0.25900000000000001</v>
      </c>
      <c r="G32" s="75">
        <f>PERCENTILE(G7:G16,C32)</f>
        <v>0.21309</v>
      </c>
      <c r="H32" s="75">
        <f>PERCENTILE(H7:H16,C32)</f>
        <v>0.20634999999999998</v>
      </c>
      <c r="I32" s="75">
        <f>PERCENTILE(I7:I16,C32)</f>
        <v>0.30637999999999999</v>
      </c>
      <c r="J32" s="75">
        <f>PERCENTILE(J7:J16,C32)</f>
        <v>0.47873999999999994</v>
      </c>
      <c r="K32" s="75">
        <f>PERCENTILE(K7:K16,C32)</f>
        <v>0.13343999999999992</v>
      </c>
      <c r="L32" s="75">
        <f>PERCENTILE(L7:L16,C32)</f>
        <v>0.18081999999999998</v>
      </c>
      <c r="M32" s="78">
        <f>PERCENTILE(M7:M16,C32)</f>
        <v>0.4</v>
      </c>
      <c r="N32" s="75">
        <f>PERCENTILE(N7:N16,C32)</f>
        <v>-0.10357000000000001</v>
      </c>
      <c r="O32" s="81">
        <f>PERCENTILE(O7:O16,C32)</f>
        <v>0.40549999999999997</v>
      </c>
    </row>
    <row r="33" spans="3:15" x14ac:dyDescent="0.2">
      <c r="C33" s="44">
        <v>0.1</v>
      </c>
      <c r="D33" s="75">
        <f>PERCENTILE(D7:D16,C33)</f>
        <v>0.53790000000000004</v>
      </c>
      <c r="E33" s="75">
        <f>PERCENTILE(E7:E16,C33)</f>
        <v>0.37159999999999999</v>
      </c>
      <c r="F33" s="75">
        <f>PERCENTILE(F7:F16,C33)</f>
        <v>0.26800000000000002</v>
      </c>
      <c r="G33" s="75">
        <f>PERCENTILE(G7:G16,C33)</f>
        <v>0.24737999999999999</v>
      </c>
      <c r="H33" s="75">
        <f>PERCENTILE(H7:H16,C33)</f>
        <v>0.32289999999999996</v>
      </c>
      <c r="I33" s="75">
        <f>PERCENTILE(I7:I16,C33)</f>
        <v>0.34586</v>
      </c>
      <c r="J33" s="75">
        <f>PERCENTILE(J7:J16,C33)</f>
        <v>0.57418000000000002</v>
      </c>
      <c r="K33" s="75">
        <f>PERCENTILE(K7:K16,C33)</f>
        <v>0.48687999999999998</v>
      </c>
      <c r="L33" s="75">
        <f>PERCENTILE(L7:L16,C33)</f>
        <v>0.19144</v>
      </c>
      <c r="M33" s="78">
        <f>PERCENTILE(M7:M16,C33)</f>
        <v>0.4</v>
      </c>
      <c r="N33" s="75">
        <f>PERCENTILE(N7:N16,C33)</f>
        <v>-5.9740000000000015E-2</v>
      </c>
      <c r="O33" s="81">
        <f>PERCENTILE(O7:O16,C33)</f>
        <v>0.58099999999999996</v>
      </c>
    </row>
    <row r="34" spans="3:15" x14ac:dyDescent="0.2">
      <c r="C34" s="44">
        <v>0.15</v>
      </c>
      <c r="D34" s="75">
        <f>PERCENTILE(D7:D16,C34)</f>
        <v>0.55325000000000002</v>
      </c>
      <c r="E34" s="75">
        <f>PERCENTILE(E7:E16,C34)</f>
        <v>0.40620000000000001</v>
      </c>
      <c r="F34" s="75">
        <f>PERCENTILE(F7:F16,C34)</f>
        <v>0.29275000000000001</v>
      </c>
      <c r="G34" s="75">
        <f>PERCENTILE(G7:G16,C34)</f>
        <v>0.25745000000000001</v>
      </c>
      <c r="H34" s="75">
        <f>PERCENTILE(H7:H16,C34)</f>
        <v>0.35359499999999999</v>
      </c>
      <c r="I34" s="75">
        <f>PERCENTILE(I7:I16,C34)</f>
        <v>0.39029999999999998</v>
      </c>
      <c r="J34" s="75">
        <f>PERCENTILE(J7:J16,C34)</f>
        <v>0.65429999999999999</v>
      </c>
      <c r="K34" s="75">
        <f>PERCENTILE(K7:K16,C34)</f>
        <v>0.66721999999999992</v>
      </c>
      <c r="L34" s="75">
        <f>PERCENTILE(L7:L16,C34)</f>
        <v>0.20429999999999998</v>
      </c>
      <c r="M34" s="78">
        <f>PERCENTILE(M7:M16,C34)</f>
        <v>0.435</v>
      </c>
      <c r="N34" s="75">
        <f>PERCENTILE(N7:N16,C34)</f>
        <v>-4.8250000000000001E-2</v>
      </c>
      <c r="O34" s="81">
        <f>PERCENTILE(O7:O16,C34)</f>
        <v>0.86149999999999971</v>
      </c>
    </row>
    <row r="35" spans="3:15" x14ac:dyDescent="0.2">
      <c r="C35" s="44">
        <v>0.2</v>
      </c>
      <c r="D35" s="75">
        <f>PERCENTILE(D7:D16,C35)</f>
        <v>0.56899999999999995</v>
      </c>
      <c r="E35" s="75">
        <f>PERCENTILE(E7:E16,C35)</f>
        <v>0.4476</v>
      </c>
      <c r="F35" s="75">
        <f>PERCENTILE(F7:F16,C35)</f>
        <v>0.32200000000000001</v>
      </c>
      <c r="G35" s="75">
        <f>PERCENTILE(G7:G16,C35)</f>
        <v>0.2606</v>
      </c>
      <c r="H35" s="75">
        <f>PERCENTILE(H7:H16,C35)</f>
        <v>0.35975999999999997</v>
      </c>
      <c r="I35" s="75">
        <f>PERCENTILE(I7:I16,C35)</f>
        <v>0.43969999999999998</v>
      </c>
      <c r="J35" s="75">
        <f>PERCENTILE(J7:J16,C35)</f>
        <v>0.71910000000000007</v>
      </c>
      <c r="K35" s="75">
        <f>PERCENTILE(K7:K16,C35)</f>
        <v>0.67445999999999995</v>
      </c>
      <c r="L35" s="75">
        <f>PERCENTILE(L7:L16,C35)</f>
        <v>0.21779999999999999</v>
      </c>
      <c r="M35" s="78">
        <f>PERCENTILE(M7:M16,C35)</f>
        <v>0.48</v>
      </c>
      <c r="N35" s="75">
        <f>PERCENTILE(N7:N16,C35)</f>
        <v>-4.5999999999999999E-2</v>
      </c>
      <c r="O35" s="81">
        <f>PERCENTILE(O7:O16,C35)</f>
        <v>1.1719999999999999</v>
      </c>
    </row>
    <row r="36" spans="3:15" x14ac:dyDescent="0.2">
      <c r="C36" s="44">
        <v>0.25</v>
      </c>
      <c r="D36" s="75">
        <f>PERCENTILE(D7:D16,C36)</f>
        <v>0.57874999999999999</v>
      </c>
      <c r="E36" s="75">
        <f>PERCENTILE(E7:E16,C36)</f>
        <v>0.47625000000000001</v>
      </c>
      <c r="F36" s="75">
        <f>PERCENTILE(F7:F16,C36)</f>
        <v>0.33650000000000002</v>
      </c>
      <c r="G36" s="75">
        <f>PERCENTILE(G7:G16,C36)</f>
        <v>0.27377499999999999</v>
      </c>
      <c r="H36" s="75">
        <f>PERCENTILE(H7:H16,C36)</f>
        <v>0.36330000000000001</v>
      </c>
      <c r="I36" s="75">
        <f>PERCENTILE(I7:I16,C36)</f>
        <v>0.48909999999999998</v>
      </c>
      <c r="J36" s="75">
        <f>PERCENTILE(J7:J16,C36)</f>
        <v>0.78390000000000004</v>
      </c>
      <c r="K36" s="75">
        <f>PERCENTILE(K7:K16,C36)</f>
        <v>0.68169999999999997</v>
      </c>
      <c r="L36" s="75">
        <f>PERCENTILE(L7:L16,C36)</f>
        <v>0.23294999999999999</v>
      </c>
      <c r="M36" s="78">
        <f>PERCENTILE(M7:M16,C36)</f>
        <v>0.5</v>
      </c>
      <c r="N36" s="75">
        <f>PERCENTILE(N7:N16,C36)</f>
        <v>-4.1249999999999995E-2</v>
      </c>
      <c r="O36" s="81">
        <f>PERCENTILE(O7:O16,C36)</f>
        <v>1.345</v>
      </c>
    </row>
    <row r="37" spans="3:15" x14ac:dyDescent="0.2">
      <c r="C37" s="44">
        <v>0.3</v>
      </c>
      <c r="D37" s="75">
        <f>PERCENTILE(D7:D16,C37)</f>
        <v>0.5837</v>
      </c>
      <c r="E37" s="75">
        <f>PERCENTILE(E7:E16,C37)</f>
        <v>0.49470000000000003</v>
      </c>
      <c r="F37" s="75">
        <f>PERCENTILE(F7:F16,C37)</f>
        <v>0.3392</v>
      </c>
      <c r="G37" s="75">
        <f>PERCENTILE(G7:G16,C37)</f>
        <v>0.29496999999999995</v>
      </c>
      <c r="H37" s="75">
        <f>PERCENTILE(H7:H16,C37)</f>
        <v>0.36474000000000001</v>
      </c>
      <c r="I37" s="75">
        <f>PERCENTILE(I7:I16,C37)</f>
        <v>0.52129999999999999</v>
      </c>
      <c r="J37" s="75">
        <f>PERCENTILE(J7:J16,C37)</f>
        <v>0.78602000000000005</v>
      </c>
      <c r="K37" s="75">
        <f>PERCENTILE(K7:K16,C37)</f>
        <v>0.81305999999999989</v>
      </c>
      <c r="L37" s="75">
        <f>PERCENTILE(L7:L16,C37)</f>
        <v>0.24942</v>
      </c>
      <c r="M37" s="78">
        <f>PERCENTILE(M7:M16,C37)</f>
        <v>0.5</v>
      </c>
      <c r="N37" s="75">
        <f>PERCENTILE(N7:N16,C37)</f>
        <v>-3.4500000000000003E-2</v>
      </c>
      <c r="O37" s="81">
        <f>PERCENTILE(O7:O16,C37)</f>
        <v>1.4079999999999999</v>
      </c>
    </row>
    <row r="38" spans="3:15" x14ac:dyDescent="0.2">
      <c r="C38" s="44">
        <v>0.35</v>
      </c>
      <c r="D38" s="75">
        <f>PERCENTILE(D7:D16,C38)</f>
        <v>0.60094999999999998</v>
      </c>
      <c r="E38" s="75">
        <f>PERCENTILE(E7:E16,C38)</f>
        <v>0.50744999999999996</v>
      </c>
      <c r="F38" s="75">
        <f>PERCENTILE(F7:F16,C38)</f>
        <v>0.34925000000000006</v>
      </c>
      <c r="G38" s="75">
        <f>PERCENTILE(G7:G16,C38)</f>
        <v>0.31301499999999999</v>
      </c>
      <c r="H38" s="75">
        <f>PERCENTILE(H7:H16,C38)</f>
        <v>0.37380000000000002</v>
      </c>
      <c r="I38" s="75">
        <f>PERCENTILE(I7:I16,C38)</f>
        <v>0.55349999999999999</v>
      </c>
      <c r="J38" s="75">
        <f>PERCENTILE(J7:J16,C38)</f>
        <v>0.78814000000000006</v>
      </c>
      <c r="K38" s="75">
        <f>PERCENTILE(K7:K16,C38)</f>
        <v>0.94441999999999993</v>
      </c>
      <c r="L38" s="75">
        <f>PERCENTILE(L7:L16,C38)</f>
        <v>0.26499</v>
      </c>
      <c r="M38" s="78">
        <f>PERCENTILE(M7:M16,C38)</f>
        <v>0.51500000000000001</v>
      </c>
      <c r="N38" s="75">
        <f>PERCENTILE(N7:N16,C38)</f>
        <v>-2.4494999999999986E-2</v>
      </c>
      <c r="O38" s="81">
        <f>PERCENTILE(O7:O16,C38)</f>
        <v>1.4635</v>
      </c>
    </row>
    <row r="39" spans="3:15" x14ac:dyDescent="0.2">
      <c r="C39" s="44">
        <v>0.4</v>
      </c>
      <c r="D39" s="75">
        <f>PERCENTILE(D7:D16,C39)</f>
        <v>0.64280000000000004</v>
      </c>
      <c r="E39" s="75">
        <f>PERCENTILE(E7:E16,C39)</f>
        <v>0.50880000000000003</v>
      </c>
      <c r="F39" s="75">
        <f>PERCENTILE(F7:F16,C39)</f>
        <v>0.374</v>
      </c>
      <c r="G39" s="75">
        <f>PERCENTILE(G7:G16,C39)</f>
        <v>0.32475999999999999</v>
      </c>
      <c r="H39" s="75">
        <f>PERCENTILE(H7:H16,C39)</f>
        <v>0.39810000000000001</v>
      </c>
      <c r="I39" s="75">
        <f>PERCENTILE(I7:I16,C39)</f>
        <v>0.57099999999999995</v>
      </c>
      <c r="J39" s="75">
        <f>PERCENTILE(J7:J16,C39)</f>
        <v>0.81794</v>
      </c>
      <c r="K39" s="75">
        <f>PERCENTILE(K7:K16,C39)</f>
        <v>1.12178</v>
      </c>
      <c r="L39" s="75">
        <f>PERCENTILE(L7:L16,C39)</f>
        <v>0.27876000000000001</v>
      </c>
      <c r="M39" s="78">
        <f>PERCENTILE(M7:M16,C39)</f>
        <v>0.55999999999999994</v>
      </c>
      <c r="N39" s="75">
        <f>PERCENTILE(N7:N16,C39)</f>
        <v>-7.9800000000000149E-3</v>
      </c>
      <c r="O39" s="81">
        <f>PERCENTILE(O7:O16,C39)</f>
        <v>1.504</v>
      </c>
    </row>
    <row r="40" spans="3:15" x14ac:dyDescent="0.2">
      <c r="C40" s="44">
        <v>0.45</v>
      </c>
      <c r="D40" s="75">
        <f>PERCENTILE(D7:D16,C40)</f>
        <v>0.68085000000000007</v>
      </c>
      <c r="E40" s="75">
        <f>PERCENTILE(E7:E16,C40)</f>
        <v>0.51249999999999996</v>
      </c>
      <c r="F40" s="75">
        <f>PERCENTILE(F7:F16,C40)</f>
        <v>0.39865</v>
      </c>
      <c r="G40" s="75">
        <f>PERCENTILE(G7:G16,C40)</f>
        <v>0.33591500000000002</v>
      </c>
      <c r="H40" s="75">
        <f>PERCENTILE(H7:H16,C40)</f>
        <v>0.42234500000000003</v>
      </c>
      <c r="I40" s="75">
        <f>PERCENTILE(I7:I16,C40)</f>
        <v>0.57379999999999998</v>
      </c>
      <c r="J40" s="75">
        <f>PERCENTILE(J7:J16,C40)</f>
        <v>0.87541999999999986</v>
      </c>
      <c r="K40" s="75">
        <f>PERCENTILE(K7:K16,C40)</f>
        <v>1.3451399999999998</v>
      </c>
      <c r="L40" s="75">
        <f>PERCENTILE(L7:L16,C40)</f>
        <v>0.29382999999999998</v>
      </c>
      <c r="M40" s="78">
        <f>PERCENTILE(M7:M16,C40)</f>
        <v>0.61499999999999988</v>
      </c>
      <c r="N40" s="75">
        <f>PERCENTILE(N7:N16,C40)</f>
        <v>8.364999999999994E-3</v>
      </c>
      <c r="O40" s="81">
        <f>PERCENTILE(O7:O16,C40)</f>
        <v>1.542</v>
      </c>
    </row>
    <row r="41" spans="3:15" x14ac:dyDescent="0.2">
      <c r="C41" s="44">
        <v>0.5</v>
      </c>
      <c r="D41" s="75">
        <f>PERCENTILE(D7:D16,C41)</f>
        <v>0.6885</v>
      </c>
      <c r="E41" s="75">
        <f>PERCENTILE(E7:E16,C41)</f>
        <v>0.53500000000000003</v>
      </c>
      <c r="F41" s="75">
        <f>PERCENTILE(F7:F16,C41)</f>
        <v>0.42249999999999999</v>
      </c>
      <c r="G41" s="75">
        <f>PERCENTILE(G7:G16,C41)</f>
        <v>0.34234999999999999</v>
      </c>
      <c r="H41" s="75">
        <f>PERCENTILE(H7:H16,C41)</f>
        <v>0.44615000000000005</v>
      </c>
      <c r="I41" s="75">
        <f>PERCENTILE(I7:I16,C41)</f>
        <v>0.5766</v>
      </c>
      <c r="J41" s="75">
        <f>PERCENTILE(J7:J16,C41)</f>
        <v>0.93289999999999995</v>
      </c>
      <c r="K41" s="75">
        <f>PERCENTILE(K7:K16,C41)</f>
        <v>1.5685</v>
      </c>
      <c r="L41" s="75">
        <f>PERCENTILE(L7:L16,C41)</f>
        <v>0.31930000000000003</v>
      </c>
      <c r="M41" s="78">
        <f>PERCENTILE(M7:M16,C41)</f>
        <v>0.75</v>
      </c>
      <c r="N41" s="75">
        <f>PERCENTILE(N7:N16,C41)</f>
        <v>2.3350000000000003E-2</v>
      </c>
      <c r="O41" s="81">
        <f>PERCENTILE(O7:O16,C41)</f>
        <v>1.56</v>
      </c>
    </row>
    <row r="42" spans="3:15" x14ac:dyDescent="0.2">
      <c r="C42" s="44">
        <v>0.55000000000000004</v>
      </c>
      <c r="D42" s="75">
        <f>PERCENTILE(D7:D16,C42)</f>
        <v>0.69614999999999994</v>
      </c>
      <c r="E42" s="75">
        <f>PERCENTILE(E7:E16,C42)</f>
        <v>0.55750000000000011</v>
      </c>
      <c r="F42" s="75">
        <f>PERCENTILE(F7:F16,C42)</f>
        <v>0.44635000000000002</v>
      </c>
      <c r="G42" s="75">
        <f>PERCENTILE(G7:G16,C42)</f>
        <v>0.34878499999999996</v>
      </c>
      <c r="H42" s="75">
        <f>PERCENTILE(H7:H16,C42)</f>
        <v>0.46995500000000001</v>
      </c>
      <c r="I42" s="75">
        <f>PERCENTILE(I7:I16,C42)</f>
        <v>0.61672000000000005</v>
      </c>
      <c r="J42" s="75">
        <f>PERCENTILE(J7:J16,C42)</f>
        <v>1.16246</v>
      </c>
      <c r="K42" s="75">
        <f>PERCENTILE(K7:K16,C42)</f>
        <v>1.6599000000000002</v>
      </c>
      <c r="L42" s="75">
        <f>PERCENTILE(L7:L16,C42)</f>
        <v>0.34477000000000002</v>
      </c>
      <c r="M42" s="78">
        <f>PERCENTILE(M7:M16,C42)</f>
        <v>0.88500000000000001</v>
      </c>
      <c r="N42" s="75">
        <f>PERCENTILE(N7:N16,C42)</f>
        <v>3.8335000000000008E-2</v>
      </c>
      <c r="O42" s="81">
        <f>PERCENTILE(O7:O16,C42)</f>
        <v>1.5780000000000001</v>
      </c>
    </row>
    <row r="43" spans="3:15" x14ac:dyDescent="0.2">
      <c r="C43" s="44">
        <v>0.6</v>
      </c>
      <c r="D43" s="75">
        <f>PERCENTILE(D7:D16,C43)</f>
        <v>0.70339999999999991</v>
      </c>
      <c r="E43" s="75">
        <f>PERCENTILE(E7:E16,C43)</f>
        <v>0.57440000000000002</v>
      </c>
      <c r="F43" s="75">
        <f>PERCENTILE(F7:F16,C43)</f>
        <v>0.45779999999999998</v>
      </c>
      <c r="G43" s="75">
        <f>PERCENTILE(G7:G16,C43)</f>
        <v>0.38933999999999991</v>
      </c>
      <c r="H43" s="75">
        <f>PERCENTILE(H7:H16,C43)</f>
        <v>0.48243999999999998</v>
      </c>
      <c r="I43" s="75">
        <f>PERCENTILE(I7:I16,C43)</f>
        <v>0.65683999999999998</v>
      </c>
      <c r="J43" s="75">
        <f>PERCENTILE(J7:J16,C43)</f>
        <v>1.3920199999999998</v>
      </c>
      <c r="K43" s="75">
        <f>PERCENTILE(K7:K16,C43)</f>
        <v>1.7512999999999999</v>
      </c>
      <c r="L43" s="75">
        <f>PERCENTILE(L7:L16,C43)</f>
        <v>0.35608000000000001</v>
      </c>
      <c r="M43" s="78">
        <f>PERCENTILE(M7:M16,C43)</f>
        <v>0.9</v>
      </c>
      <c r="N43" s="75">
        <f>PERCENTILE(N7:N16,C43)</f>
        <v>5.1999999999999991E-2</v>
      </c>
      <c r="O43" s="81">
        <f>PERCENTILE(O7:O16,C43)</f>
        <v>1.7599999999999998</v>
      </c>
    </row>
    <row r="44" spans="3:15" x14ac:dyDescent="0.2">
      <c r="C44" s="44">
        <v>0.65</v>
      </c>
      <c r="D44" s="75">
        <f>PERCENTILE(D7:D16,C44)</f>
        <v>0.71060000000000001</v>
      </c>
      <c r="E44" s="75">
        <f>PERCENTILE(E7:E16,C44)</f>
        <v>0.59060000000000001</v>
      </c>
      <c r="F44" s="75">
        <f>PERCENTILE(F7:F16,C44)</f>
        <v>0.4677</v>
      </c>
      <c r="G44" s="75">
        <f>PERCENTILE(G7:G16,C44)</f>
        <v>0.43416000000000005</v>
      </c>
      <c r="H44" s="75">
        <f>PERCENTILE(H7:H16,C44)</f>
        <v>0.49351</v>
      </c>
      <c r="I44" s="75">
        <f>PERCENTILE(I7:I16,C44)</f>
        <v>0.70421999999999996</v>
      </c>
      <c r="J44" s="75">
        <f>PERCENTILE(J7:J16,C44)</f>
        <v>1.59606</v>
      </c>
      <c r="K44" s="75">
        <f>PERCENTILE(K7:K16,C44)</f>
        <v>1.9396800000000001</v>
      </c>
      <c r="L44" s="75">
        <f>PERCENTILE(L7:L16,C44)</f>
        <v>0.36562000000000006</v>
      </c>
      <c r="M44" s="78">
        <f>PERCENTILE(M7:M16,C44)</f>
        <v>0.9</v>
      </c>
      <c r="N44" s="75">
        <f>PERCENTILE(N7:N16,C44)</f>
        <v>6.550000000000003E-2</v>
      </c>
      <c r="O44" s="81">
        <f>PERCENTILE(O7:O16,C44)</f>
        <v>1.9625000000000001</v>
      </c>
    </row>
    <row r="45" spans="3:15" x14ac:dyDescent="0.2">
      <c r="C45" s="44">
        <v>0.7</v>
      </c>
      <c r="D45" s="75">
        <f>PERCENTILE(D7:D16,C45)</f>
        <v>0.74270000000000003</v>
      </c>
      <c r="E45" s="75">
        <f>PERCENTILE(E7:E16,C45)</f>
        <v>0.6238999999999999</v>
      </c>
      <c r="F45" s="75">
        <f>PERCENTILE(F7:F16,C45)</f>
        <v>0.47219999999999995</v>
      </c>
      <c r="G45" s="75">
        <f>PERCENTILE(G7:G16,C45)</f>
        <v>0.45113999999999999</v>
      </c>
      <c r="H45" s="75">
        <f>PERCENTILE(H7:H16,C45)</f>
        <v>0.54618999999999995</v>
      </c>
      <c r="I45" s="75">
        <f>PERCENTILE(I7:I16,C45)</f>
        <v>0.75885999999999998</v>
      </c>
      <c r="J45" s="75">
        <f>PERCENTILE(J7:J16,C45)</f>
        <v>1.7745799999999998</v>
      </c>
      <c r="K45" s="75">
        <f>PERCENTILE(K7:K16,C45)</f>
        <v>2.2250399999999999</v>
      </c>
      <c r="L45" s="75">
        <f>PERCENTILE(L7:L16,C45)</f>
        <v>0.37705</v>
      </c>
      <c r="M45" s="78">
        <f>PERCENTILE(M7:M16,C45)</f>
        <v>0.9</v>
      </c>
      <c r="N45" s="75">
        <f>PERCENTILE(N7:N16,C45)</f>
        <v>7.2639999999999996E-2</v>
      </c>
      <c r="O45" s="81">
        <f>PERCENTILE(O7:O16,C45)</f>
        <v>2.1409999999999996</v>
      </c>
    </row>
    <row r="46" spans="3:15" x14ac:dyDescent="0.2">
      <c r="C46" s="44">
        <v>0.75</v>
      </c>
      <c r="D46" s="75">
        <f>PERCENTILE(D7:D16,C46)</f>
        <v>0.78725000000000001</v>
      </c>
      <c r="E46" s="75">
        <f>PERCENTILE(E7:E16,C46)</f>
        <v>0.66574999999999995</v>
      </c>
      <c r="F46" s="75">
        <f>PERCENTILE(F7:F16,C46)</f>
        <v>0.47399999999999998</v>
      </c>
      <c r="G46" s="75">
        <f>PERCENTILE(G7:G16,C46)</f>
        <v>0.45420000000000005</v>
      </c>
      <c r="H46" s="75">
        <f>PERCENTILE(H7:H16,C46)</f>
        <v>0.61967499999999998</v>
      </c>
      <c r="I46" s="75">
        <f>PERCENTILE(I7:I16,C46)</f>
        <v>0.8135</v>
      </c>
      <c r="J46" s="75">
        <f>PERCENTILE(J7:J16,C46)</f>
        <v>1.9531000000000001</v>
      </c>
      <c r="K46" s="75">
        <f>PERCENTILE(K7:K16,C46)</f>
        <v>2.5104000000000002</v>
      </c>
      <c r="L46" s="75">
        <f>PERCENTILE(L7:L16,C46)</f>
        <v>0.38942500000000002</v>
      </c>
      <c r="M46" s="78">
        <f>PERCENTILE(M7:M16,C46)</f>
        <v>0.9</v>
      </c>
      <c r="N46" s="75">
        <f>PERCENTILE(N7:N16,C46)</f>
        <v>7.6600000000000001E-2</v>
      </c>
      <c r="O46" s="81">
        <f>PERCENTILE(O7:O16,C46)</f>
        <v>2.3075000000000001</v>
      </c>
    </row>
    <row r="47" spans="3:15" x14ac:dyDescent="0.2">
      <c r="C47" s="44">
        <v>0.8</v>
      </c>
      <c r="D47" s="75">
        <f>PERCENTILE(D7:D16,C47)</f>
        <v>0.81840000000000002</v>
      </c>
      <c r="E47" s="75">
        <f>PERCENTILE(E7:E16,C47)</f>
        <v>0.70399999999999996</v>
      </c>
      <c r="F47" s="75">
        <f>PERCENTILE(F7:F16,C47)</f>
        <v>0.49659999999999987</v>
      </c>
      <c r="G47" s="75">
        <f>PERCENTILE(G7:G16,C47)</f>
        <v>0.46007999999999999</v>
      </c>
      <c r="H47" s="75">
        <f>PERCENTILE(H7:H16,C47)</f>
        <v>0.7152799999999998</v>
      </c>
      <c r="I47" s="75">
        <f>PERCENTILE(I7:I16,C47)</f>
        <v>1.2575000000000003</v>
      </c>
      <c r="J47" s="75">
        <f>PERCENTILE(J7:J16,C47)</f>
        <v>2.03478</v>
      </c>
      <c r="K47" s="75">
        <f>PERCENTILE(K7:K16,C47)</f>
        <v>2.6166400000000003</v>
      </c>
      <c r="L47" s="75">
        <f>PERCENTILE(L7:L16,C47)</f>
        <v>0.41981999999999992</v>
      </c>
      <c r="M47" s="78">
        <f>PERCENTILE(M7:M16,C47)</f>
        <v>0.94</v>
      </c>
      <c r="N47" s="75">
        <f>PERCENTILE(N7:N16,C47)</f>
        <v>0.12161999999999984</v>
      </c>
      <c r="O47" s="81">
        <f>PERCENTILE(O7:O16,C47)</f>
        <v>2.625999999999999</v>
      </c>
    </row>
    <row r="48" spans="3:15" x14ac:dyDescent="0.2">
      <c r="C48" s="44">
        <v>0.85</v>
      </c>
      <c r="D48" s="75">
        <f>PERCENTILE(D7:D16,C48)</f>
        <v>0.83279999999999998</v>
      </c>
      <c r="E48" s="75">
        <f>PERCENTILE(E7:E16,C48)</f>
        <v>0.73774999999999991</v>
      </c>
      <c r="F48" s="75">
        <f>PERCENTILE(F7:F16,C48)</f>
        <v>0.5451999999999998</v>
      </c>
      <c r="G48" s="75">
        <f>PERCENTILE(G7:G16,C48)</f>
        <v>0.46948499999999999</v>
      </c>
      <c r="H48" s="75">
        <f>PERCENTILE(H7:H16,C48)</f>
        <v>0.83853499999999959</v>
      </c>
      <c r="I48" s="75">
        <f>PERCENTILE(I7:I16,C48)</f>
        <v>1.7014999999999998</v>
      </c>
      <c r="J48" s="75">
        <f>PERCENTILE(J7:J16,C48)</f>
        <v>2.11646</v>
      </c>
      <c r="K48" s="75">
        <f>PERCENTILE(K7:K16,C48)</f>
        <v>2.72288</v>
      </c>
      <c r="L48" s="75">
        <f>PERCENTILE(L7:L16,C48)</f>
        <v>0.47273999999999983</v>
      </c>
      <c r="M48" s="78">
        <f>PERCENTILE(M7:M16,C48)</f>
        <v>1.0299999999999998</v>
      </c>
      <c r="N48" s="75">
        <f>PERCENTILE(N7:N16,C48)</f>
        <v>0.21796499999999969</v>
      </c>
      <c r="O48" s="81">
        <f>PERCENTILE(O7:O16,C48)</f>
        <v>3.1344999999999983</v>
      </c>
    </row>
    <row r="49" spans="3:15" x14ac:dyDescent="0.2">
      <c r="C49" s="44">
        <v>0.9</v>
      </c>
      <c r="D49" s="75">
        <f>PERCENTILE(D7:D16,C49)</f>
        <v>0.84959999999999991</v>
      </c>
      <c r="E49" s="75">
        <f>PERCENTILE(E7:E16,C49)</f>
        <v>0.76839999999999997</v>
      </c>
      <c r="F49" s="75">
        <f>PERCENTILE(F7:F16,C49)</f>
        <v>0.59069999999999989</v>
      </c>
      <c r="G49" s="75">
        <f>PERCENTILE(G7:G16,C49)</f>
        <v>0.47741</v>
      </c>
      <c r="H49" s="75">
        <f>PERCENTILE(H7:H16,C49)</f>
        <v>1.0033799999999997</v>
      </c>
      <c r="I49" s="75">
        <f>PERCENTILE(I7:I16,C49)</f>
        <v>1.9239599999999999</v>
      </c>
      <c r="J49" s="75">
        <f>PERCENTILE(J7:J16,C49)</f>
        <v>2.3900599999999992</v>
      </c>
      <c r="K49" s="75">
        <f>PERCENTILE(K7:K16,C49)</f>
        <v>2.78444</v>
      </c>
      <c r="L49" s="75">
        <f>PERCENTILE(L7:L16,C49)</f>
        <v>0.54355999999999993</v>
      </c>
      <c r="M49" s="78">
        <f>PERCENTILE(M7:M16,C49)</f>
        <v>1.1399999999999999</v>
      </c>
      <c r="N49" s="75">
        <f>PERCENTILE(N7:N16,C49)</f>
        <v>0.31864999999999988</v>
      </c>
      <c r="O49" s="81">
        <f>PERCENTILE(O7:O16,C49)</f>
        <v>3.5349999999999997</v>
      </c>
    </row>
    <row r="50" spans="3:15" x14ac:dyDescent="0.2">
      <c r="C50" s="44">
        <v>0.95</v>
      </c>
      <c r="D50" s="75">
        <f>PERCENTILE(D7:D16,C50)</f>
        <v>0.87479999999999991</v>
      </c>
      <c r="E50" s="75">
        <f>PERCENTILE(E7:E16,C50)</f>
        <v>0.78820000000000001</v>
      </c>
      <c r="F50" s="75">
        <f>PERCENTILE(F7:F16,C50)</f>
        <v>0.62534999999999996</v>
      </c>
      <c r="G50" s="75">
        <f>PERCENTILE(G7:G16,C50)</f>
        <v>0.480155</v>
      </c>
      <c r="H50" s="75">
        <f>PERCENTILE(H7:H16,C50)</f>
        <v>1.3137899999999993</v>
      </c>
      <c r="I50" s="75">
        <f>PERCENTILE(I7:I16,C50)</f>
        <v>1.9248799999999999</v>
      </c>
      <c r="J50" s="75">
        <f>PERCENTILE(J7:J16,C50)</f>
        <v>2.8555799999999998</v>
      </c>
      <c r="K50" s="75">
        <f>PERCENTILE(K7:K16,C50)</f>
        <v>2.80132</v>
      </c>
      <c r="L50" s="75">
        <f>PERCENTILE(L7:L16,C50)</f>
        <v>0.67702999999999969</v>
      </c>
      <c r="M50" s="78">
        <f>PERCENTILE(M7:M16,C50)</f>
        <v>1.3199999999999996</v>
      </c>
      <c r="N50" s="75">
        <f>PERCENTILE(N7:N16,C50)</f>
        <v>0.43452499999999972</v>
      </c>
      <c r="O50" s="81">
        <f>PERCENTILE(O7:O16,C50)</f>
        <v>3.5575000000000001</v>
      </c>
    </row>
    <row r="51" spans="3:15" ht="10.8" thickBot="1" x14ac:dyDescent="0.25">
      <c r="C51" s="46">
        <v>1</v>
      </c>
      <c r="D51" s="76">
        <f>PERCENTILE(D7:D16,C51)</f>
        <v>0.9</v>
      </c>
      <c r="E51" s="76">
        <f>PERCENTILE(E7:E16,C51)</f>
        <v>0.80800000000000005</v>
      </c>
      <c r="F51" s="76">
        <f>PERCENTILE(F7:F16,C51)</f>
        <v>0.66</v>
      </c>
      <c r="G51" s="76">
        <f>PERCENTILE(G7:G16,C51)</f>
        <v>0.4829</v>
      </c>
      <c r="H51" s="76">
        <f>PERCENTILE(H7:H16,C51)</f>
        <v>1.6242000000000001</v>
      </c>
      <c r="I51" s="76">
        <f>PERCENTILE(I7:I16,C51)</f>
        <v>1.9258</v>
      </c>
      <c r="J51" s="76">
        <f>PERCENTILE(J7:J16,C51)</f>
        <v>3.3210999999999999</v>
      </c>
      <c r="K51" s="76">
        <f>PERCENTILE(K7:K16,C51)</f>
        <v>2.8182</v>
      </c>
      <c r="L51" s="76">
        <f>PERCENTILE(L7:L16,C51)</f>
        <v>0.8105</v>
      </c>
      <c r="M51" s="79">
        <f>PERCENTILE(M7:M16,C51)</f>
        <v>1.5</v>
      </c>
      <c r="N51" s="76">
        <f>PERCENTILE(N7:N16,C51)</f>
        <v>0.5504</v>
      </c>
      <c r="O51" s="82">
        <f>PERCENTILE(O7:O16,C51)</f>
        <v>3.58</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326F7-591A-4729-8B29-D8640CA7E6C8}">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2</v>
      </c>
      <c r="B8" s="4" t="s">
        <v>3</v>
      </c>
    </row>
    <row r="9" spans="1:255" x14ac:dyDescent="0.2">
      <c r="A9" s="3" t="s">
        <v>4</v>
      </c>
      <c r="B9" s="4" t="s">
        <v>5</v>
      </c>
    </row>
    <row r="10" spans="1:255" x14ac:dyDescent="0.2">
      <c r="A10" s="3" t="s">
        <v>6</v>
      </c>
      <c r="B10" s="5">
        <v>45043</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212.81</v>
      </c>
      <c r="C15" s="13">
        <v>235</v>
      </c>
      <c r="D15" s="13">
        <v>50011.199999999997</v>
      </c>
      <c r="E15" s="13">
        <v>4987</v>
      </c>
      <c r="F15" s="14" t="s">
        <v>26</v>
      </c>
      <c r="G15" s="14" t="s">
        <v>26</v>
      </c>
      <c r="H15" s="13">
        <v>54998.2</v>
      </c>
      <c r="I15" s="12">
        <v>91.9</v>
      </c>
      <c r="J15" s="16">
        <v>45042</v>
      </c>
      <c r="K15" s="13">
        <v>22834</v>
      </c>
      <c r="L15" s="13">
        <v>11638</v>
      </c>
      <c r="M15" s="13">
        <v>9036</v>
      </c>
      <c r="N15" s="12">
        <v>28.32</v>
      </c>
      <c r="O15" s="12">
        <v>20406.25</v>
      </c>
      <c r="P15" s="12">
        <v>9970.44</v>
      </c>
      <c r="Q15" s="12">
        <v>21.91</v>
      </c>
    </row>
    <row r="16" spans="1:255" ht="12" customHeight="1" x14ac:dyDescent="0.2">
      <c r="A16" s="7" t="s">
        <v>27</v>
      </c>
      <c r="B16" s="12">
        <v>115.84</v>
      </c>
      <c r="C16" s="13">
        <v>587.79999999999995</v>
      </c>
      <c r="D16" s="13">
        <v>68088.600000000006</v>
      </c>
      <c r="E16" s="13">
        <v>-14</v>
      </c>
      <c r="F16" s="14" t="s">
        <v>26</v>
      </c>
      <c r="G16" s="14" t="s">
        <v>26</v>
      </c>
      <c r="H16" s="13">
        <v>68074.600000000006</v>
      </c>
      <c r="I16" s="12">
        <v>42.16</v>
      </c>
      <c r="J16" s="16">
        <v>44980</v>
      </c>
      <c r="K16" s="13">
        <v>29610</v>
      </c>
      <c r="L16" s="13">
        <v>13791</v>
      </c>
      <c r="M16" s="13">
        <v>9923</v>
      </c>
      <c r="N16" s="12">
        <v>13.22</v>
      </c>
      <c r="O16" s="12">
        <v>23885.55</v>
      </c>
      <c r="P16" s="12">
        <v>12878.27</v>
      </c>
      <c r="Q16" s="12">
        <v>11.92</v>
      </c>
    </row>
    <row r="17" spans="1:17" ht="12" customHeight="1" x14ac:dyDescent="0.2">
      <c r="A17" s="7" t="s">
        <v>28</v>
      </c>
      <c r="B17" s="12">
        <v>5.03</v>
      </c>
      <c r="C17" s="13">
        <v>1101.0999999999999</v>
      </c>
      <c r="D17" s="13">
        <v>5538.3</v>
      </c>
      <c r="E17" s="13">
        <v>4103</v>
      </c>
      <c r="F17" s="14" t="s">
        <v>26</v>
      </c>
      <c r="G17" s="14" t="s">
        <v>26</v>
      </c>
      <c r="H17" s="13">
        <v>9641.2999999999993</v>
      </c>
      <c r="I17" s="12">
        <v>5.68</v>
      </c>
      <c r="J17" s="16">
        <v>45043</v>
      </c>
      <c r="K17" s="13">
        <v>14177</v>
      </c>
      <c r="L17" s="13">
        <v>7945</v>
      </c>
      <c r="M17" s="13">
        <v>6733</v>
      </c>
      <c r="N17" s="12">
        <v>5.82</v>
      </c>
      <c r="O17" s="14" t="s">
        <v>26</v>
      </c>
      <c r="P17" s="14" t="s">
        <v>26</v>
      </c>
      <c r="Q17" s="14" t="s">
        <v>26</v>
      </c>
    </row>
    <row r="18" spans="1:17" ht="12" customHeight="1" x14ac:dyDescent="0.2">
      <c r="A18" s="7" t="s">
        <v>29</v>
      </c>
      <c r="B18" s="12">
        <v>35.659999999999997</v>
      </c>
      <c r="C18" s="13">
        <v>311</v>
      </c>
      <c r="D18" s="13">
        <v>11091.9</v>
      </c>
      <c r="E18" s="13">
        <v>5508</v>
      </c>
      <c r="F18" s="14" t="s">
        <v>26</v>
      </c>
      <c r="G18" s="12">
        <v>922</v>
      </c>
      <c r="H18" s="13">
        <v>17521.900000000001</v>
      </c>
      <c r="I18" s="12">
        <v>1.36</v>
      </c>
      <c r="J18" s="16">
        <v>44980</v>
      </c>
      <c r="K18" s="13">
        <v>10960</v>
      </c>
      <c r="L18" s="13">
        <v>6534</v>
      </c>
      <c r="M18" s="13">
        <v>5160</v>
      </c>
      <c r="N18" s="12">
        <v>11.02</v>
      </c>
      <c r="O18" s="12">
        <v>8341.33</v>
      </c>
      <c r="P18" s="12">
        <v>5408.5</v>
      </c>
      <c r="Q18" s="12">
        <v>5.86</v>
      </c>
    </row>
    <row r="19" spans="1:17" ht="12" customHeight="1" x14ac:dyDescent="0.2">
      <c r="A19" s="7" t="s">
        <v>30</v>
      </c>
      <c r="B19" s="12">
        <v>80.36</v>
      </c>
      <c r="C19" s="13">
        <v>134.69999999999999</v>
      </c>
      <c r="D19" s="13">
        <v>10826.1</v>
      </c>
      <c r="E19" s="13">
        <v>3082</v>
      </c>
      <c r="F19" s="14" t="s">
        <v>26</v>
      </c>
      <c r="G19" s="14" t="s">
        <v>26</v>
      </c>
      <c r="H19" s="13">
        <v>13908.1</v>
      </c>
      <c r="I19" s="12">
        <v>67.73</v>
      </c>
      <c r="J19" s="16">
        <v>44979</v>
      </c>
      <c r="K19" s="13">
        <v>14123</v>
      </c>
      <c r="L19" s="13">
        <v>5287</v>
      </c>
      <c r="M19" s="13">
        <v>3526</v>
      </c>
      <c r="N19" s="12">
        <v>33.36</v>
      </c>
      <c r="O19" s="12">
        <v>4237.01</v>
      </c>
      <c r="P19" s="12">
        <v>2646.26</v>
      </c>
      <c r="Q19" s="12">
        <v>4.97</v>
      </c>
    </row>
    <row r="20" spans="1:17" ht="12" customHeight="1" x14ac:dyDescent="0.2">
      <c r="A20" s="7" t="s">
        <v>31</v>
      </c>
      <c r="B20" s="12">
        <v>34.68</v>
      </c>
      <c r="C20" s="13">
        <v>244.5</v>
      </c>
      <c r="D20" s="13">
        <v>8481.2000000000007</v>
      </c>
      <c r="E20" s="13">
        <v>4418</v>
      </c>
      <c r="F20" s="14" t="s">
        <v>26</v>
      </c>
      <c r="G20" s="14" t="s">
        <v>26</v>
      </c>
      <c r="H20" s="13">
        <v>12877.9</v>
      </c>
      <c r="I20" s="12">
        <v>20.78</v>
      </c>
      <c r="J20" s="16">
        <v>44984</v>
      </c>
      <c r="K20" s="13">
        <v>14263</v>
      </c>
      <c r="L20" s="13">
        <v>4989</v>
      </c>
      <c r="M20" s="13">
        <v>3858</v>
      </c>
      <c r="N20" s="12">
        <v>14.08</v>
      </c>
      <c r="O20" s="12">
        <v>10760.91</v>
      </c>
      <c r="P20" s="12">
        <v>4215.75</v>
      </c>
      <c r="Q20" s="12">
        <v>8.31</v>
      </c>
    </row>
    <row r="21" spans="1:17" ht="12" customHeight="1" x14ac:dyDescent="0.2">
      <c r="A21" s="7" t="s">
        <v>32</v>
      </c>
      <c r="B21" s="12">
        <v>141.47999999999999</v>
      </c>
      <c r="C21" s="13">
        <v>305.7</v>
      </c>
      <c r="D21" s="13">
        <v>43255.9</v>
      </c>
      <c r="E21" s="13">
        <v>7120</v>
      </c>
      <c r="F21" s="14" t="s">
        <v>26</v>
      </c>
      <c r="G21" s="12">
        <v>588</v>
      </c>
      <c r="H21" s="13">
        <v>50963.9</v>
      </c>
      <c r="I21" s="12">
        <v>26.47</v>
      </c>
      <c r="J21" s="16">
        <v>45042</v>
      </c>
      <c r="K21" s="13">
        <v>11327</v>
      </c>
      <c r="L21" s="13">
        <v>5740</v>
      </c>
      <c r="M21" s="13">
        <v>3864</v>
      </c>
      <c r="N21" s="12">
        <v>6.56</v>
      </c>
      <c r="O21" s="12">
        <v>10910.81</v>
      </c>
      <c r="P21" s="14" t="s">
        <v>26</v>
      </c>
      <c r="Q21" s="14" t="s">
        <v>26</v>
      </c>
    </row>
    <row r="22" spans="1:17" ht="12" customHeight="1" x14ac:dyDescent="0.2">
      <c r="A22" s="7" t="s">
        <v>33</v>
      </c>
      <c r="B22" s="12">
        <v>23.48</v>
      </c>
      <c r="C22" s="13">
        <v>622.9</v>
      </c>
      <c r="D22" s="13">
        <v>14625.1</v>
      </c>
      <c r="E22" s="13">
        <v>5730</v>
      </c>
      <c r="F22" s="14" t="s">
        <v>26</v>
      </c>
      <c r="G22" s="14" t="s">
        <v>26</v>
      </c>
      <c r="H22" s="13">
        <v>20355.099999999999</v>
      </c>
      <c r="I22" s="12">
        <v>18</v>
      </c>
      <c r="J22" s="16">
        <v>44973</v>
      </c>
      <c r="K22" s="13">
        <v>7575</v>
      </c>
      <c r="L22" s="13">
        <v>5217</v>
      </c>
      <c r="M22" s="13">
        <v>3399</v>
      </c>
      <c r="N22" s="12">
        <v>5.26</v>
      </c>
      <c r="O22" s="12">
        <v>6935.74</v>
      </c>
      <c r="P22" s="12">
        <v>4584.79</v>
      </c>
      <c r="Q22" s="12">
        <v>2.91</v>
      </c>
    </row>
    <row r="23" spans="1:17" ht="12" customHeight="1" x14ac:dyDescent="0.2">
      <c r="A23" s="7" t="s">
        <v>34</v>
      </c>
      <c r="B23" s="12">
        <v>25.16</v>
      </c>
      <c r="C23" s="13">
        <v>765.5</v>
      </c>
      <c r="D23" s="13">
        <v>19260.099999999999</v>
      </c>
      <c r="E23" s="13">
        <v>1926</v>
      </c>
      <c r="F23" s="12">
        <v>11</v>
      </c>
      <c r="G23" s="14" t="s">
        <v>26</v>
      </c>
      <c r="H23" s="13">
        <v>21197.1</v>
      </c>
      <c r="I23" s="12">
        <v>16.48</v>
      </c>
      <c r="J23" s="16">
        <v>44984</v>
      </c>
      <c r="K23" s="13">
        <v>9051</v>
      </c>
      <c r="L23" s="13">
        <v>6914</v>
      </c>
      <c r="M23" s="13">
        <v>5279</v>
      </c>
      <c r="N23" s="12">
        <v>5.08</v>
      </c>
      <c r="O23" s="12">
        <v>6001.37</v>
      </c>
      <c r="P23" s="12">
        <v>4233.3900000000003</v>
      </c>
      <c r="Q23" s="12">
        <v>2.39</v>
      </c>
    </row>
    <row r="24" spans="1:17" ht="12" customHeight="1" x14ac:dyDescent="0.2">
      <c r="A24" s="7" t="s">
        <v>35</v>
      </c>
      <c r="B24" s="12">
        <v>138.06</v>
      </c>
      <c r="C24" s="13">
        <v>181.4</v>
      </c>
      <c r="D24" s="13">
        <v>25047.3</v>
      </c>
      <c r="E24" s="13">
        <v>6284</v>
      </c>
      <c r="F24" s="14" t="s">
        <v>26</v>
      </c>
      <c r="G24" s="12">
        <v>681</v>
      </c>
      <c r="H24" s="13">
        <v>32012.3</v>
      </c>
      <c r="I24" s="12">
        <v>83.46</v>
      </c>
      <c r="J24" s="16">
        <v>44980</v>
      </c>
      <c r="K24" s="13">
        <v>9083</v>
      </c>
      <c r="L24" s="13">
        <v>7338</v>
      </c>
      <c r="M24" s="13">
        <v>5994</v>
      </c>
      <c r="N24" s="12">
        <v>24.61</v>
      </c>
      <c r="O24" s="12">
        <v>8506.34</v>
      </c>
      <c r="P24" s="12">
        <v>6504.93</v>
      </c>
      <c r="Q24" s="12">
        <v>20.03</v>
      </c>
    </row>
    <row r="25" spans="1:17" x14ac:dyDescent="0.2">
      <c r="A25" s="7" t="s">
        <v>36</v>
      </c>
      <c r="B25" s="12">
        <v>52.25</v>
      </c>
      <c r="C25" s="13">
        <v>643.79999999999995</v>
      </c>
      <c r="D25" s="13">
        <v>33640.800000000003</v>
      </c>
      <c r="E25" s="13">
        <v>5404</v>
      </c>
      <c r="F25" s="14" t="s">
        <v>26</v>
      </c>
      <c r="G25" s="12">
        <v>129</v>
      </c>
      <c r="H25" s="13">
        <v>39173.800000000003</v>
      </c>
      <c r="I25" s="12">
        <v>15.95</v>
      </c>
      <c r="J25" s="16">
        <v>44972</v>
      </c>
      <c r="K25" s="13">
        <v>18873</v>
      </c>
      <c r="L25" s="13">
        <v>10280</v>
      </c>
      <c r="M25" s="13">
        <v>8020</v>
      </c>
      <c r="N25" s="12">
        <v>9.1199999999999992</v>
      </c>
      <c r="O25" s="12">
        <v>16241.76</v>
      </c>
      <c r="P25" s="12">
        <v>8293.56</v>
      </c>
      <c r="Q25" s="12">
        <v>6.58</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212.81</v>
      </c>
      <c r="C28" s="13">
        <v>1101.0999999999999</v>
      </c>
      <c r="D28" s="13">
        <v>68088.600000000006</v>
      </c>
      <c r="E28" s="13">
        <v>7120</v>
      </c>
      <c r="F28" s="12">
        <v>11</v>
      </c>
      <c r="G28" s="12">
        <v>922</v>
      </c>
      <c r="H28" s="13">
        <v>68074.600000000006</v>
      </c>
      <c r="I28" s="12">
        <v>91.9</v>
      </c>
      <c r="J28" s="17" t="s">
        <v>26</v>
      </c>
      <c r="K28" s="13">
        <v>29610</v>
      </c>
      <c r="L28" s="13">
        <v>13791</v>
      </c>
      <c r="M28" s="13">
        <v>9923</v>
      </c>
      <c r="N28" s="12">
        <v>33.36</v>
      </c>
      <c r="O28" s="12">
        <v>23885.55</v>
      </c>
      <c r="P28" s="12">
        <v>12878.27</v>
      </c>
      <c r="Q28" s="12">
        <v>21.91</v>
      </c>
    </row>
    <row r="29" spans="1:17" x14ac:dyDescent="0.2">
      <c r="A29" s="7" t="s">
        <v>39</v>
      </c>
      <c r="B29" s="12">
        <v>5.03</v>
      </c>
      <c r="C29" s="13">
        <v>134.69999999999999</v>
      </c>
      <c r="D29" s="13">
        <v>5538.3</v>
      </c>
      <c r="E29" s="13">
        <v>-14</v>
      </c>
      <c r="F29" s="12">
        <v>11</v>
      </c>
      <c r="G29" s="12">
        <v>588</v>
      </c>
      <c r="H29" s="13">
        <v>9641.2999999999993</v>
      </c>
      <c r="I29" s="12">
        <v>1.36</v>
      </c>
      <c r="J29" s="17" t="s">
        <v>26</v>
      </c>
      <c r="K29" s="13">
        <v>7575</v>
      </c>
      <c r="L29" s="13">
        <v>4989</v>
      </c>
      <c r="M29" s="13">
        <v>3399</v>
      </c>
      <c r="N29" s="12">
        <v>5.08</v>
      </c>
      <c r="O29" s="12">
        <v>4237.01</v>
      </c>
      <c r="P29" s="12">
        <v>2646.26</v>
      </c>
      <c r="Q29" s="12">
        <v>2.39</v>
      </c>
    </row>
    <row r="30" spans="1:17" x14ac:dyDescent="0.2">
      <c r="A30" s="7" t="s">
        <v>40</v>
      </c>
      <c r="B30" s="12">
        <v>81.260000000000005</v>
      </c>
      <c r="C30" s="13">
        <v>449</v>
      </c>
      <c r="D30" s="13">
        <v>25622.6</v>
      </c>
      <c r="E30" s="13">
        <v>4314.3999999999996</v>
      </c>
      <c r="F30" s="12">
        <v>11</v>
      </c>
      <c r="G30" s="12">
        <v>730.33</v>
      </c>
      <c r="H30" s="13">
        <v>30155.1</v>
      </c>
      <c r="I30" s="12">
        <v>37.4</v>
      </c>
      <c r="J30" s="17" t="s">
        <v>26</v>
      </c>
      <c r="K30" s="13">
        <v>14300.3</v>
      </c>
      <c r="L30" s="13">
        <v>7539.3</v>
      </c>
      <c r="M30" s="13">
        <v>5677.2</v>
      </c>
      <c r="N30" s="12">
        <v>14.73</v>
      </c>
      <c r="O30" s="12">
        <v>11109.48</v>
      </c>
      <c r="P30" s="12">
        <v>6305.29</v>
      </c>
      <c r="Q30" s="12">
        <v>9.7899999999999991</v>
      </c>
    </row>
    <row r="31" spans="1:17" x14ac:dyDescent="0.2">
      <c r="A31" s="7" t="s">
        <v>41</v>
      </c>
      <c r="B31" s="12">
        <v>58.01</v>
      </c>
      <c r="C31" s="13">
        <v>308.39999999999998</v>
      </c>
      <c r="D31" s="13">
        <v>16942.599999999999</v>
      </c>
      <c r="E31" s="13">
        <v>4702.5</v>
      </c>
      <c r="F31" s="12">
        <v>11</v>
      </c>
      <c r="G31" s="12">
        <v>681</v>
      </c>
      <c r="H31" s="13">
        <v>20776.099999999999</v>
      </c>
      <c r="I31" s="12">
        <v>23.62</v>
      </c>
      <c r="J31" s="17" t="s">
        <v>26</v>
      </c>
      <c r="K31" s="13">
        <v>12725</v>
      </c>
      <c r="L31" s="13">
        <v>6724</v>
      </c>
      <c r="M31" s="13">
        <v>5219.5</v>
      </c>
      <c r="N31" s="12">
        <v>12.12</v>
      </c>
      <c r="O31" s="12">
        <v>8506.34</v>
      </c>
      <c r="P31" s="12">
        <v>4996.6400000000003</v>
      </c>
      <c r="Q31" s="12">
        <v>7.09</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44F8C-F9B7-4107-8043-8F4490AF3AA3}">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47</v>
      </c>
      <c r="B8" s="4" t="s">
        <v>3</v>
      </c>
    </row>
    <row r="9" spans="1:255" x14ac:dyDescent="0.2">
      <c r="A9" s="3" t="s">
        <v>48</v>
      </c>
      <c r="B9" s="4" t="s">
        <v>5</v>
      </c>
    </row>
    <row r="10" spans="1:255" x14ac:dyDescent="0.2">
      <c r="A10" s="3" t="s">
        <v>49</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2.7</v>
      </c>
      <c r="H15" s="19">
        <v>5.52</v>
      </c>
      <c r="I15" s="19">
        <v>9.7100000000000009</v>
      </c>
    </row>
    <row r="16" spans="1:255" ht="12" customHeight="1" x14ac:dyDescent="0.2">
      <c r="A16" s="7" t="s">
        <v>27</v>
      </c>
      <c r="B16" s="14" t="s">
        <v>26</v>
      </c>
      <c r="C16" s="14" t="s">
        <v>26</v>
      </c>
      <c r="D16" s="14" t="s">
        <v>26</v>
      </c>
      <c r="E16" s="14" t="s">
        <v>26</v>
      </c>
      <c r="F16" s="14" t="s">
        <v>26</v>
      </c>
      <c r="G16" s="19">
        <v>2.85</v>
      </c>
      <c r="H16" s="19">
        <v>5.29</v>
      </c>
      <c r="I16" s="19">
        <v>9.7200000000000006</v>
      </c>
    </row>
    <row r="17" spans="1:9" ht="12" customHeight="1" x14ac:dyDescent="0.2">
      <c r="A17" s="7" t="s">
        <v>28</v>
      </c>
      <c r="B17" s="14" t="s">
        <v>26</v>
      </c>
      <c r="C17" s="14" t="s">
        <v>26</v>
      </c>
      <c r="D17" s="14" t="s">
        <v>26</v>
      </c>
      <c r="E17" s="14" t="s">
        <v>26</v>
      </c>
      <c r="F17" s="14" t="s">
        <v>26</v>
      </c>
      <c r="G17" s="14" t="s">
        <v>26</v>
      </c>
      <c r="H17" s="14" t="s">
        <v>26</v>
      </c>
      <c r="I17" s="14" t="s">
        <v>26</v>
      </c>
    </row>
    <row r="18" spans="1:9" ht="12" customHeight="1" x14ac:dyDescent="0.2">
      <c r="A18" s="7" t="s">
        <v>29</v>
      </c>
      <c r="B18" s="14" t="s">
        <v>26</v>
      </c>
      <c r="C18" s="14" t="s">
        <v>26</v>
      </c>
      <c r="D18" s="14" t="s">
        <v>26</v>
      </c>
      <c r="E18" s="14" t="s">
        <v>26</v>
      </c>
      <c r="F18" s="14" t="s">
        <v>26</v>
      </c>
      <c r="G18" s="19">
        <v>2.1</v>
      </c>
      <c r="H18" s="19">
        <v>3.24</v>
      </c>
      <c r="I18" s="19">
        <v>6.08</v>
      </c>
    </row>
    <row r="19" spans="1:9" ht="12" customHeight="1" x14ac:dyDescent="0.2">
      <c r="A19" s="7" t="s">
        <v>30</v>
      </c>
      <c r="B19" s="14" t="s">
        <v>26</v>
      </c>
      <c r="C19" s="14" t="s">
        <v>26</v>
      </c>
      <c r="D19" s="14" t="s">
        <v>26</v>
      </c>
      <c r="E19" s="14" t="s">
        <v>26</v>
      </c>
      <c r="F19" s="14" t="s">
        <v>26</v>
      </c>
      <c r="G19" s="19">
        <v>3.28</v>
      </c>
      <c r="H19" s="19">
        <v>5.26</v>
      </c>
      <c r="I19" s="19">
        <v>16.170000000000002</v>
      </c>
    </row>
    <row r="20" spans="1:9" ht="12" customHeight="1" x14ac:dyDescent="0.2">
      <c r="A20" s="7" t="s">
        <v>31</v>
      </c>
      <c r="B20" s="14" t="s">
        <v>26</v>
      </c>
      <c r="C20" s="14" t="s">
        <v>26</v>
      </c>
      <c r="D20" s="14" t="s">
        <v>26</v>
      </c>
      <c r="E20" s="14" t="s">
        <v>26</v>
      </c>
      <c r="F20" s="14" t="s">
        <v>26</v>
      </c>
      <c r="G20" s="19">
        <v>1.2</v>
      </c>
      <c r="H20" s="19">
        <v>3.05</v>
      </c>
      <c r="I20" s="19">
        <v>4.17</v>
      </c>
    </row>
    <row r="21" spans="1:9" ht="12" customHeight="1" x14ac:dyDescent="0.2">
      <c r="A21" s="7" t="s">
        <v>32</v>
      </c>
      <c r="B21" s="14" t="s">
        <v>26</v>
      </c>
      <c r="C21" s="14" t="s">
        <v>26</v>
      </c>
      <c r="D21" s="14" t="s">
        <v>26</v>
      </c>
      <c r="E21" s="14" t="s">
        <v>26</v>
      </c>
      <c r="F21" s="14" t="s">
        <v>26</v>
      </c>
      <c r="G21" s="19">
        <v>4.67</v>
      </c>
      <c r="H21" s="14" t="s">
        <v>26</v>
      </c>
      <c r="I21" s="14" t="s">
        <v>26</v>
      </c>
    </row>
    <row r="22" spans="1:9" ht="12" customHeight="1" x14ac:dyDescent="0.2">
      <c r="A22" s="7" t="s">
        <v>33</v>
      </c>
      <c r="B22" s="14" t="s">
        <v>26</v>
      </c>
      <c r="C22" s="14" t="s">
        <v>26</v>
      </c>
      <c r="D22" s="14" t="s">
        <v>26</v>
      </c>
      <c r="E22" s="14" t="s">
        <v>26</v>
      </c>
      <c r="F22" s="14" t="s">
        <v>26</v>
      </c>
      <c r="G22" s="19">
        <v>2.93</v>
      </c>
      <c r="H22" s="19">
        <v>4.4400000000000004</v>
      </c>
      <c r="I22" s="19">
        <v>8.06</v>
      </c>
    </row>
    <row r="23" spans="1:9" ht="12" customHeight="1" x14ac:dyDescent="0.2">
      <c r="A23" s="7" t="s">
        <v>34</v>
      </c>
      <c r="B23" s="14" t="s">
        <v>26</v>
      </c>
      <c r="C23" s="14" t="s">
        <v>26</v>
      </c>
      <c r="D23" s="14" t="s">
        <v>26</v>
      </c>
      <c r="E23" s="14" t="s">
        <v>26</v>
      </c>
      <c r="F23" s="14" t="s">
        <v>26</v>
      </c>
      <c r="G23" s="19">
        <v>3.53</v>
      </c>
      <c r="H23" s="19">
        <v>5.01</v>
      </c>
      <c r="I23" s="19">
        <v>10.54</v>
      </c>
    </row>
    <row r="24" spans="1:9" ht="12" customHeight="1" x14ac:dyDescent="0.2">
      <c r="A24" s="7" t="s">
        <v>35</v>
      </c>
      <c r="B24" s="14" t="s">
        <v>26</v>
      </c>
      <c r="C24" s="14" t="s">
        <v>26</v>
      </c>
      <c r="D24" s="14" t="s">
        <v>26</v>
      </c>
      <c r="E24" s="14" t="s">
        <v>26</v>
      </c>
      <c r="F24" s="14" t="s">
        <v>26</v>
      </c>
      <c r="G24" s="19">
        <v>3.76</v>
      </c>
      <c r="H24" s="19">
        <v>4.92</v>
      </c>
      <c r="I24" s="19">
        <v>6.89</v>
      </c>
    </row>
    <row r="25" spans="1:9" x14ac:dyDescent="0.2">
      <c r="A25" s="7" t="s">
        <v>36</v>
      </c>
      <c r="B25" s="14" t="s">
        <v>26</v>
      </c>
      <c r="C25" s="14" t="s">
        <v>26</v>
      </c>
      <c r="D25" s="14" t="s">
        <v>26</v>
      </c>
      <c r="E25" s="14" t="s">
        <v>26</v>
      </c>
      <c r="F25" s="14" t="s">
        <v>26</v>
      </c>
      <c r="G25" s="19">
        <v>2.41</v>
      </c>
      <c r="H25" s="19">
        <v>4.72</v>
      </c>
      <c r="I25" s="19">
        <v>7.94</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4" t="s">
        <v>26</v>
      </c>
      <c r="C28" s="14" t="s">
        <v>26</v>
      </c>
      <c r="D28" s="14" t="s">
        <v>26</v>
      </c>
      <c r="E28" s="14" t="s">
        <v>26</v>
      </c>
      <c r="F28" s="14" t="s">
        <v>26</v>
      </c>
      <c r="G28" s="19">
        <v>4.67</v>
      </c>
      <c r="H28" s="19">
        <v>5.52</v>
      </c>
      <c r="I28" s="19">
        <v>16.170000000000002</v>
      </c>
    </row>
    <row r="29" spans="1:9" x14ac:dyDescent="0.2">
      <c r="A29" s="7" t="s">
        <v>39</v>
      </c>
      <c r="B29" s="14" t="s">
        <v>26</v>
      </c>
      <c r="C29" s="14" t="s">
        <v>26</v>
      </c>
      <c r="D29" s="14" t="s">
        <v>26</v>
      </c>
      <c r="E29" s="14" t="s">
        <v>26</v>
      </c>
      <c r="F29" s="14" t="s">
        <v>26</v>
      </c>
      <c r="G29" s="19">
        <v>1.2</v>
      </c>
      <c r="H29" s="19">
        <v>3.05</v>
      </c>
      <c r="I29" s="19">
        <v>4.17</v>
      </c>
    </row>
    <row r="30" spans="1:9" x14ac:dyDescent="0.2">
      <c r="A30" s="7" t="s">
        <v>40</v>
      </c>
      <c r="B30" s="14" t="s">
        <v>26</v>
      </c>
      <c r="C30" s="14" t="s">
        <v>26</v>
      </c>
      <c r="D30" s="14" t="s">
        <v>26</v>
      </c>
      <c r="E30" s="14" t="s">
        <v>26</v>
      </c>
      <c r="F30" s="14" t="s">
        <v>26</v>
      </c>
      <c r="G30" s="19">
        <v>3</v>
      </c>
      <c r="H30" s="19">
        <v>4.59</v>
      </c>
      <c r="I30" s="19">
        <v>8.92</v>
      </c>
    </row>
    <row r="31" spans="1:9" x14ac:dyDescent="0.2">
      <c r="A31" s="7" t="s">
        <v>41</v>
      </c>
      <c r="B31" s="14" t="s">
        <v>26</v>
      </c>
      <c r="C31" s="14" t="s">
        <v>26</v>
      </c>
      <c r="D31" s="14" t="s">
        <v>26</v>
      </c>
      <c r="E31" s="14" t="s">
        <v>26</v>
      </c>
      <c r="F31" s="14" t="s">
        <v>26</v>
      </c>
      <c r="G31" s="19">
        <v>2.93</v>
      </c>
      <c r="H31" s="19">
        <v>4.96</v>
      </c>
      <c r="I31" s="19">
        <v>8.89</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3DFBB-CA2B-4543-9E1B-B1AD036C5510}">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58</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59</v>
      </c>
      <c r="B8" s="4" t="s">
        <v>3</v>
      </c>
    </row>
    <row r="9" spans="1:255" x14ac:dyDescent="0.2">
      <c r="A9" s="3" t="s">
        <v>60</v>
      </c>
      <c r="B9" s="4" t="s">
        <v>5</v>
      </c>
    </row>
    <row r="10" spans="1:255" x14ac:dyDescent="0.2">
      <c r="A10" s="3" t="s">
        <v>61</v>
      </c>
      <c r="B10" s="5">
        <v>45043</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20">
        <v>0.54100000000000004</v>
      </c>
      <c r="C15" s="20">
        <v>0.51</v>
      </c>
      <c r="D15" s="20">
        <v>0.39600000000000002</v>
      </c>
      <c r="E15" s="21">
        <v>0.30909999999999999</v>
      </c>
      <c r="F15" s="21">
        <v>8.9800000000000005E-2</v>
      </c>
      <c r="G15" s="21">
        <v>0.26690000000000003</v>
      </c>
      <c r="H15" s="21">
        <v>0.38329999999999997</v>
      </c>
      <c r="I15" s="21">
        <v>0.68169999999999997</v>
      </c>
      <c r="J15" s="21">
        <v>0.2238</v>
      </c>
      <c r="K15" s="22">
        <v>0.5</v>
      </c>
      <c r="L15" s="21">
        <v>6.7000000000000002E-3</v>
      </c>
      <c r="M15" s="12">
        <v>1.45</v>
      </c>
    </row>
    <row r="16" spans="1:255" ht="12" customHeight="1" x14ac:dyDescent="0.2">
      <c r="A16" s="7" t="s">
        <v>27</v>
      </c>
      <c r="B16" s="20">
        <v>0.68</v>
      </c>
      <c r="C16" s="20">
        <v>0.46600000000000003</v>
      </c>
      <c r="D16" s="20">
        <v>0.33500000000000002</v>
      </c>
      <c r="E16" s="21">
        <v>0.26200000000000001</v>
      </c>
      <c r="F16" s="21">
        <v>0.49719999999999998</v>
      </c>
      <c r="G16" s="21">
        <v>0.36559999999999998</v>
      </c>
      <c r="H16" s="21">
        <v>0.62190000000000001</v>
      </c>
      <c r="I16" s="21">
        <v>0.66359999999999997</v>
      </c>
      <c r="J16" s="21">
        <v>0.1938</v>
      </c>
      <c r="K16" s="22">
        <v>0.4</v>
      </c>
      <c r="L16" s="21">
        <v>7.8799999999999995E-2</v>
      </c>
      <c r="M16" s="12">
        <v>1.54</v>
      </c>
    </row>
    <row r="17" spans="1:13" ht="12" customHeight="1" x14ac:dyDescent="0.2">
      <c r="A17" s="7" t="s">
        <v>28</v>
      </c>
      <c r="B17" s="20">
        <v>0.58699999999999997</v>
      </c>
      <c r="C17" s="20">
        <v>0.56000000000000005</v>
      </c>
      <c r="D17" s="20">
        <v>0.47499999999999998</v>
      </c>
      <c r="E17" s="21">
        <v>0.45590000000000003</v>
      </c>
      <c r="F17" s="21">
        <v>0.66049999999999998</v>
      </c>
      <c r="G17" s="14" t="s">
        <v>26</v>
      </c>
      <c r="H17" s="14" t="s">
        <v>26</v>
      </c>
      <c r="I17" s="14" t="s">
        <v>26</v>
      </c>
      <c r="J17" s="21">
        <v>0.39629999999999999</v>
      </c>
      <c r="K17" s="22">
        <v>0.5</v>
      </c>
      <c r="L17" s="21">
        <v>-0.1474</v>
      </c>
      <c r="M17" s="12">
        <v>1.31</v>
      </c>
    </row>
    <row r="18" spans="1:13" ht="12" customHeight="1" x14ac:dyDescent="0.2">
      <c r="A18" s="7" t="s">
        <v>29</v>
      </c>
      <c r="B18" s="20">
        <v>0.69699999999999995</v>
      </c>
      <c r="C18" s="20">
        <v>0.59599999999999997</v>
      </c>
      <c r="D18" s="20">
        <v>0.47099999999999997</v>
      </c>
      <c r="E18" s="21">
        <v>0.3352</v>
      </c>
      <c r="F18" s="21">
        <v>0.36570000000000003</v>
      </c>
      <c r="G18" s="21">
        <v>0.48909999999999998</v>
      </c>
      <c r="H18" s="21">
        <v>0.78920000000000001</v>
      </c>
      <c r="I18" s="21">
        <v>2.7759999999999998</v>
      </c>
      <c r="J18" s="21">
        <v>0.8105</v>
      </c>
      <c r="K18" s="22">
        <v>0.9</v>
      </c>
      <c r="L18" s="21">
        <v>-0.03</v>
      </c>
      <c r="M18" s="12">
        <v>3.53</v>
      </c>
    </row>
    <row r="19" spans="1:13" ht="12" customHeight="1" x14ac:dyDescent="0.2">
      <c r="A19" s="7" t="s">
        <v>30</v>
      </c>
      <c r="B19" s="20">
        <v>0.57599999999999996</v>
      </c>
      <c r="C19" s="20">
        <v>0.374</v>
      </c>
      <c r="D19" s="20">
        <v>0.25</v>
      </c>
      <c r="E19" s="21">
        <v>0.34949999999999998</v>
      </c>
      <c r="F19" s="21">
        <v>0.93440000000000001</v>
      </c>
      <c r="G19" s="21">
        <v>1.9258</v>
      </c>
      <c r="H19" s="21">
        <v>3.3210999999999999</v>
      </c>
      <c r="I19" s="21">
        <v>-0.22</v>
      </c>
      <c r="J19" s="21">
        <v>0.26040000000000002</v>
      </c>
      <c r="K19" s="22">
        <v>0.6</v>
      </c>
      <c r="L19" s="21">
        <v>-0.05</v>
      </c>
      <c r="M19" s="12">
        <v>0.62</v>
      </c>
    </row>
    <row r="20" spans="1:13" ht="12" customHeight="1" x14ac:dyDescent="0.2">
      <c r="A20" s="7" t="s">
        <v>31</v>
      </c>
      <c r="B20" s="20">
        <v>0.51</v>
      </c>
      <c r="C20" s="20">
        <v>0.35</v>
      </c>
      <c r="D20" s="20">
        <v>0.27</v>
      </c>
      <c r="E20" s="21">
        <v>0.255</v>
      </c>
      <c r="F20" s="21">
        <v>0.36249999999999999</v>
      </c>
      <c r="G20" s="21">
        <v>0.8135</v>
      </c>
      <c r="H20" s="21">
        <v>1.5067999999999999</v>
      </c>
      <c r="I20" s="21">
        <v>1.5685</v>
      </c>
      <c r="J20" s="21">
        <v>0.36880000000000002</v>
      </c>
      <c r="K20" s="22">
        <v>0.9</v>
      </c>
      <c r="L20" s="21">
        <v>0.29289999999999999</v>
      </c>
      <c r="M20" s="12">
        <v>3.58</v>
      </c>
    </row>
    <row r="21" spans="1:13" ht="12" customHeight="1" x14ac:dyDescent="0.2">
      <c r="A21" s="7" t="s">
        <v>32</v>
      </c>
      <c r="B21" s="20">
        <v>0.71299999999999997</v>
      </c>
      <c r="C21" s="20">
        <v>0.50700000000000001</v>
      </c>
      <c r="D21" s="20">
        <v>0.34100000000000003</v>
      </c>
      <c r="E21" s="21">
        <v>0.17879999999999999</v>
      </c>
      <c r="F21" s="21">
        <v>0.47260000000000002</v>
      </c>
      <c r="G21" s="21">
        <v>0.5696</v>
      </c>
      <c r="H21" s="21">
        <v>0.78390000000000004</v>
      </c>
      <c r="I21" s="21">
        <v>1.7969999999999999</v>
      </c>
      <c r="J21" s="21">
        <v>0.51390000000000002</v>
      </c>
      <c r="K21" s="22">
        <v>1.5</v>
      </c>
      <c r="L21" s="21">
        <v>7.0000000000000007E-2</v>
      </c>
      <c r="M21" s="12">
        <v>1.58</v>
      </c>
    </row>
    <row r="22" spans="1:13" ht="12" customHeight="1" x14ac:dyDescent="0.2">
      <c r="A22" s="7" t="s">
        <v>33</v>
      </c>
      <c r="B22" s="20">
        <v>0.81200000000000006</v>
      </c>
      <c r="C22" s="20">
        <v>0.68899999999999995</v>
      </c>
      <c r="D22" s="20">
        <v>0.44900000000000001</v>
      </c>
      <c r="E22" s="21">
        <v>0.4768</v>
      </c>
      <c r="F22" s="21">
        <v>0.3488</v>
      </c>
      <c r="G22" s="21">
        <v>0.5766</v>
      </c>
      <c r="H22" s="21">
        <v>1.9531000000000001</v>
      </c>
      <c r="I22" s="21">
        <v>2.8182</v>
      </c>
      <c r="J22" s="21">
        <v>0.34760000000000002</v>
      </c>
      <c r="K22" s="22">
        <v>1.1000000000000001</v>
      </c>
      <c r="L22" s="21">
        <v>0.04</v>
      </c>
      <c r="M22" s="12">
        <v>2.4</v>
      </c>
    </row>
    <row r="23" spans="1:13" ht="12" customHeight="1" x14ac:dyDescent="0.2">
      <c r="A23" s="7" t="s">
        <v>34</v>
      </c>
      <c r="B23" s="20">
        <v>0.84399999999999997</v>
      </c>
      <c r="C23" s="20">
        <v>0.76400000000000001</v>
      </c>
      <c r="D23" s="20">
        <v>0.58299999999999996</v>
      </c>
      <c r="E23" s="21">
        <v>0.4491</v>
      </c>
      <c r="F23" s="21">
        <v>1.6242000000000001</v>
      </c>
      <c r="G23" s="21">
        <v>1.9235</v>
      </c>
      <c r="H23" s="21">
        <v>2.1573000000000002</v>
      </c>
      <c r="I23" s="21">
        <v>2.5104000000000002</v>
      </c>
      <c r="J23" s="21">
        <v>0.17019999999999999</v>
      </c>
      <c r="K23" s="22">
        <v>0.4</v>
      </c>
      <c r="L23" s="21">
        <v>0.5504</v>
      </c>
      <c r="M23" s="12">
        <v>0.23</v>
      </c>
    </row>
    <row r="24" spans="1:13" ht="12" customHeight="1" x14ac:dyDescent="0.2">
      <c r="A24" s="7" t="s">
        <v>35</v>
      </c>
      <c r="B24" s="20">
        <v>0.9</v>
      </c>
      <c r="C24" s="20">
        <v>0.80800000000000005</v>
      </c>
      <c r="D24" s="20">
        <v>0.66</v>
      </c>
      <c r="E24" s="21">
        <v>0.4829</v>
      </c>
      <c r="F24" s="21">
        <v>0.41970000000000002</v>
      </c>
      <c r="G24" s="21">
        <v>0.67689999999999995</v>
      </c>
      <c r="H24" s="21">
        <v>0.93289999999999995</v>
      </c>
      <c r="I24" s="21">
        <v>1.0101</v>
      </c>
      <c r="J24" s="21">
        <v>0.29099999999999998</v>
      </c>
      <c r="K24" s="22">
        <v>0.9</v>
      </c>
      <c r="L24" s="21">
        <v>-4.4999999999999998E-2</v>
      </c>
      <c r="M24" s="12">
        <v>2.0299999999999998</v>
      </c>
    </row>
    <row r="25" spans="1:13" x14ac:dyDescent="0.2">
      <c r="A25" s="7" t="s">
        <v>36</v>
      </c>
      <c r="B25" s="20">
        <v>0.6</v>
      </c>
      <c r="C25" s="20">
        <v>0.54500000000000004</v>
      </c>
      <c r="D25" s="20">
        <v>0.42499999999999999</v>
      </c>
      <c r="E25" s="21">
        <v>0.31869999999999998</v>
      </c>
      <c r="F25" s="21">
        <v>0.43880000000000002</v>
      </c>
      <c r="G25" s="21">
        <v>0.86670000000000003</v>
      </c>
      <c r="H25" s="21">
        <v>1.4177999999999999</v>
      </c>
      <c r="I25" s="21">
        <v>1.1383000000000001</v>
      </c>
      <c r="J25" s="21">
        <v>0.37290000000000001</v>
      </c>
      <c r="K25" s="22">
        <v>0.7</v>
      </c>
      <c r="L25" s="21">
        <v>0.05</v>
      </c>
      <c r="M25" s="12">
        <v>2.36</v>
      </c>
    </row>
    <row r="26" spans="1:13"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x14ac:dyDescent="0.2">
      <c r="A28" s="7" t="s">
        <v>38</v>
      </c>
      <c r="B28" s="20">
        <v>0.9</v>
      </c>
      <c r="C28" s="20">
        <v>0.80800000000000005</v>
      </c>
      <c r="D28" s="20">
        <v>0.66</v>
      </c>
      <c r="E28" s="21">
        <v>0.4829</v>
      </c>
      <c r="F28" s="21">
        <v>1.6242000000000001</v>
      </c>
      <c r="G28" s="21">
        <v>1.9258</v>
      </c>
      <c r="H28" s="21">
        <v>3.3210999999999999</v>
      </c>
      <c r="I28" s="21">
        <v>2.8182</v>
      </c>
      <c r="J28" s="21">
        <v>0.8105</v>
      </c>
      <c r="K28" s="22">
        <v>1.5</v>
      </c>
      <c r="L28" s="21">
        <v>0.5504</v>
      </c>
      <c r="M28" s="12">
        <v>3.58</v>
      </c>
    </row>
    <row r="29" spans="1:13" x14ac:dyDescent="0.2">
      <c r="A29" s="7" t="s">
        <v>39</v>
      </c>
      <c r="B29" s="20">
        <v>0.51</v>
      </c>
      <c r="C29" s="20">
        <v>0.35</v>
      </c>
      <c r="D29" s="20">
        <v>0.25</v>
      </c>
      <c r="E29" s="21">
        <v>0.17879999999999999</v>
      </c>
      <c r="F29" s="21">
        <v>8.9800000000000005E-2</v>
      </c>
      <c r="G29" s="21">
        <v>0.26690000000000003</v>
      </c>
      <c r="H29" s="21">
        <v>0.38329999999999997</v>
      </c>
      <c r="I29" s="21">
        <v>-0.22</v>
      </c>
      <c r="J29" s="21">
        <v>0.17019999999999999</v>
      </c>
      <c r="K29" s="22">
        <v>0.4</v>
      </c>
      <c r="L29" s="21">
        <v>-0.1474</v>
      </c>
      <c r="M29" s="12">
        <v>0.23</v>
      </c>
    </row>
    <row r="30" spans="1:13" x14ac:dyDescent="0.2">
      <c r="A30" s="7" t="s">
        <v>40</v>
      </c>
      <c r="B30" s="20">
        <v>0.68600000000000005</v>
      </c>
      <c r="C30" s="20">
        <v>0.56200000000000006</v>
      </c>
      <c r="D30" s="20">
        <v>0.42299999999999999</v>
      </c>
      <c r="E30" s="21">
        <v>0.35539999999999999</v>
      </c>
      <c r="F30" s="21">
        <v>0.57750000000000001</v>
      </c>
      <c r="G30" s="21">
        <v>0.84530000000000005</v>
      </c>
      <c r="H30" s="21">
        <v>1.3833</v>
      </c>
      <c r="I30" s="21">
        <v>1.5117</v>
      </c>
      <c r="J30" s="21">
        <v>0.35770000000000002</v>
      </c>
      <c r="K30" s="22">
        <v>0.8</v>
      </c>
      <c r="L30" s="21">
        <v>7.6600000000000001E-2</v>
      </c>
      <c r="M30" s="12">
        <v>1.83</v>
      </c>
    </row>
    <row r="31" spans="1:13" x14ac:dyDescent="0.2">
      <c r="A31" s="7" t="s">
        <v>41</v>
      </c>
      <c r="B31" s="20">
        <v>0.68799999999999994</v>
      </c>
      <c r="C31" s="20">
        <v>0.53500000000000003</v>
      </c>
      <c r="D31" s="20">
        <v>0.42199999999999999</v>
      </c>
      <c r="E31" s="21">
        <v>0.34239999999999998</v>
      </c>
      <c r="F31" s="21">
        <v>0.4461</v>
      </c>
      <c r="G31" s="21">
        <v>0.5766</v>
      </c>
      <c r="H31" s="21">
        <v>0.93289999999999995</v>
      </c>
      <c r="I31" s="21">
        <v>1.5685</v>
      </c>
      <c r="J31" s="21">
        <v>0.31929999999999997</v>
      </c>
      <c r="K31" s="22">
        <v>0.7</v>
      </c>
      <c r="L31" s="21">
        <v>2.3300000000000001E-2</v>
      </c>
      <c r="M31" s="12">
        <v>1.56</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CED78-3670-4FA9-B569-FA2F56E64005}">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74</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75</v>
      </c>
      <c r="B8" s="4" t="s">
        <v>3</v>
      </c>
    </row>
    <row r="9" spans="1:255" x14ac:dyDescent="0.2">
      <c r="A9" s="3" t="s">
        <v>76</v>
      </c>
      <c r="B9" s="4" t="s">
        <v>5</v>
      </c>
    </row>
    <row r="10" spans="1:255" x14ac:dyDescent="0.2">
      <c r="A10" s="3" t="s">
        <v>77</v>
      </c>
      <c r="B10" s="5">
        <v>45043</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7" t="s">
        <v>8</v>
      </c>
      <c r="B14" s="7" t="s">
        <v>78</v>
      </c>
      <c r="C14" s="7" t="s">
        <v>79</v>
      </c>
    </row>
    <row r="15" spans="1:255" ht="12" customHeight="1" x14ac:dyDescent="0.2">
      <c r="A15" s="7" t="s">
        <v>25</v>
      </c>
      <c r="B15" s="23" t="s">
        <v>80</v>
      </c>
      <c r="C15" s="23" t="s">
        <v>81</v>
      </c>
    </row>
    <row r="16" spans="1:255" ht="12" customHeight="1" x14ac:dyDescent="0.2">
      <c r="A16" s="7" t="s">
        <v>27</v>
      </c>
      <c r="B16" s="23" t="s">
        <v>82</v>
      </c>
      <c r="C16" s="23" t="s">
        <v>83</v>
      </c>
    </row>
    <row r="17" spans="1:3" ht="12" customHeight="1" x14ac:dyDescent="0.2">
      <c r="A17" s="7" t="s">
        <v>28</v>
      </c>
      <c r="B17" s="23" t="s">
        <v>84</v>
      </c>
      <c r="C17" s="23" t="s">
        <v>85</v>
      </c>
    </row>
    <row r="18" spans="1:3" ht="12" customHeight="1" x14ac:dyDescent="0.2">
      <c r="A18" s="7" t="s">
        <v>29</v>
      </c>
      <c r="B18" s="23" t="s">
        <v>86</v>
      </c>
      <c r="C18" s="23" t="s">
        <v>87</v>
      </c>
    </row>
    <row r="19" spans="1:3" ht="12" customHeight="1" x14ac:dyDescent="0.2">
      <c r="A19" s="7" t="s">
        <v>30</v>
      </c>
      <c r="B19" s="23" t="s">
        <v>88</v>
      </c>
      <c r="C19" s="23" t="s">
        <v>89</v>
      </c>
    </row>
    <row r="20" spans="1:3" ht="12" customHeight="1" x14ac:dyDescent="0.2">
      <c r="A20" s="7" t="s">
        <v>31</v>
      </c>
      <c r="B20" s="23" t="s">
        <v>90</v>
      </c>
      <c r="C20" s="23" t="s">
        <v>91</v>
      </c>
    </row>
    <row r="21" spans="1:3" ht="12" customHeight="1" x14ac:dyDescent="0.2">
      <c r="A21" s="7" t="s">
        <v>32</v>
      </c>
      <c r="B21" s="23" t="s">
        <v>92</v>
      </c>
      <c r="C21" s="23" t="s">
        <v>93</v>
      </c>
    </row>
    <row r="22" spans="1:3" ht="12" customHeight="1" x14ac:dyDescent="0.2">
      <c r="A22" s="7" t="s">
        <v>33</v>
      </c>
      <c r="B22" s="23" t="s">
        <v>94</v>
      </c>
      <c r="C22" s="23" t="s">
        <v>95</v>
      </c>
    </row>
    <row r="23" spans="1:3" ht="12" customHeight="1" x14ac:dyDescent="0.2">
      <c r="A23" s="7" t="s">
        <v>34</v>
      </c>
      <c r="B23" s="23" t="s">
        <v>96</v>
      </c>
      <c r="C23" s="23" t="s">
        <v>97</v>
      </c>
    </row>
    <row r="24" spans="1:3" ht="12" customHeight="1" x14ac:dyDescent="0.2">
      <c r="A24" s="7" t="s">
        <v>35</v>
      </c>
      <c r="B24" s="23" t="s">
        <v>98</v>
      </c>
      <c r="C24" s="23" t="s">
        <v>99</v>
      </c>
    </row>
    <row r="25" spans="1:3" x14ac:dyDescent="0.2">
      <c r="A25" s="8"/>
      <c r="B25" s="8"/>
      <c r="C25" s="8"/>
    </row>
    <row r="26" spans="1:3" x14ac:dyDescent="0.2">
      <c r="A26" s="9"/>
      <c r="B26" s="9"/>
      <c r="C26" s="9"/>
    </row>
    <row r="27" spans="1:3" ht="12" customHeight="1" x14ac:dyDescent="0.2">
      <c r="A27" s="7" t="s">
        <v>36</v>
      </c>
      <c r="B27" s="23" t="s">
        <v>100</v>
      </c>
      <c r="C27" s="23" t="s">
        <v>101</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A0B4-E0AC-4752-B1DF-F2A14563774F}">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102</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103</v>
      </c>
      <c r="B8" s="4" t="s">
        <v>3</v>
      </c>
    </row>
    <row r="9" spans="1:255" x14ac:dyDescent="0.2">
      <c r="A9" s="3" t="s">
        <v>104</v>
      </c>
      <c r="B9" s="4" t="s">
        <v>5</v>
      </c>
    </row>
    <row r="10" spans="1:255" x14ac:dyDescent="0.2">
      <c r="A10" s="3" t="s">
        <v>105</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9" t="s">
        <v>8</v>
      </c>
      <c r="B14" s="11" t="s">
        <v>18</v>
      </c>
      <c r="C14" s="11" t="s">
        <v>19</v>
      </c>
      <c r="D14" s="11" t="s">
        <v>20</v>
      </c>
      <c r="E14" s="11" t="s">
        <v>22</v>
      </c>
      <c r="F14" s="11" t="s">
        <v>23</v>
      </c>
      <c r="G14" s="11" t="s">
        <v>106</v>
      </c>
      <c r="H14" s="11" t="s">
        <v>24</v>
      </c>
      <c r="I14" s="11" t="s">
        <v>16</v>
      </c>
    </row>
    <row r="15" spans="1:255" ht="12" customHeight="1" x14ac:dyDescent="0.2">
      <c r="A15" s="7" t="s">
        <v>36</v>
      </c>
      <c r="B15" s="13">
        <v>18873</v>
      </c>
      <c r="C15" s="13">
        <v>10280</v>
      </c>
      <c r="D15" s="13">
        <v>8020</v>
      </c>
      <c r="E15" s="12">
        <v>16241.76</v>
      </c>
      <c r="F15" s="12">
        <v>8293.56</v>
      </c>
      <c r="G15" s="12">
        <v>9.15</v>
      </c>
      <c r="H15" s="12">
        <v>6.58</v>
      </c>
      <c r="I15" s="12">
        <v>15.95</v>
      </c>
    </row>
    <row r="16" spans="1:255" x14ac:dyDescent="0.2">
      <c r="A16" s="8"/>
      <c r="B16" s="8"/>
      <c r="C16" s="8"/>
      <c r="D16" s="8"/>
      <c r="E16" s="8"/>
      <c r="F16" s="8"/>
      <c r="G16" s="8"/>
      <c r="H16" s="8"/>
      <c r="I16" s="8"/>
    </row>
    <row r="17" spans="1:9" x14ac:dyDescent="0.2">
      <c r="A17" s="9"/>
      <c r="B17" s="9" t="s">
        <v>107</v>
      </c>
      <c r="C17" s="9" t="s">
        <v>107</v>
      </c>
      <c r="D17" s="9" t="s">
        <v>107</v>
      </c>
      <c r="E17" s="9" t="s">
        <v>108</v>
      </c>
      <c r="F17" s="9" t="s">
        <v>107</v>
      </c>
      <c r="G17" s="9" t="s">
        <v>107</v>
      </c>
      <c r="H17" s="9" t="s">
        <v>109</v>
      </c>
      <c r="I17" s="9" t="s">
        <v>107</v>
      </c>
    </row>
    <row r="18" spans="1:9" ht="20.399999999999999" x14ac:dyDescent="0.2">
      <c r="A18" s="9"/>
      <c r="B18" s="11" t="s">
        <v>50</v>
      </c>
      <c r="C18" s="11" t="s">
        <v>51</v>
      </c>
      <c r="D18" s="11" t="s">
        <v>52</v>
      </c>
      <c r="E18" s="11" t="s">
        <v>110</v>
      </c>
      <c r="F18" s="11" t="s">
        <v>111</v>
      </c>
      <c r="G18" s="11" t="s">
        <v>53</v>
      </c>
      <c r="H18" s="11" t="s">
        <v>112</v>
      </c>
      <c r="I18" s="11" t="s">
        <v>54</v>
      </c>
    </row>
    <row r="19" spans="1:9" x14ac:dyDescent="0.2">
      <c r="A19" s="9" t="s">
        <v>38</v>
      </c>
      <c r="B19" s="14" t="s">
        <v>113</v>
      </c>
      <c r="C19" s="14" t="s">
        <v>113</v>
      </c>
      <c r="D19" s="14" t="s">
        <v>113</v>
      </c>
      <c r="E19" s="19">
        <v>4.67</v>
      </c>
      <c r="F19" s="19">
        <v>5.52</v>
      </c>
      <c r="G19" s="14" t="s">
        <v>113</v>
      </c>
      <c r="H19" s="19">
        <v>16.170000000000002</v>
      </c>
      <c r="I19" s="14" t="s">
        <v>113</v>
      </c>
    </row>
    <row r="20" spans="1:9" x14ac:dyDescent="0.2">
      <c r="A20" s="9" t="s">
        <v>39</v>
      </c>
      <c r="B20" s="14" t="s">
        <v>113</v>
      </c>
      <c r="C20" s="14" t="s">
        <v>113</v>
      </c>
      <c r="D20" s="14" t="s">
        <v>113</v>
      </c>
      <c r="E20" s="19">
        <v>1.2</v>
      </c>
      <c r="F20" s="19">
        <v>3.05</v>
      </c>
      <c r="G20" s="14" t="s">
        <v>113</v>
      </c>
      <c r="H20" s="19">
        <v>4.17</v>
      </c>
      <c r="I20" s="14" t="s">
        <v>113</v>
      </c>
    </row>
    <row r="21" spans="1:9" x14ac:dyDescent="0.2">
      <c r="A21" s="9" t="s">
        <v>40</v>
      </c>
      <c r="B21" s="14" t="s">
        <v>113</v>
      </c>
      <c r="C21" s="14" t="s">
        <v>113</v>
      </c>
      <c r="D21" s="14" t="s">
        <v>113</v>
      </c>
      <c r="E21" s="19">
        <v>3</v>
      </c>
      <c r="F21" s="19">
        <v>4.59</v>
      </c>
      <c r="G21" s="14" t="s">
        <v>113</v>
      </c>
      <c r="H21" s="19">
        <v>8.92</v>
      </c>
      <c r="I21" s="14" t="s">
        <v>113</v>
      </c>
    </row>
    <row r="22" spans="1:9" x14ac:dyDescent="0.2">
      <c r="A22" s="9" t="s">
        <v>41</v>
      </c>
      <c r="B22" s="14" t="s">
        <v>113</v>
      </c>
      <c r="C22" s="14" t="s">
        <v>113</v>
      </c>
      <c r="D22" s="14" t="s">
        <v>113</v>
      </c>
      <c r="E22" s="19">
        <v>2.93</v>
      </c>
      <c r="F22" s="19">
        <v>4.96</v>
      </c>
      <c r="G22" s="14" t="s">
        <v>113</v>
      </c>
      <c r="H22" s="19">
        <v>8.89</v>
      </c>
      <c r="I22" s="14" t="s">
        <v>113</v>
      </c>
    </row>
    <row r="23" spans="1:9" x14ac:dyDescent="0.2">
      <c r="A23" s="8"/>
      <c r="B23" s="8"/>
      <c r="C23" s="8"/>
      <c r="D23" s="8"/>
      <c r="E23" s="8"/>
      <c r="F23" s="8"/>
      <c r="G23" s="8"/>
      <c r="H23" s="8"/>
      <c r="I23" s="8"/>
    </row>
    <row r="24" spans="1:9" x14ac:dyDescent="0.2">
      <c r="A24" s="9" t="s">
        <v>114</v>
      </c>
      <c r="B24" s="9"/>
      <c r="C24" s="9"/>
      <c r="D24" s="9"/>
      <c r="E24" s="9"/>
      <c r="F24" s="9"/>
      <c r="G24" s="9"/>
      <c r="H24" s="9"/>
      <c r="I24" s="9"/>
    </row>
    <row r="25" spans="1:9" x14ac:dyDescent="0.2">
      <c r="A25" s="7" t="s">
        <v>38</v>
      </c>
      <c r="B25" s="14" t="s">
        <v>115</v>
      </c>
      <c r="C25" s="14" t="s">
        <v>115</v>
      </c>
      <c r="D25" s="14" t="s">
        <v>115</v>
      </c>
      <c r="E25" s="12">
        <v>75864.53</v>
      </c>
      <c r="F25" s="12">
        <v>45748.36</v>
      </c>
      <c r="G25" s="8"/>
      <c r="H25" s="8"/>
      <c r="I25" s="8"/>
    </row>
    <row r="26" spans="1:9" x14ac:dyDescent="0.2">
      <c r="A26" s="7" t="s">
        <v>39</v>
      </c>
      <c r="B26" s="14" t="s">
        <v>115</v>
      </c>
      <c r="C26" s="14" t="s">
        <v>115</v>
      </c>
      <c r="D26" s="14" t="s">
        <v>115</v>
      </c>
      <c r="E26" s="12">
        <v>19437.060000000001</v>
      </c>
      <c r="F26" s="12">
        <v>25334.52</v>
      </c>
      <c r="G26" s="8"/>
      <c r="H26" s="8"/>
      <c r="I26" s="8"/>
    </row>
    <row r="27" spans="1:9" x14ac:dyDescent="0.2">
      <c r="A27" s="7" t="s">
        <v>40</v>
      </c>
      <c r="B27" s="14" t="s">
        <v>115</v>
      </c>
      <c r="C27" s="14" t="s">
        <v>115</v>
      </c>
      <c r="D27" s="14" t="s">
        <v>115</v>
      </c>
      <c r="E27" s="12">
        <v>48772.62</v>
      </c>
      <c r="F27" s="12">
        <v>38067.839999999997</v>
      </c>
      <c r="G27" s="8"/>
      <c r="H27" s="8"/>
      <c r="I27" s="8"/>
    </row>
    <row r="28" spans="1:9" x14ac:dyDescent="0.2">
      <c r="A28" s="7" t="s">
        <v>41</v>
      </c>
      <c r="B28" s="14" t="s">
        <v>115</v>
      </c>
      <c r="C28" s="14" t="s">
        <v>115</v>
      </c>
      <c r="D28" s="14" t="s">
        <v>115</v>
      </c>
      <c r="E28" s="12">
        <v>47666.54</v>
      </c>
      <c r="F28" s="12">
        <v>41170.71</v>
      </c>
      <c r="G28" s="8"/>
      <c r="H28" s="8"/>
      <c r="I28" s="8"/>
    </row>
    <row r="29" spans="1:9" x14ac:dyDescent="0.2">
      <c r="A29" s="8"/>
      <c r="B29" s="8"/>
      <c r="C29" s="8"/>
      <c r="D29" s="8"/>
      <c r="E29" s="8"/>
      <c r="F29" s="8"/>
      <c r="G29" s="8"/>
      <c r="H29" s="8"/>
      <c r="I29" s="8"/>
    </row>
    <row r="30" spans="1:9" ht="12" customHeight="1" x14ac:dyDescent="0.2">
      <c r="A30" s="9" t="s">
        <v>116</v>
      </c>
      <c r="B30" s="13">
        <v>1314</v>
      </c>
      <c r="C30" s="13">
        <v>1314</v>
      </c>
      <c r="D30" s="13">
        <v>1314</v>
      </c>
      <c r="E30" s="13">
        <v>1314</v>
      </c>
      <c r="F30" s="13">
        <v>1314</v>
      </c>
      <c r="G30" s="8"/>
      <c r="H30" s="8"/>
      <c r="I30" s="8"/>
    </row>
    <row r="31" spans="1:9" ht="12" customHeight="1" x14ac:dyDescent="0.2">
      <c r="A31" s="9" t="s">
        <v>117</v>
      </c>
      <c r="B31" s="13">
        <v>6718</v>
      </c>
      <c r="C31" s="13">
        <v>6718</v>
      </c>
      <c r="D31" s="13">
        <v>6718</v>
      </c>
      <c r="E31" s="13">
        <v>6718</v>
      </c>
      <c r="F31" s="13">
        <v>6718</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2">
        <v>129</v>
      </c>
      <c r="C33" s="12">
        <v>129</v>
      </c>
      <c r="D33" s="12">
        <v>129</v>
      </c>
      <c r="E33" s="12">
        <v>129</v>
      </c>
      <c r="F33" s="12">
        <v>129</v>
      </c>
      <c r="G33" s="8"/>
      <c r="H33" s="8"/>
      <c r="I33" s="8"/>
    </row>
    <row r="34" spans="1:9" x14ac:dyDescent="0.2">
      <c r="A34" s="8"/>
      <c r="B34" s="8"/>
      <c r="C34" s="8"/>
      <c r="D34" s="8"/>
      <c r="E34" s="8"/>
      <c r="F34" s="8"/>
      <c r="G34" s="8"/>
      <c r="H34" s="8"/>
      <c r="I34" s="8"/>
    </row>
    <row r="35" spans="1:9" x14ac:dyDescent="0.2">
      <c r="A35" s="9" t="s">
        <v>120</v>
      </c>
      <c r="B35" s="9"/>
      <c r="C35" s="9"/>
      <c r="D35" s="9"/>
      <c r="E35" s="9"/>
      <c r="F35" s="9"/>
      <c r="G35" s="9"/>
      <c r="H35" s="9"/>
      <c r="I35" s="9"/>
    </row>
    <row r="36" spans="1:9" x14ac:dyDescent="0.2">
      <c r="A36" s="7" t="s">
        <v>38</v>
      </c>
      <c r="B36" s="14" t="s">
        <v>115</v>
      </c>
      <c r="C36" s="14" t="s">
        <v>115</v>
      </c>
      <c r="D36" s="14" t="s">
        <v>115</v>
      </c>
      <c r="E36" s="12">
        <v>70331.53</v>
      </c>
      <c r="F36" s="12">
        <v>40215.360000000001</v>
      </c>
      <c r="G36" s="14" t="s">
        <v>115</v>
      </c>
      <c r="H36" s="12">
        <v>68534.259999999995</v>
      </c>
      <c r="I36" s="14" t="s">
        <v>115</v>
      </c>
    </row>
    <row r="37" spans="1:9" x14ac:dyDescent="0.2">
      <c r="A37" s="7" t="s">
        <v>39</v>
      </c>
      <c r="B37" s="14" t="s">
        <v>115</v>
      </c>
      <c r="C37" s="14" t="s">
        <v>115</v>
      </c>
      <c r="D37" s="14" t="s">
        <v>115</v>
      </c>
      <c r="E37" s="12">
        <v>13904.06</v>
      </c>
      <c r="F37" s="12">
        <v>19801.52</v>
      </c>
      <c r="G37" s="14" t="s">
        <v>115</v>
      </c>
      <c r="H37" s="12">
        <v>17685.72</v>
      </c>
      <c r="I37" s="14" t="s">
        <v>115</v>
      </c>
    </row>
    <row r="38" spans="1:9" x14ac:dyDescent="0.2">
      <c r="A38" s="7" t="s">
        <v>40</v>
      </c>
      <c r="B38" s="14" t="s">
        <v>115</v>
      </c>
      <c r="C38" s="14" t="s">
        <v>115</v>
      </c>
      <c r="D38" s="14" t="s">
        <v>115</v>
      </c>
      <c r="E38" s="12">
        <v>43239.62</v>
      </c>
      <c r="F38" s="12">
        <v>32534.84</v>
      </c>
      <c r="G38" s="14" t="s">
        <v>115</v>
      </c>
      <c r="H38" s="12">
        <v>37808.99</v>
      </c>
      <c r="I38" s="14" t="s">
        <v>115</v>
      </c>
    </row>
    <row r="39" spans="1:9" x14ac:dyDescent="0.2">
      <c r="A39" s="7" t="s">
        <v>41</v>
      </c>
      <c r="B39" s="14" t="s">
        <v>115</v>
      </c>
      <c r="C39" s="14" t="s">
        <v>115</v>
      </c>
      <c r="D39" s="14" t="s">
        <v>115</v>
      </c>
      <c r="E39" s="12">
        <v>42133.54</v>
      </c>
      <c r="F39" s="12">
        <v>35637.71</v>
      </c>
      <c r="G39" s="14" t="s">
        <v>115</v>
      </c>
      <c r="H39" s="12">
        <v>37677.519999999997</v>
      </c>
      <c r="I39" s="14" t="s">
        <v>115</v>
      </c>
    </row>
    <row r="40" spans="1:9" x14ac:dyDescent="0.2">
      <c r="A40" s="8"/>
      <c r="B40" s="8"/>
      <c r="C40" s="8"/>
      <c r="D40" s="8"/>
      <c r="E40" s="8"/>
      <c r="F40" s="8"/>
      <c r="G40" s="8"/>
      <c r="H40" s="8"/>
      <c r="I40" s="8"/>
    </row>
    <row r="41" spans="1:9" ht="12" customHeight="1" x14ac:dyDescent="0.2">
      <c r="A41" s="9" t="s">
        <v>121</v>
      </c>
      <c r="B41" s="12">
        <v>643.84</v>
      </c>
      <c r="C41" s="12">
        <v>643.84</v>
      </c>
      <c r="D41" s="12">
        <v>643.84</v>
      </c>
      <c r="E41" s="12">
        <v>643.84</v>
      </c>
      <c r="F41" s="12">
        <v>643.84</v>
      </c>
      <c r="G41" s="12">
        <v>643.84</v>
      </c>
      <c r="H41" s="12">
        <v>643.84</v>
      </c>
      <c r="I41" s="12">
        <v>643.84</v>
      </c>
    </row>
    <row r="42" spans="1:9" x14ac:dyDescent="0.2">
      <c r="A42" s="8"/>
      <c r="B42" s="8"/>
      <c r="C42" s="8"/>
      <c r="D42" s="8"/>
      <c r="E42" s="8"/>
      <c r="F42" s="8"/>
      <c r="G42" s="8"/>
      <c r="H42" s="8"/>
      <c r="I42" s="8"/>
    </row>
    <row r="43" spans="1:9" x14ac:dyDescent="0.2">
      <c r="A43" s="9" t="s">
        <v>122</v>
      </c>
      <c r="B43" s="9"/>
      <c r="C43" s="9"/>
      <c r="D43" s="9"/>
      <c r="E43" s="9"/>
      <c r="F43" s="9"/>
      <c r="G43" s="9"/>
      <c r="H43" s="9"/>
      <c r="I43" s="9"/>
    </row>
    <row r="44" spans="1:9" x14ac:dyDescent="0.2">
      <c r="A44" s="7" t="s">
        <v>38</v>
      </c>
      <c r="B44" s="14" t="s">
        <v>115</v>
      </c>
      <c r="C44" s="14" t="s">
        <v>115</v>
      </c>
      <c r="D44" s="14" t="s">
        <v>115</v>
      </c>
      <c r="E44" s="12">
        <v>109.24</v>
      </c>
      <c r="F44" s="12">
        <v>62.46</v>
      </c>
      <c r="G44" s="14" t="s">
        <v>115</v>
      </c>
      <c r="H44" s="12">
        <v>106.45</v>
      </c>
      <c r="I44" s="14" t="s">
        <v>115</v>
      </c>
    </row>
    <row r="45" spans="1:9" x14ac:dyDescent="0.2">
      <c r="A45" s="7" t="s">
        <v>39</v>
      </c>
      <c r="B45" s="14" t="s">
        <v>115</v>
      </c>
      <c r="C45" s="14" t="s">
        <v>115</v>
      </c>
      <c r="D45" s="14" t="s">
        <v>115</v>
      </c>
      <c r="E45" s="12">
        <v>21.6</v>
      </c>
      <c r="F45" s="12">
        <v>30.76</v>
      </c>
      <c r="G45" s="14" t="s">
        <v>115</v>
      </c>
      <c r="H45" s="12">
        <v>27.47</v>
      </c>
      <c r="I45" s="14" t="s">
        <v>115</v>
      </c>
    </row>
    <row r="46" spans="1:9" x14ac:dyDescent="0.2">
      <c r="A46" s="7" t="s">
        <v>40</v>
      </c>
      <c r="B46" s="14" t="s">
        <v>115</v>
      </c>
      <c r="C46" s="14" t="s">
        <v>115</v>
      </c>
      <c r="D46" s="14" t="s">
        <v>115</v>
      </c>
      <c r="E46" s="12">
        <v>67.16</v>
      </c>
      <c r="F46" s="12">
        <v>50.53</v>
      </c>
      <c r="G46" s="14" t="s">
        <v>115</v>
      </c>
      <c r="H46" s="12">
        <v>58.72</v>
      </c>
      <c r="I46" s="14" t="s">
        <v>115</v>
      </c>
    </row>
    <row r="47" spans="1:9" x14ac:dyDescent="0.2">
      <c r="A47" s="7" t="s">
        <v>41</v>
      </c>
      <c r="B47" s="14" t="s">
        <v>115</v>
      </c>
      <c r="C47" s="14" t="s">
        <v>115</v>
      </c>
      <c r="D47" s="14" t="s">
        <v>115</v>
      </c>
      <c r="E47" s="12">
        <v>65.44</v>
      </c>
      <c r="F47" s="12">
        <v>55.35</v>
      </c>
      <c r="G47" s="14" t="s">
        <v>115</v>
      </c>
      <c r="H47" s="12">
        <v>58.52</v>
      </c>
      <c r="I47" s="14" t="s">
        <v>115</v>
      </c>
    </row>
    <row r="48" spans="1:9" x14ac:dyDescent="0.2">
      <c r="A48" s="8"/>
      <c r="B48" s="8"/>
      <c r="C48" s="8"/>
      <c r="D48" s="8"/>
      <c r="E48" s="8"/>
      <c r="F48" s="8"/>
      <c r="G48" s="8"/>
      <c r="H48" s="8"/>
      <c r="I48" s="8"/>
    </row>
    <row r="49" spans="1:9" ht="20.399999999999999" x14ac:dyDescent="0.2">
      <c r="A49" s="9" t="s">
        <v>123</v>
      </c>
      <c r="B49" s="11" t="s">
        <v>124</v>
      </c>
      <c r="C49" s="11" t="s">
        <v>125</v>
      </c>
      <c r="D49" s="9"/>
      <c r="E49" s="9"/>
      <c r="F49" s="9"/>
      <c r="G49" s="9"/>
      <c r="H49" s="9"/>
      <c r="I49" s="9"/>
    </row>
    <row r="50" spans="1:9" x14ac:dyDescent="0.2">
      <c r="A50" s="9" t="s">
        <v>38</v>
      </c>
      <c r="B50" s="24">
        <v>59693.72</v>
      </c>
      <c r="C50" s="24">
        <v>92.71</v>
      </c>
      <c r="D50" s="8"/>
      <c r="E50" s="8"/>
      <c r="F50" s="8"/>
      <c r="G50" s="8"/>
      <c r="H50" s="8"/>
      <c r="I50" s="8"/>
    </row>
    <row r="51" spans="1:9" x14ac:dyDescent="0.2">
      <c r="A51" s="9" t="s">
        <v>39</v>
      </c>
      <c r="B51" s="24">
        <v>17130.43</v>
      </c>
      <c r="C51" s="24">
        <v>26.61</v>
      </c>
      <c r="D51" s="8"/>
      <c r="E51" s="8"/>
      <c r="F51" s="8"/>
      <c r="G51" s="8"/>
      <c r="H51" s="8"/>
      <c r="I51" s="8"/>
    </row>
    <row r="52" spans="1:9" x14ac:dyDescent="0.2">
      <c r="A52" s="9" t="s">
        <v>40</v>
      </c>
      <c r="B52" s="24">
        <v>37861.15</v>
      </c>
      <c r="C52" s="24">
        <v>58.8</v>
      </c>
      <c r="D52" s="8"/>
      <c r="E52" s="8"/>
      <c r="F52" s="8"/>
      <c r="G52" s="8"/>
      <c r="H52" s="8"/>
      <c r="I52" s="8"/>
    </row>
    <row r="53" spans="1:9" x14ac:dyDescent="0.2">
      <c r="A53" s="9" t="s">
        <v>41</v>
      </c>
      <c r="B53" s="24">
        <v>38482.92</v>
      </c>
      <c r="C53" s="24">
        <v>59.77</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F8915-4214-4C46-97F1-26791493906A}">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127</v>
      </c>
      <c r="B8" s="4" t="s">
        <v>3</v>
      </c>
    </row>
    <row r="9" spans="1:255" x14ac:dyDescent="0.2">
      <c r="A9" s="3" t="s">
        <v>128</v>
      </c>
      <c r="B9" s="4" t="s">
        <v>5</v>
      </c>
    </row>
    <row r="10" spans="1:255" x14ac:dyDescent="0.2">
      <c r="A10" s="3" t="s">
        <v>129</v>
      </c>
      <c r="B10" s="5">
        <v>45043</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25"/>
      <c r="B14" s="27"/>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DF769-082F-4AF8-9148-BBC6BB617F45}">
  <sheetPr codeName="Sheet9">
    <outlinePr summaryBelow="0" summaryRight="0"/>
  </sheetPr>
  <dimension ref="A4:IU48"/>
  <sheetViews>
    <sheetView defaultGridColor="0" colorId="0" workbookViewId="0"/>
  </sheetViews>
  <sheetFormatPr defaultRowHeight="10.199999999999999" x14ac:dyDescent="0.2"/>
  <cols>
    <col min="1" max="1" width="47.88671875" customWidth="1"/>
    <col min="2" max="5" width="13.88671875" customWidth="1"/>
    <col min="6" max="12" width="25.88671875" customWidth="1"/>
  </cols>
  <sheetData>
    <row r="4" spans="1:255" ht="16.2" x14ac:dyDescent="0.2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131</v>
      </c>
      <c r="B8" s="4" t="s">
        <v>3</v>
      </c>
    </row>
    <row r="9" spans="1:255" x14ac:dyDescent="0.2">
      <c r="A9" s="3" t="s">
        <v>132</v>
      </c>
      <c r="B9" s="4" t="s">
        <v>5</v>
      </c>
    </row>
    <row r="10" spans="1:255" x14ac:dyDescent="0.2">
      <c r="A10" s="3" t="s">
        <v>133</v>
      </c>
      <c r="B10" s="5">
        <v>45043</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27</v>
      </c>
      <c r="B15" s="30">
        <v>1</v>
      </c>
      <c r="C15" s="30">
        <v>1</v>
      </c>
      <c r="D15" s="31">
        <v>2</v>
      </c>
      <c r="E15" s="31">
        <v>2</v>
      </c>
      <c r="F15" s="35">
        <v>44926</v>
      </c>
      <c r="G15" s="35">
        <v>44981</v>
      </c>
      <c r="H15" s="36" t="s">
        <v>145</v>
      </c>
      <c r="I15" s="36" t="s">
        <v>146</v>
      </c>
      <c r="J15" s="36" t="s">
        <v>147</v>
      </c>
      <c r="K15" s="37" t="s">
        <v>148</v>
      </c>
      <c r="L15" s="37" t="s">
        <v>149</v>
      </c>
    </row>
    <row r="16" spans="1:255" ht="12" customHeight="1" x14ac:dyDescent="0.2">
      <c r="A16" s="28" t="s">
        <v>34</v>
      </c>
      <c r="B16" s="30">
        <v>1</v>
      </c>
      <c r="C16" s="31">
        <v>2</v>
      </c>
      <c r="D16" s="30">
        <v>1</v>
      </c>
      <c r="E16" s="30">
        <v>1</v>
      </c>
      <c r="F16" s="35">
        <v>44926</v>
      </c>
      <c r="G16" s="35">
        <v>44985</v>
      </c>
      <c r="H16" s="36" t="s">
        <v>150</v>
      </c>
      <c r="I16" s="36" t="s">
        <v>146</v>
      </c>
      <c r="J16" s="36" t="s">
        <v>151</v>
      </c>
      <c r="K16" s="37" t="s">
        <v>148</v>
      </c>
      <c r="L16" s="37" t="s">
        <v>149</v>
      </c>
    </row>
    <row r="17" spans="1:12" ht="12" customHeight="1" x14ac:dyDescent="0.2">
      <c r="A17" s="28" t="s">
        <v>25</v>
      </c>
      <c r="B17" s="31">
        <v>2</v>
      </c>
      <c r="C17" s="31">
        <v>2</v>
      </c>
      <c r="D17" s="30">
        <v>1</v>
      </c>
      <c r="E17" s="32">
        <v>3</v>
      </c>
      <c r="F17" s="35">
        <v>44926</v>
      </c>
      <c r="G17" s="35">
        <v>44983</v>
      </c>
      <c r="H17" s="36" t="s">
        <v>150</v>
      </c>
      <c r="I17" s="36" t="s">
        <v>146</v>
      </c>
      <c r="J17" s="36" t="s">
        <v>152</v>
      </c>
      <c r="K17" s="37" t="s">
        <v>148</v>
      </c>
      <c r="L17" s="37" t="s">
        <v>149</v>
      </c>
    </row>
    <row r="18" spans="1:12" ht="12" customHeight="1" x14ac:dyDescent="0.2">
      <c r="A18" s="28" t="s">
        <v>35</v>
      </c>
      <c r="B18" s="31">
        <v>2</v>
      </c>
      <c r="C18" s="32">
        <v>3</v>
      </c>
      <c r="D18" s="32">
        <v>3</v>
      </c>
      <c r="E18" s="30">
        <v>1</v>
      </c>
      <c r="F18" s="35">
        <v>44926</v>
      </c>
      <c r="G18" s="35">
        <v>44983</v>
      </c>
      <c r="H18" s="36" t="s">
        <v>153</v>
      </c>
      <c r="I18" s="36" t="s">
        <v>154</v>
      </c>
      <c r="J18" s="36" t="s">
        <v>155</v>
      </c>
      <c r="K18" s="37" t="s">
        <v>148</v>
      </c>
      <c r="L18" s="37" t="s">
        <v>149</v>
      </c>
    </row>
    <row r="19" spans="1:12" ht="12" customHeight="1" x14ac:dyDescent="0.2">
      <c r="A19" s="28" t="s">
        <v>29</v>
      </c>
      <c r="B19" s="32">
        <v>3</v>
      </c>
      <c r="C19" s="31">
        <v>2</v>
      </c>
      <c r="D19" s="33">
        <v>4</v>
      </c>
      <c r="E19" s="33">
        <v>4</v>
      </c>
      <c r="F19" s="35">
        <v>44926</v>
      </c>
      <c r="G19" s="35">
        <v>44982</v>
      </c>
      <c r="H19" s="36" t="s">
        <v>26</v>
      </c>
      <c r="I19" s="36" t="s">
        <v>156</v>
      </c>
      <c r="J19" s="36" t="s">
        <v>157</v>
      </c>
      <c r="K19" s="37" t="s">
        <v>148</v>
      </c>
      <c r="L19" s="37" t="s">
        <v>149</v>
      </c>
    </row>
    <row r="20" spans="1:12" ht="12" customHeight="1" x14ac:dyDescent="0.2">
      <c r="A20" s="28" t="s">
        <v>30</v>
      </c>
      <c r="B20" s="32">
        <v>3</v>
      </c>
      <c r="C20" s="32">
        <v>3</v>
      </c>
      <c r="D20" s="31">
        <v>2</v>
      </c>
      <c r="E20" s="33">
        <v>4</v>
      </c>
      <c r="F20" s="35">
        <v>44926</v>
      </c>
      <c r="G20" s="35">
        <v>44980</v>
      </c>
      <c r="H20" s="36" t="s">
        <v>158</v>
      </c>
      <c r="I20" s="36" t="s">
        <v>156</v>
      </c>
      <c r="J20" s="36" t="s">
        <v>159</v>
      </c>
      <c r="K20" s="37" t="s">
        <v>148</v>
      </c>
      <c r="L20" s="37" t="s">
        <v>149</v>
      </c>
    </row>
    <row r="21" spans="1:12" ht="12" customHeight="1" x14ac:dyDescent="0.2">
      <c r="A21" s="28" t="s">
        <v>33</v>
      </c>
      <c r="B21" s="32">
        <v>3</v>
      </c>
      <c r="C21" s="32">
        <v>3</v>
      </c>
      <c r="D21" s="32">
        <v>3</v>
      </c>
      <c r="E21" s="32">
        <v>3</v>
      </c>
      <c r="F21" s="35">
        <v>44926</v>
      </c>
      <c r="G21" s="35">
        <v>44975</v>
      </c>
      <c r="H21" s="36" t="s">
        <v>153</v>
      </c>
      <c r="I21" s="36" t="s">
        <v>154</v>
      </c>
      <c r="J21" s="36" t="s">
        <v>160</v>
      </c>
      <c r="K21" s="37" t="s">
        <v>148</v>
      </c>
      <c r="L21" s="37" t="s">
        <v>149</v>
      </c>
    </row>
    <row r="22" spans="1:12" ht="12" customHeight="1" x14ac:dyDescent="0.2">
      <c r="A22" s="28" t="s">
        <v>31</v>
      </c>
      <c r="B22" s="33">
        <v>4</v>
      </c>
      <c r="C22" s="33">
        <v>4</v>
      </c>
      <c r="D22" s="32">
        <v>3</v>
      </c>
      <c r="E22" s="33">
        <v>4</v>
      </c>
      <c r="F22" s="35">
        <v>44926</v>
      </c>
      <c r="G22" s="35">
        <v>44985</v>
      </c>
      <c r="H22" s="36" t="s">
        <v>153</v>
      </c>
      <c r="I22" s="36" t="s">
        <v>156</v>
      </c>
      <c r="J22" s="36" t="s">
        <v>161</v>
      </c>
      <c r="K22" s="37" t="s">
        <v>148</v>
      </c>
      <c r="L22" s="37" t="s">
        <v>149</v>
      </c>
    </row>
    <row r="23" spans="1:12" ht="12" customHeight="1" x14ac:dyDescent="0.2">
      <c r="A23" s="28" t="s">
        <v>32</v>
      </c>
      <c r="B23" s="33">
        <v>4</v>
      </c>
      <c r="C23" s="33">
        <v>4</v>
      </c>
      <c r="D23" s="33">
        <v>4</v>
      </c>
      <c r="E23" s="31">
        <v>2</v>
      </c>
      <c r="F23" s="35">
        <v>45016</v>
      </c>
      <c r="G23" s="35">
        <v>45043</v>
      </c>
      <c r="H23" s="36" t="s">
        <v>153</v>
      </c>
      <c r="I23" s="36" t="s">
        <v>156</v>
      </c>
      <c r="J23" s="36" t="s">
        <v>162</v>
      </c>
      <c r="K23" s="37" t="s">
        <v>148</v>
      </c>
      <c r="L23" s="37" t="s">
        <v>149</v>
      </c>
    </row>
    <row r="24" spans="1:12" ht="12" customHeight="1" x14ac:dyDescent="0.2">
      <c r="A24" s="28" t="s">
        <v>28</v>
      </c>
      <c r="B24" s="33">
        <v>4</v>
      </c>
      <c r="C24" s="33">
        <v>4</v>
      </c>
      <c r="D24" s="33">
        <v>4</v>
      </c>
      <c r="E24" s="32">
        <v>3</v>
      </c>
      <c r="F24" s="35">
        <v>44926</v>
      </c>
      <c r="G24" s="35">
        <v>44982</v>
      </c>
      <c r="H24" s="36" t="s">
        <v>163</v>
      </c>
      <c r="I24" s="36" t="s">
        <v>164</v>
      </c>
      <c r="J24" s="36" t="s">
        <v>165</v>
      </c>
      <c r="K24" s="37" t="s">
        <v>148</v>
      </c>
      <c r="L24" s="37" t="s">
        <v>149</v>
      </c>
    </row>
    <row r="25" spans="1:12" x14ac:dyDescent="0.2">
      <c r="A25" s="8"/>
      <c r="B25" s="8"/>
      <c r="C25" s="8"/>
      <c r="D25" s="8"/>
      <c r="E25" s="8"/>
      <c r="F25" s="8"/>
      <c r="G25" s="8"/>
      <c r="H25" s="8"/>
      <c r="I25" s="8"/>
      <c r="J25" s="8"/>
      <c r="K25" s="8"/>
      <c r="L25" s="8"/>
    </row>
    <row r="26" spans="1:12" x14ac:dyDescent="0.2">
      <c r="A26" s="9"/>
      <c r="B26" s="9"/>
      <c r="C26" s="9"/>
      <c r="D26" s="9"/>
      <c r="E26" s="9"/>
      <c r="F26" s="9"/>
      <c r="G26" s="9"/>
      <c r="H26" s="9"/>
      <c r="I26" s="9"/>
      <c r="J26" s="9"/>
      <c r="K26" s="9"/>
      <c r="L26" s="9"/>
    </row>
    <row r="27" spans="1:12" ht="12" customHeight="1" x14ac:dyDescent="0.2">
      <c r="A27" s="28" t="s">
        <v>36</v>
      </c>
      <c r="B27" s="31">
        <v>2</v>
      </c>
      <c r="C27" s="30">
        <v>1</v>
      </c>
      <c r="D27" s="31">
        <v>2</v>
      </c>
      <c r="E27" s="31">
        <v>2</v>
      </c>
      <c r="F27" s="35">
        <v>44926</v>
      </c>
      <c r="G27" s="35">
        <v>44973</v>
      </c>
      <c r="H27" s="36" t="s">
        <v>150</v>
      </c>
      <c r="I27" s="36" t="s">
        <v>154</v>
      </c>
      <c r="J27" s="36" t="s">
        <v>166</v>
      </c>
      <c r="K27" s="37" t="s">
        <v>148</v>
      </c>
      <c r="L27" s="37" t="s">
        <v>149</v>
      </c>
    </row>
    <row r="28" spans="1:12" x14ac:dyDescent="0.2">
      <c r="A28" s="10"/>
      <c r="B28" s="10"/>
      <c r="C28" s="10"/>
      <c r="D28" s="10"/>
      <c r="E28" s="10"/>
      <c r="F28" s="10"/>
      <c r="G28" s="10"/>
      <c r="H28" s="10"/>
      <c r="I28" s="10"/>
      <c r="J28" s="10"/>
      <c r="K28" s="10"/>
      <c r="L28" s="10"/>
    </row>
    <row r="30" spans="1:12" x14ac:dyDescent="0.2">
      <c r="A30" s="6" t="s">
        <v>42</v>
      </c>
    </row>
    <row r="35" spans="1:1" x14ac:dyDescent="0.2">
      <c r="A35" t="s">
        <v>43</v>
      </c>
    </row>
    <row r="38" spans="1:1" x14ac:dyDescent="0.2">
      <c r="A38" t="s">
        <v>167</v>
      </c>
    </row>
    <row r="45" spans="1:1" ht="25.05" customHeight="1" x14ac:dyDescent="0.2">
      <c r="A45" s="18" t="s">
        <v>168</v>
      </c>
    </row>
    <row r="48" spans="1:1" ht="120" customHeight="1" x14ac:dyDescent="0.2">
      <c r="A48" s="38" t="s">
        <v>169</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AC8FC-258D-41F8-A57C-2456DD8AC108}">
  <sheetPr codeName="Sheet10">
    <outlinePr summaryBelow="0" summaryRight="0"/>
  </sheetPr>
  <dimension ref="A6:A26"/>
  <sheetViews>
    <sheetView defaultGridColor="0" colorId="0" workbookViewId="0"/>
  </sheetViews>
  <sheetFormatPr defaultRowHeight="10.199999999999999" x14ac:dyDescent="0.2"/>
  <cols>
    <col min="1" max="1" width="150.88671875" customWidth="1"/>
    <col min="2" max="2" width="9.33203125"/>
  </cols>
  <sheetData>
    <row r="6" spans="1:1" ht="16.5" customHeight="1" x14ac:dyDescent="0.25">
      <c r="A6" s="1" t="s">
        <v>170</v>
      </c>
    </row>
    <row r="8" spans="1:1" x14ac:dyDescent="0.2">
      <c r="A8" t="s">
        <v>171</v>
      </c>
    </row>
    <row r="10" spans="1:1" ht="120" customHeight="1" x14ac:dyDescent="0.2">
      <c r="A10" s="39" t="s">
        <v>172</v>
      </c>
    </row>
    <row r="12" spans="1:1" ht="72" customHeight="1" x14ac:dyDescent="0.2">
      <c r="A12" s="39" t="s">
        <v>173</v>
      </c>
    </row>
    <row r="14" spans="1:1" ht="36" customHeight="1" x14ac:dyDescent="0.2">
      <c r="A14" s="39" t="s">
        <v>174</v>
      </c>
    </row>
    <row r="16" spans="1:1" ht="36" customHeight="1" x14ac:dyDescent="0.2">
      <c r="A16" s="40" t="s">
        <v>175</v>
      </c>
    </row>
    <row r="18" spans="1:1" ht="36" customHeight="1" x14ac:dyDescent="0.2">
      <c r="A18" s="40" t="s">
        <v>176</v>
      </c>
    </row>
    <row r="20" spans="1:1" ht="36" customHeight="1" x14ac:dyDescent="0.2">
      <c r="A20" s="40" t="s">
        <v>177</v>
      </c>
    </row>
    <row r="22" spans="1:1" ht="24" customHeight="1" x14ac:dyDescent="0.2">
      <c r="A22" s="40" t="s">
        <v>178</v>
      </c>
    </row>
    <row r="24" spans="1:1" ht="24" customHeight="1" x14ac:dyDescent="0.2">
      <c r="A24" s="40" t="s">
        <v>179</v>
      </c>
    </row>
    <row r="26" spans="1:1" ht="24" customHeight="1" x14ac:dyDescent="0.2">
      <c r="A26" s="40" t="s">
        <v>180</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ADF84-A387-4DDD-A478-5E3641AC20C1}">
  <sheetPr codeName="Sheet11"/>
  <dimension ref="A5"/>
  <sheetViews>
    <sheetView workbookViewId="0"/>
  </sheetViews>
  <sheetFormatPr defaultRowHeight="10.199999999999999" x14ac:dyDescent="0.2"/>
  <sheetData>
    <row r="5" spans="1:1" ht="23.25" customHeight="1" x14ac:dyDescent="0.4">
      <c r="A5" s="42" t="s">
        <v>181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2023-04-28T02:48:59Z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