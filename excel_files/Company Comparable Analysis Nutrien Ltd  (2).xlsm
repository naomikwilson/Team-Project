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E57116E5-919F-4060-8079-B79FFDCB04B7}" xr6:coauthVersionLast="47" xr6:coauthVersionMax="47" xr10:uidLastSave="{00000000-0000-0000-0000-000000000000}"/>
  <bookViews>
    <workbookView xWindow="1812" yWindow="612" windowWidth="17316" windowHeight="10512"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Q8" i="11" s="1"/>
  <c r="Q10" i="11" s="1"/>
  <c r="Q12" i="11" s="1"/>
  <c r="Q14"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R8" i="11" l="1"/>
  <c r="R10" i="11" s="1"/>
  <c r="R12" i="11" s="1"/>
  <c r="R14" i="11" s="1"/>
  <c r="Q15" i="11" s="1"/>
  <c r="Q17" i="11" s="1"/>
  <c r="S8" i="11"/>
  <c r="S14" i="11" s="1"/>
  <c r="S12" i="11" s="1"/>
  <c r="S10" i="11" s="1"/>
</calcChain>
</file>

<file path=xl/sharedStrings.xml><?xml version="1.0" encoding="utf-8"?>
<sst xmlns="http://schemas.openxmlformats.org/spreadsheetml/2006/main" count="658" uniqueCount="206">
  <si>
    <t>Nutrien Ltd. (TSX:NTR)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</si>
  <si>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</si>
  <si>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</si>
  <si>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</si>
  <si>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</si>
  <si>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</si>
  <si>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</si>
  <si>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</si>
  <si>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</si>
  <si>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</si>
  <si>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</si>
  <si>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</si>
  <si>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</si>
  <si>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</si>
  <si>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</si>
  <si>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</si>
  <si>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</si>
  <si>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</si>
  <si>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</si>
  <si>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</si>
  <si>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</si>
  <si>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</si>
  <si>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</si>
  <si>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</si>
  <si>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</si>
  <si>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The Mosaic Company (NYSE:MOS)</t>
  </si>
  <si>
    <t>-</t>
  </si>
  <si>
    <t>CF Industries Holdings, Inc. (NYSE:CF)</t>
  </si>
  <si>
    <t>Corteva, Inc. (NYSE:CTVA)</t>
  </si>
  <si>
    <t>Yara International ASA (OB:YAR)</t>
  </si>
  <si>
    <t>OCI N.V. (ENXTAM:OCI)</t>
  </si>
  <si>
    <t>FMC Corporation (NYSE:FMC)</t>
  </si>
  <si>
    <t>ICL Group Ltd (TASE:ICL)</t>
  </si>
  <si>
    <t>Pontus Protein Ltd. (TSXV:HULK)</t>
  </si>
  <si>
    <t>K+S Aktiengesellschaft (XTRA:SDF)</t>
  </si>
  <si>
    <t>Sociedad Química y Minera de Chile S.A. (NYSE:SQM)</t>
  </si>
  <si>
    <t>Nutrien Ltd. (TSX:NTR)</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</si>
  <si>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</si>
  <si>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</si>
  <si>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</si>
  <si>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</si>
  <si>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</si>
  <si>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</si>
  <si>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</si>
  <si>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</si>
  <si>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</si>
  <si>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Nutrien Ltd. (TSX:NTR)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</si>
  <si>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</si>
  <si>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</si>
  <si>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</si>
  <si>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</si>
  <si>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</si>
  <si>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</si>
  <si>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</si>
  <si>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</si>
  <si>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</si>
  <si>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</si>
  <si>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</si>
  <si>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Nutrien Ltd. (TSX:NTR)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</si>
  <si>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</si>
  <si>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</si>
  <si>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</si>
  <si>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</si>
  <si>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</si>
  <si>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</si>
  <si>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</si>
  <si>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</si>
  <si>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</si>
  <si>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</si>
  <si>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</si>
  <si>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</si>
  <si>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</si>
  <si>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</si>
  <si>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</si>
  <si>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NM</t>
  </si>
  <si>
    <t>Nutrien Ltd. (TSX:NTR) &gt;  Quick Comparable Analysis &gt; Business Description</t>
  </si>
  <si>
    <t>Template:</t>
  </si>
  <si>
    <t>Currency:</t>
  </si>
  <si>
    <t>As-Of Date:</t>
  </si>
  <si>
    <t>Business Description</t>
  </si>
  <si>
    <t>Headquarters</t>
  </si>
  <si>
    <t>The Mosaic Company, through its subsidiaries, produces and markets concentrated phosphate and potash crop nutrients in North America and internationally. The company operates through three segments: Phosphates, Potash, and Mosaic Fertilizantes. It owns and operates mines, which produce concentrated phosphate crop nutrients, such as diammonium phosphate, monoammonium phosphate, and ammoniated phosphate products; and phosphate-based animal feed ingredients primarily under the Biofos and Nexfos brand names, as well as produces a double sulfate of potash magnesia product under K-Mag brand name. The company also produces and sells potash for use in the manufacturing of mixed crop nutrients and animal feed ingredients, and for industrial use; and for use in the de-icing and as a water softener regenerant. In addition, it provides nitrogen-based crop nutrients, animal feed ingredients, and other ancillary services; and purchases and sells phosphates, potash, and nitrogen products. The company sells its products to wholesale distributors, retail chains, farmers, cooperatives, independent retailers, and national accounts. The Mosaic Company was incorporated in 2004 and is headquartered in Tampa, Florida.</t>
  </si>
  <si>
    <t>101 East Kennedy Boulevard, Suite 2500, Tampa, Florida, 33602, United States</t>
  </si>
  <si>
    <t>CF Industries Holdings, Inc. manufactures and sells hydrogen and nitrogen products for energy, fertilizer, emissions abatement, and other industrial activities worldwide. Its principal products include anhydrous ammonia, granular urea, urea ammonium nitrate, and ammonium nitrate products. The company also offers diesel exhaust fluid, urea liquor, nitric acid, and aqua ammonia products; and compound fertilizer products with nitrogen, phosphorus, and potassium. It primarily serves cooperatives, independent fertilizer distributors, traders, wholesalers, and industrial users. The company was founded in 1946 and is headquartered in Deerfield, Illinois.</t>
  </si>
  <si>
    <t>4 Parkway North, Suite 400, Deerfield, Illinois, 60015, United States</t>
  </si>
  <si>
    <t>Corteva, Inc. operates in the agriculture business. It operates through two segments, Seed and Crop Protection. The Seed segment develops and supplies advanced germplasm and traits that produce optimum yield for farms. It offers trait technologies that enhance resistance to weather, disease, insects, and herbicides used to control weeds, as well as food and nutritional characteristics. This segment also provides digital solutions that assist farmer decision-making with a view to optimize product selection, and maximize yield and profitability. The Crop Protection segment offers products that protect against weeds, insects and other pests, and diseases, as well as enhances crop health above and below ground through nitrogen management and seed-applied technologies. This segment provides herbicides, insecticides, nitrogen stabilizers, and pasture and range management herbicides. It serves agricultural input industry. The company operates in the United States, Canada, Latin America, the Asia Pacific, Europe, the Middle East, and Africa. Corteva, Inc. was incorporated in 2018 and is headquartered in Indianapolis, Indiana.</t>
  </si>
  <si>
    <t>9330 Zionsville Road, Indianapolis, Indiana, 46268, United States</t>
  </si>
  <si>
    <t>Yara International ASA provides crop nutrition and industrial solutions in Norway, European Union, Europe, Africa, Asia, North and Latin America, Australia, and New Zealand. The company offers ammonium- and urea-based fertilizers; compound fertilizers that contain plant nutrients, such as nitrogen, phosphorus, and potassium; coatings; biostimulants; organic-based fertilizers; green fertilizers are nitrate-based mineral fertilizers, as well as foliar and fertigation solutions; and nitrate, calcium nitrate, micronutrient, and fertigation fertilizers. It also offers digital solutions, such as variable rate application solutions; N-Sensor, a tractor-mounted hardware; N-Tester, a hand held nitrogen measurement tool; and Atfarm, a digital toolbox for farmer. The company sells its products under YaraBela, YaraMila, YaraLiva, YaraVita, YaraRega, YaraTera, YaraSuna, and YaraVera and brands. Yara International ASA was founded in 1905 and is headquartered in Oslo, Norway.</t>
  </si>
  <si>
    <t>Drammensveien 131, Oslo, Oslo, 0277, Norway</t>
  </si>
  <si>
    <t>OCI N.V. produces and distributes hydrogen-based and natural gas-based products to agricultural, transportation, and industrial customers. It operates through Methanol US, Methanol Europe, Nitrogen US, Nitrogen Europe, and Fertiglobe segments. The company offers anhydrous ammonia, granular urea, urea ammonium nitrate solution, calcium ammonium nitrate, ammonium sulphate, aqueous ammonia, nitric acid, urea solution, bio-methanol, methanol, melamine, and diesel exhaust fluid, as well as other nitrogen products. It also owns and operates an ammonia terminal at the port of Rotterdam. The company has operations in Europe, the Americas, the Middle East, Africa, Asia, and Oceania. OCI N.V. has a strategic partnership with Abu Dhabi National Oil Company. OCI N.V. was founded in 2013 and is headquartered in Amsterdam, the Netherlands.</t>
  </si>
  <si>
    <t>Honthorststraat 19, Amsterdam, Noord-Holland, 1071 DC, Netherlands</t>
  </si>
  <si>
    <t>FMC Corporation, an agricultural sciences company, provides crop protection, plant health, and professional pest and turf management products. It develops, markets, and sells crop protection chemicals that include insecticides, herbicides, and fungicides; and biologicals, crop nutrition, and seed treatment products, which are used in agriculture to enhance crop yield and quality by controlling a range of insects, weeds, and diseases, as well as in non-agricultural markets for pest control. The company markets its products through its own sales organization and through alliance partners, independent distributors, and sales representatives. It operates in North America, Latin America, Europe, the Middle East, Africa, and Asia. The company was founded in 1883 and is headquartered in Philadelphia, Pennsylvania.</t>
  </si>
  <si>
    <t>FMC Tower, 2929 Walnut Street, Cira Centre South, Philadelphia, Pennsylvania, 19104, United States</t>
  </si>
  <si>
    <t>ICL Group Ltd, together with its subsidiaries, operates as a specialty minerals and chemicals company worldwide. It operates in four segments: Industrial Products, Potash, Phosphate Solutions, and Growing Solutions. The Industrial Products segment produces bromine out of a solution that is a by-product of the potash production process, as well as bromine-based compounds; produces various grades of potash, salt, magnesium chloride, and magnesia products; and produces and markets phosphorous-based flame retardants and other phosphorus-based products. The Potash segment extracts potash from the Dead Sea; mines and produces potash and salt; produces polysulphate; produces, markets, and sells magnesium and magnesium alloys, as well as related by-products, including chlorine and sylvinite; and sells salt. The Phosphate Solutions segment uses phosphate commodity products to produce specialty products; produces and markets phosphate-based fertilizers, as well as sulphuric acid, green phosphoric acid, and phosphate fertilizers; and manufactures thermal phosphoric acid for various industrial end markets, such as oral care, cleaning products, paints and coatings, water treatment, asphalt modification, construction, and metal treatment. It also develops and produces functional food ingredients and phosphate additives for use in the processed meat, poultry, seafood, dairy, beverage, and baked goods markets; and produces milk and whey proteins for the food ingredients industry. The Growing Solutions segment develops, manufactures, markets, and sells fertilizers based primarily on nitrogen, potash, and phosphate, including water soluble specialty, liquid, soluble, and controlled-release fertilizers. It sells its products through marketing companies, agents, and distributors. The company was formerly known as Israel Chemicals Ltd. and changed its name to ICL Group Ltd in May 2020. The company was founded in 1968 and is headquartered in Tel Aviv, Israel.</t>
  </si>
  <si>
    <t>Millenium Tower, 23 Aranha Street, Tel Aviv  6107025, Israel</t>
  </si>
  <si>
    <t>Pontus Protein Ltd., an agricultural food and technology company, which grows and commercializes water lentil protein. It offers Pure Plant Protein Powder, a plant protein for aquaponics farming. The company was formerly known as Pontus Water Lentils Ltd. Pontus Protein Ltd. was incorporated in 2018 and is based in Surrey, Canada.</t>
  </si>
  <si>
    <t>17686 – 66A Avenue, Surrey, British Columbia, V3S 2A7, Canada</t>
  </si>
  <si>
    <t>K+S Aktiengesellschaft, together with its subsidiaries, operates as a supplier of mineral products for the agricultural, industrial, consumer, and community segments worldwide. It offers potassium chloride for crops, such as grain, corn, rice, and soybean; fertilizer specialties that are used for crops with magnesium and sulfur requirements, including rapeseed or potatoes, as well as for chloride-sensitive crops consisting of citrus, grapes, or vegetables; and water-soluble fertilizers for use in fertigation under the KALISOP, KORN-KALI, ROLL-KALI, PATENTKALI, ESTA KIESERIT, MAGNESIA-KAINIT, SOLUMOP, SOLUSOP, SOLUCMS, SOLUMAP, SOLUMKP, EPSO TOP, EPSO MICROTOP, EPSO COMBITOP, EPSO PROFITOP, and EPSO BORTOP brand names. The company also provides potash, magnesium, and salt products for various industrial applications under the APISAL, AXAL, KASA, k-DRILL, NUTRIKS, REGENIT, and SOLSEL brand names. K+S Aktiengesellschaft was founded in 1889 and is headquartered in Kassel, Germany.</t>
  </si>
  <si>
    <t>Bertha-von-Suttner Strasse 7, Kassel, Hessen, 34131, Germany</t>
  </si>
  <si>
    <t>Sociedad Química y Minera de Chile S.A. produces and distributes specialty plant nutrients, iodine derivatives, lithium derivatives, potassium chloride and sulfate, industrial chemicals, and other products and services. The company offers specialty plant nutrients, including potassium nitrate, sodium nitrate, sodium potassium nitrate, specialty blends, and other specialty fertilizers. It also provides iodine and its derivatives for use in medical, pharmaceutical, agricultural, and industrial applications comprising x-ray contrast media, polarizing films for LCD and LED, antiseptics, biocides and disinfectants, pharmaceutical synthesis, electronics, pigments, and dye components. In addition, the company offers lithium carbonates for various applications that include electrochemical materials for batteries, frits for the ceramic and enamel industries, heat-resistant glass, air conditioning chemicals, continuous casting powder for steel extrusion, primary aluminum smelting process, pharmaceuticals, and lithium derivatives, as well as ingredient in manufacturing of gunpowder. Further, it supplies lithium hydroxide for the lubricating greases industry, as well as cathodes for batteries. Additionally, it offers potassium chloride and potassium sulfate for various crops, including corn, rice, sugar, soybean, and wheat; industrial chemicals, including sodium nitrate, potassium nitrate, potassium chloride, and solar salts; and other fertilizers and blends. The company operates in Chile, Latin America and the Caribbean, Europe, North America, Asia, and internationally. The company was founded in 1960 and is headquartered in Santiago, Chile.</t>
  </si>
  <si>
    <t>El Trovador 4285, 6th Floor, Las Condes, Santiago de Chile, Region Metropolitana (Santiago)  Chile</t>
  </si>
  <si>
    <t>Nutrien Ltd. provides crop inputs and services. The company operates through Retail, Potash, Nitrogen, and Phosphate segments. The Retail segment distributes crop nutrients, crop protection products, seeds, and merchandise products. The Potash segment provides granular and standard potash products. The Nitrogen segment offers ammonia, urea, urea ammonium nitrate, industrial grade ammonium nitrate, and ammonium sulfate. The Phosphate segment provides solid fertilizer, liquid fertilizer, and industrial and feed products. In addition, it provides services directly to growers through a network of farm centers in North America, South America, and Australia. The company was incorporated in 2017 and is headquartered in Saskatoon, Canada.</t>
  </si>
  <si>
    <t>211 19th Street East, Suite 1700, Saskatoon, Saskatchewan, S7K 5R6, Canada</t>
  </si>
  <si>
    <t>Nutrien Ltd. (TSX:NTR)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</si>
  <si>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</si>
  <si>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</si>
  <si>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</si>
  <si>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</si>
  <si>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</si>
  <si>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</si>
  <si>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</si>
  <si>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</si>
  <si>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</si>
  <si>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</si>
  <si>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</si>
  <si>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</si>
  <si>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</si>
  <si>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</si>
  <si>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</si>
  <si>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</si>
  <si>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</si>
  <si>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</si>
  <si>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</si>
  <si>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</si>
  <si>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</si>
  <si>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</si>
  <si>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Nutrien Ltd. (TSX:NTR) &gt;  Quick Comparable Analysis &gt; Valuation Chart</t>
  </si>
  <si>
    <t>Template:</t>
  </si>
  <si>
    <t>Currency:</t>
  </si>
  <si>
    <t>As-Of Date:</t>
  </si>
  <si>
    <t>Nutrien Ltd. (TSX:NTR)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</si>
  <si>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</si>
  <si>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</si>
  <si>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</si>
  <si>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</si>
  <si>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</si>
  <si>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</si>
  <si>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</si>
  <si>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</si>
  <si>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</si>
  <si>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</si>
  <si>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</si>
  <si>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</si>
  <si>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</si>
  <si>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</si>
  <si>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BBB+</t>
  </si>
  <si>
    <t>a-</t>
  </si>
  <si>
    <t>0.5664%</t>
  </si>
  <si>
    <t>Chile</t>
  </si>
  <si>
    <t>Fertilizers and Agricultural Chemicals</t>
  </si>
  <si>
    <t>BBB</t>
  </si>
  <si>
    <t>0.5772%</t>
  </si>
  <si>
    <t>United States</t>
  </si>
  <si>
    <t>BB+</t>
  </si>
  <si>
    <t>0.9119%</t>
  </si>
  <si>
    <t>Germany</t>
  </si>
  <si>
    <t>BBB-</t>
  </si>
  <si>
    <t>bbb+</t>
  </si>
  <si>
    <t>1.1602%</t>
  </si>
  <si>
    <t>Netherlands</t>
  </si>
  <si>
    <t>0.3588%</t>
  </si>
  <si>
    <t>Norway</t>
  </si>
  <si>
    <t>a</t>
  </si>
  <si>
    <t>0.6409%</t>
  </si>
  <si>
    <t>A-</t>
  </si>
  <si>
    <t>0.1273%</t>
  </si>
  <si>
    <t>0.5120%</t>
  </si>
  <si>
    <t>Israel</t>
  </si>
  <si>
    <t>bbb</t>
  </si>
  <si>
    <t>0.1904%</t>
  </si>
  <si>
    <t>0.5441%</t>
  </si>
  <si>
    <t>Canada</t>
  </si>
  <si>
    <t>Displaying 10 Companies.</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</si>
  <si>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</si>
  <si>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</si>
  <si>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</si>
  <si>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Nutrien Ltd. (TSX:NTR)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</si>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</sst>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3">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0"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0"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0"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6B9C9C91-7CCF-4EA6-B976-1E8674F6E56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9DD44C51-A2CA-46AF-94BE-AD4BD3CD7D2C}"/>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B09EC76-C097-4038-A4A0-FF732533244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0BD755DF-A2B0-4128-8C83-260A260132F3}"/>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3852D285-AF98-422B-9714-8FB9B8CA4244}"/>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945EC431-377E-424C-8C84-CBC3A38947F2}"/>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918C2B1-BEFE-444D-9792-02F63B6A551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E2C4D257-91F3-4A86-B3A4-E02CC49B3291}"/>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7D18CCA4-0F3E-49C1-9F86-A26A04ED014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76D3A221-AF73-4D28-97C8-F0EBB7FC2179}"/>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ED5521B7-0834-4995-BACC-5843E25C9BF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EACC43CC-1A11-4C6B-9706-1822B2247F05}"/>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3FAC11AC-25B9-43BA-B00F-9529774E6CF8}"/>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FCE7264-6430-429F-A1C4-115ACFB8D658}"/>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49625</xdr:colOff>
      <xdr:row>45</xdr:row>
      <xdr:rowOff>151172</xdr:rowOff>
    </xdr:to>
    <xdr:pic>
      <xdr:nvPicPr>
        <xdr:cNvPr id="3" name="Picture 3">
          <a:extLst>
            <a:ext uri="{FF2B5EF4-FFF2-40B4-BE49-F238E27FC236}">
              <a16:creationId xmlns:a16="http://schemas.microsoft.com/office/drawing/2014/main" id="{7B7DA99A-8B42-461D-8875-3FA10B15E752}"/>
            </a:ext>
          </a:extLst>
        </xdr:cNvPr>
        <xdr:cNvPicPr>
          <a:picLocks noChangeAspect="1"/>
        </xdr:cNvPicPr>
      </xdr:nvPicPr>
      <xdr:blipFill>
        <a:blip xmlns:r="http://schemas.openxmlformats.org/officeDocument/2006/relationships" r:embed="rId2"/>
        <a:stretch>
          <a:fillRect/>
        </a:stretch>
      </xdr:blipFill>
      <xdr:spPr>
        <a:xfrm>
          <a:off x="5038725" y="68675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1B7C3F86-DC5A-4181-9407-22FE243C6A07}"/>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7DF0CDD2-1323-4AC2-9C13-D0A10E349BEA}"/>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0C561-0DAF-418A-9C87-503A6AB5501D}">
  <sheetPr codeName="Sheet1"/>
  <dimension ref="C5:S44"/>
  <sheetViews>
    <sheetView showGridLines="0" tabSelected="1" workbookViewId="0"/>
  </sheetViews>
  <sheetFormatPr defaultRowHeight="13.2" x14ac:dyDescent="0.25"/>
  <cols>
    <col min="1" max="2" width="8.88671875" style="86"/>
    <col min="3" max="3" width="47.33203125" style="86" bestFit="1" customWidth="1"/>
    <col min="4" max="4" width="19.88671875" style="86" bestFit="1" customWidth="1"/>
    <col min="5" max="5" width="22.5546875" style="86" bestFit="1" customWidth="1"/>
    <col min="6" max="6" width="23.44140625" style="86" bestFit="1" customWidth="1"/>
    <col min="7" max="7" width="12.5546875" style="86" bestFit="1" customWidth="1"/>
    <col min="8" max="8" width="24.44140625" style="86" bestFit="1" customWidth="1"/>
    <col min="9" max="9" width="23" style="86" bestFit="1" customWidth="1"/>
    <col min="10" max="10" width="22.5546875" style="86" bestFit="1" customWidth="1"/>
    <col min="11" max="11" width="19.5546875" style="86" bestFit="1" customWidth="1"/>
    <col min="12" max="12" width="39" style="86" bestFit="1" customWidth="1"/>
    <col min="13" max="13" width="34.109375" style="86" bestFit="1" customWidth="1"/>
    <col min="14" max="14" width="26.33203125" style="86" bestFit="1" customWidth="1"/>
    <col min="15" max="15" width="8.88671875" style="86"/>
    <col min="16" max="16" width="28.5546875" style="86" bestFit="1" customWidth="1"/>
    <col min="17" max="19" width="11.44140625" style="86" bestFit="1" customWidth="1"/>
    <col min="20" max="16384" width="8.88671875" style="86"/>
  </cols>
  <sheetData>
    <row r="5" spans="3:19" ht="13.8" thickBot="1" x14ac:dyDescent="0.3"/>
    <row r="6" spans="3:19" x14ac:dyDescent="0.25">
      <c r="C6" s="92" t="s">
        <v>8</v>
      </c>
      <c r="D6" s="93" t="s">
        <v>9</v>
      </c>
      <c r="E6" s="93" t="s">
        <v>10</v>
      </c>
      <c r="F6" s="93" t="s">
        <v>11</v>
      </c>
      <c r="G6" s="93" t="s">
        <v>12</v>
      </c>
      <c r="H6" s="93" t="s">
        <v>15</v>
      </c>
      <c r="I6" s="93" t="s">
        <v>22</v>
      </c>
      <c r="J6" s="93" t="s">
        <v>23</v>
      </c>
      <c r="K6" s="93" t="s">
        <v>24</v>
      </c>
      <c r="L6" s="93" t="s">
        <v>55</v>
      </c>
      <c r="M6" s="93" t="s">
        <v>56</v>
      </c>
      <c r="N6" s="94" t="s">
        <v>57</v>
      </c>
      <c r="P6" s="88"/>
      <c r="Q6" s="89" t="s">
        <v>192</v>
      </c>
      <c r="R6" s="89" t="s">
        <v>193</v>
      </c>
      <c r="S6" s="91" t="s">
        <v>194</v>
      </c>
    </row>
    <row r="7" spans="3:19" x14ac:dyDescent="0.25">
      <c r="C7" s="95" t="s">
        <v>25</v>
      </c>
      <c r="D7" s="107">
        <v>42.08</v>
      </c>
      <c r="E7" s="109">
        <v>332.1</v>
      </c>
      <c r="F7" s="107">
        <v>13974.7</v>
      </c>
      <c r="G7" s="107">
        <v>3072.6</v>
      </c>
      <c r="H7" s="107">
        <v>17186.900000000001</v>
      </c>
      <c r="I7" s="107">
        <v>14592.27</v>
      </c>
      <c r="J7" s="107">
        <v>3844.1</v>
      </c>
      <c r="K7" s="107">
        <v>6.58</v>
      </c>
      <c r="L7" s="111">
        <v>1.18</v>
      </c>
      <c r="M7" s="111">
        <v>4.47</v>
      </c>
      <c r="N7" s="112">
        <v>6.4</v>
      </c>
      <c r="P7" s="87" t="s">
        <v>195</v>
      </c>
      <c r="Q7" s="125">
        <v>0.33333333333333331</v>
      </c>
      <c r="R7" s="125">
        <v>0.33333333333333331</v>
      </c>
      <c r="S7" s="126">
        <v>0.33333333333333331</v>
      </c>
    </row>
    <row r="8" spans="3:19" x14ac:dyDescent="0.25">
      <c r="C8" s="95" t="s">
        <v>27</v>
      </c>
      <c r="D8" s="107">
        <v>70.11</v>
      </c>
      <c r="E8" s="109">
        <v>196</v>
      </c>
      <c r="F8" s="107">
        <v>13739.8</v>
      </c>
      <c r="G8" s="107">
        <v>902</v>
      </c>
      <c r="H8" s="107">
        <v>17443.8</v>
      </c>
      <c r="I8" s="107">
        <v>7319.05</v>
      </c>
      <c r="J8" s="107">
        <v>3419.2</v>
      </c>
      <c r="K8" s="107">
        <v>9.91</v>
      </c>
      <c r="L8" s="111">
        <v>2.38</v>
      </c>
      <c r="M8" s="111">
        <v>5.0999999999999996</v>
      </c>
      <c r="N8" s="112">
        <v>7.07</v>
      </c>
      <c r="P8" s="87" t="s">
        <v>196</v>
      </c>
      <c r="Q8" s="127">
        <f>INDEX(L24:L44,MATCH($L$22,$K$24:$K$44))</f>
        <v>1.258</v>
      </c>
      <c r="R8" s="127">
        <f>INDEX(M24:M44,MATCH($L$22,$K$24:$K$44))</f>
        <v>4.4879999999999995</v>
      </c>
      <c r="S8" s="128">
        <f>INDEX(N24:N44,MATCH($L$22,$K$24:$K$44))</f>
        <v>6.8380000000000001</v>
      </c>
    </row>
    <row r="9" spans="3:19" x14ac:dyDescent="0.25">
      <c r="C9" s="95" t="s">
        <v>28</v>
      </c>
      <c r="D9" s="107">
        <v>60.67</v>
      </c>
      <c r="E9" s="109">
        <v>712.6</v>
      </c>
      <c r="F9" s="107">
        <v>43233.8</v>
      </c>
      <c r="G9" s="107">
        <v>-1558</v>
      </c>
      <c r="H9" s="107">
        <v>41914.800000000003</v>
      </c>
      <c r="I9" s="107">
        <v>18485.28</v>
      </c>
      <c r="J9" s="107">
        <v>3572.92</v>
      </c>
      <c r="K9" s="107">
        <v>2.88</v>
      </c>
      <c r="L9" s="111">
        <v>2.27</v>
      </c>
      <c r="M9" s="111">
        <v>11.73</v>
      </c>
      <c r="N9" s="112">
        <v>21.1</v>
      </c>
      <c r="P9" s="87" t="s">
        <v>197</v>
      </c>
      <c r="Q9" s="118">
        <v>31483.41</v>
      </c>
      <c r="R9" s="118">
        <v>8506.11</v>
      </c>
      <c r="S9" s="119">
        <v>8.81</v>
      </c>
    </row>
    <row r="10" spans="3:19" x14ac:dyDescent="0.25">
      <c r="C10" s="95" t="s">
        <v>29</v>
      </c>
      <c r="D10" s="107">
        <v>42.15</v>
      </c>
      <c r="E10" s="109">
        <v>254.7</v>
      </c>
      <c r="F10" s="107">
        <v>10734.3</v>
      </c>
      <c r="G10" s="107">
        <v>3208</v>
      </c>
      <c r="H10" s="107">
        <v>13717.2</v>
      </c>
      <c r="I10" s="107">
        <v>18511.349999999999</v>
      </c>
      <c r="J10" s="107">
        <v>2987.31</v>
      </c>
      <c r="K10" s="107">
        <v>5.64</v>
      </c>
      <c r="L10" s="111">
        <v>0.74</v>
      </c>
      <c r="M10" s="111">
        <v>4.59</v>
      </c>
      <c r="N10" s="112">
        <v>7.47</v>
      </c>
      <c r="P10" s="87" t="s">
        <v>198</v>
      </c>
      <c r="Q10" s="118">
        <f>Q9*Q8</f>
        <v>39606.129780000003</v>
      </c>
      <c r="R10" s="118">
        <f>R9*R8</f>
        <v>38175.421679999999</v>
      </c>
      <c r="S10" s="119">
        <f>S12+S11</f>
        <v>41076.098664000005</v>
      </c>
    </row>
    <row r="11" spans="3:19" x14ac:dyDescent="0.25">
      <c r="C11" s="95" t="s">
        <v>30</v>
      </c>
      <c r="D11" s="107">
        <v>26.42</v>
      </c>
      <c r="E11" s="109">
        <v>210.7</v>
      </c>
      <c r="F11" s="107">
        <v>5565.4</v>
      </c>
      <c r="G11" s="107">
        <v>1434.8</v>
      </c>
      <c r="H11" s="107">
        <v>9124.2000000000007</v>
      </c>
      <c r="I11" s="107">
        <v>6681.11</v>
      </c>
      <c r="J11" s="107">
        <v>2414.94</v>
      </c>
      <c r="K11" s="107">
        <v>3.12</v>
      </c>
      <c r="L11" s="111">
        <v>1.37</v>
      </c>
      <c r="M11" s="111">
        <v>3.78</v>
      </c>
      <c r="N11" s="112">
        <v>8.48</v>
      </c>
      <c r="P11" s="87" t="s">
        <v>199</v>
      </c>
      <c r="Q11" s="118">
        <v>11027</v>
      </c>
      <c r="R11" s="118">
        <v>11027</v>
      </c>
      <c r="S11" s="119">
        <v>11027</v>
      </c>
    </row>
    <row r="12" spans="3:19" x14ac:dyDescent="0.25">
      <c r="C12" s="95" t="s">
        <v>31</v>
      </c>
      <c r="D12" s="107">
        <v>121.78</v>
      </c>
      <c r="E12" s="109">
        <v>125.1</v>
      </c>
      <c r="F12" s="107">
        <v>15239.8</v>
      </c>
      <c r="G12" s="107">
        <v>2840.2</v>
      </c>
      <c r="H12" s="107">
        <v>18103</v>
      </c>
      <c r="I12" s="107">
        <v>6150.92</v>
      </c>
      <c r="J12" s="107">
        <v>1541.56</v>
      </c>
      <c r="K12" s="107">
        <v>7.83</v>
      </c>
      <c r="L12" s="111">
        <v>2.94</v>
      </c>
      <c r="M12" s="111">
        <v>11.74</v>
      </c>
      <c r="N12" s="112">
        <v>15.55</v>
      </c>
      <c r="P12" s="87" t="s">
        <v>124</v>
      </c>
      <c r="Q12" s="118">
        <f>Q10-Q11</f>
        <v>28579.129780000003</v>
      </c>
      <c r="R12" s="118">
        <f>R10-R11</f>
        <v>27148.421679999999</v>
      </c>
      <c r="S12" s="119">
        <f>S13*S14</f>
        <v>30049.098664000001</v>
      </c>
    </row>
    <row r="13" spans="3:19" x14ac:dyDescent="0.25">
      <c r="C13" s="95" t="s">
        <v>32</v>
      </c>
      <c r="D13" s="107">
        <v>6.12</v>
      </c>
      <c r="E13" s="109">
        <v>1289.3</v>
      </c>
      <c r="F13" s="107">
        <v>7888.3</v>
      </c>
      <c r="G13" s="107">
        <v>2344</v>
      </c>
      <c r="H13" s="107">
        <v>10395.6</v>
      </c>
      <c r="I13" s="107">
        <v>8448.9599999999991</v>
      </c>
      <c r="J13" s="107">
        <v>2279.63</v>
      </c>
      <c r="K13" s="107">
        <v>0.9</v>
      </c>
      <c r="L13" s="111">
        <v>1.23</v>
      </c>
      <c r="M13" s="111">
        <v>4.5599999999999996</v>
      </c>
      <c r="N13" s="112">
        <v>6.78</v>
      </c>
      <c r="P13" s="87" t="s">
        <v>200</v>
      </c>
      <c r="Q13" s="129">
        <v>498.8</v>
      </c>
      <c r="R13" s="129">
        <v>498.8</v>
      </c>
      <c r="S13" s="130">
        <v>498.8</v>
      </c>
    </row>
    <row r="14" spans="3:19" ht="13.8" thickBot="1" x14ac:dyDescent="0.3">
      <c r="C14" s="95" t="s">
        <v>33</v>
      </c>
      <c r="D14" s="107">
        <v>0</v>
      </c>
      <c r="E14" s="109">
        <v>97.3</v>
      </c>
      <c r="F14" s="107">
        <v>0.4</v>
      </c>
      <c r="G14" s="107">
        <v>1.1000000000000001</v>
      </c>
      <c r="H14" s="107">
        <v>1.5</v>
      </c>
      <c r="I14" s="107" t="s">
        <v>26</v>
      </c>
      <c r="J14" s="107" t="s">
        <v>26</v>
      </c>
      <c r="K14" s="107" t="s">
        <v>26</v>
      </c>
      <c r="L14" s="111" t="s">
        <v>26</v>
      </c>
      <c r="M14" s="111" t="s">
        <v>26</v>
      </c>
      <c r="N14" s="112" t="s">
        <v>26</v>
      </c>
      <c r="P14" s="104" t="s">
        <v>201</v>
      </c>
      <c r="Q14" s="120">
        <f>Q12/Q13</f>
        <v>57.295769406575786</v>
      </c>
      <c r="R14" s="121">
        <f>R12/R13</f>
        <v>54.427469286287085</v>
      </c>
      <c r="S14" s="122">
        <f>S8*S9</f>
        <v>60.242780000000003</v>
      </c>
    </row>
    <row r="15" spans="3:19" x14ac:dyDescent="0.25">
      <c r="C15" s="95" t="s">
        <v>34</v>
      </c>
      <c r="D15" s="107">
        <v>19.77</v>
      </c>
      <c r="E15" s="109">
        <v>191.4</v>
      </c>
      <c r="F15" s="107">
        <v>3783.5</v>
      </c>
      <c r="G15" s="107">
        <v>-94.8</v>
      </c>
      <c r="H15" s="107">
        <v>3688.7</v>
      </c>
      <c r="I15" s="107">
        <v>5192.88</v>
      </c>
      <c r="J15" s="107">
        <v>1531.12</v>
      </c>
      <c r="K15" s="107">
        <v>3.98</v>
      </c>
      <c r="L15" s="111">
        <v>0.71</v>
      </c>
      <c r="M15" s="111">
        <v>2.41</v>
      </c>
      <c r="N15" s="112">
        <v>4.97</v>
      </c>
      <c r="P15" s="88" t="s">
        <v>202</v>
      </c>
      <c r="Q15" s="123">
        <f>SUMPRODUCT(Q14:S14,Q7:S7)</f>
        <v>57.322006230954287</v>
      </c>
      <c r="R15" s="124"/>
      <c r="S15" s="124"/>
    </row>
    <row r="16" spans="3:19" x14ac:dyDescent="0.25">
      <c r="C16" s="95" t="s">
        <v>35</v>
      </c>
      <c r="D16" s="107">
        <v>67.02</v>
      </c>
      <c r="E16" s="109">
        <v>285.60000000000002</v>
      </c>
      <c r="F16" s="107">
        <v>19143.400000000001</v>
      </c>
      <c r="G16" s="107">
        <v>-626.5</v>
      </c>
      <c r="H16" s="107">
        <v>18552.400000000001</v>
      </c>
      <c r="I16" s="107">
        <v>9699.7199999999993</v>
      </c>
      <c r="J16" s="107">
        <v>4924.05</v>
      </c>
      <c r="K16" s="107">
        <v>11.8</v>
      </c>
      <c r="L16" s="111">
        <v>1.91</v>
      </c>
      <c r="M16" s="111">
        <v>3.77</v>
      </c>
      <c r="N16" s="112">
        <v>5.68</v>
      </c>
      <c r="P16" s="87" t="s">
        <v>203</v>
      </c>
      <c r="Q16" s="119">
        <v>68.94</v>
      </c>
      <c r="R16" s="124"/>
      <c r="S16" s="124"/>
    </row>
    <row r="17" spans="3:19" ht="13.8" thickBot="1" x14ac:dyDescent="0.3">
      <c r="C17" s="96" t="s">
        <v>36</v>
      </c>
      <c r="D17" s="108">
        <v>68.94</v>
      </c>
      <c r="E17" s="110">
        <v>498.8</v>
      </c>
      <c r="F17" s="108">
        <v>34384.699999999997</v>
      </c>
      <c r="G17" s="108">
        <v>11027</v>
      </c>
      <c r="H17" s="108">
        <v>45403.4</v>
      </c>
      <c r="I17" s="108">
        <v>31483.41</v>
      </c>
      <c r="J17" s="108">
        <v>8506.11</v>
      </c>
      <c r="K17" s="108">
        <v>8.81</v>
      </c>
      <c r="L17" s="113">
        <v>1.44</v>
      </c>
      <c r="M17" s="113">
        <v>5.34</v>
      </c>
      <c r="N17" s="114">
        <v>7.83</v>
      </c>
      <c r="P17" s="90" t="s">
        <v>204</v>
      </c>
      <c r="Q17" s="131">
        <f>Q15/Q16-1</f>
        <v>-0.16852326325856848</v>
      </c>
      <c r="R17" s="124"/>
      <c r="S17" s="124"/>
    </row>
    <row r="20" spans="3:19" ht="26.4" x14ac:dyDescent="0.25">
      <c r="C20" s="105" t="s">
        <v>205</v>
      </c>
      <c r="D20" s="106">
        <f>Q17</f>
        <v>-0.16852326325856848</v>
      </c>
    </row>
    <row r="21" spans="3:19" ht="13.8" thickBot="1" x14ac:dyDescent="0.3"/>
    <row r="22" spans="3:19" ht="13.8" thickBot="1" x14ac:dyDescent="0.3">
      <c r="K22" s="103" t="s">
        <v>191</v>
      </c>
      <c r="L22" s="132">
        <f>BENCHMARKING!D28</f>
        <v>0.43181818181818188</v>
      </c>
    </row>
    <row r="23" spans="3:19" ht="13.8" thickBot="1" x14ac:dyDescent="0.3">
      <c r="K23" s="86" t="s">
        <v>190</v>
      </c>
    </row>
    <row r="24" spans="3:19" x14ac:dyDescent="0.25">
      <c r="K24" s="115">
        <v>0</v>
      </c>
      <c r="L24" s="97">
        <f>PERCENTILE(L7:L16,K24)</f>
        <v>0.71</v>
      </c>
      <c r="M24" s="97">
        <f>PERCENTILE(M7:M16,K24)</f>
        <v>2.41</v>
      </c>
      <c r="N24" s="98">
        <f>PERCENTILE(N7:N16,K24)</f>
        <v>4.97</v>
      </c>
    </row>
    <row r="25" spans="3:19" x14ac:dyDescent="0.25">
      <c r="K25" s="116">
        <v>0.05</v>
      </c>
      <c r="L25" s="99">
        <f>PERCENTILE(L7:L16,K25)</f>
        <v>0.72199999999999998</v>
      </c>
      <c r="M25" s="99">
        <f>PERCENTILE(M7:M16,K25)</f>
        <v>2.9539999999999997</v>
      </c>
      <c r="N25" s="100">
        <f>PERCENTILE(N7:N16,K25)</f>
        <v>5.2539999999999996</v>
      </c>
    </row>
    <row r="26" spans="3:19" x14ac:dyDescent="0.25">
      <c r="K26" s="116">
        <v>0.1</v>
      </c>
      <c r="L26" s="99">
        <f>PERCENTILE(L7:L16,K26)</f>
        <v>0.73399999999999999</v>
      </c>
      <c r="M26" s="99">
        <f>PERCENTILE(M7:M16,K26)</f>
        <v>3.4980000000000002</v>
      </c>
      <c r="N26" s="100">
        <f>PERCENTILE(N7:N16,K26)</f>
        <v>5.5379999999999994</v>
      </c>
    </row>
    <row r="27" spans="3:19" x14ac:dyDescent="0.25">
      <c r="K27" s="116">
        <v>0.15</v>
      </c>
      <c r="L27" s="99">
        <f>PERCENTILE(L7:L16,K27)</f>
        <v>0.82800000000000007</v>
      </c>
      <c r="M27" s="99">
        <f>PERCENTILE(M7:M16,K27)</f>
        <v>3.7719999999999998</v>
      </c>
      <c r="N27" s="100">
        <f>PERCENTILE(N7:N16,K27)</f>
        <v>5.8239999999999998</v>
      </c>
    </row>
    <row r="28" spans="3:19" x14ac:dyDescent="0.25">
      <c r="K28" s="116">
        <v>0.2</v>
      </c>
      <c r="L28" s="99">
        <f>PERCENTILE(L7:L16,K28)</f>
        <v>1.004</v>
      </c>
      <c r="M28" s="99">
        <f>PERCENTILE(M7:M16,K28)</f>
        <v>3.7759999999999998</v>
      </c>
      <c r="N28" s="100">
        <f>PERCENTILE(N7:N16,K28)</f>
        <v>6.1120000000000001</v>
      </c>
    </row>
    <row r="29" spans="3:19" x14ac:dyDescent="0.25">
      <c r="K29" s="116">
        <v>0.25</v>
      </c>
      <c r="L29" s="99">
        <f>PERCENTILE(L7:L16,K29)</f>
        <v>1.18</v>
      </c>
      <c r="M29" s="99">
        <f>PERCENTILE(M7:M16,K29)</f>
        <v>3.78</v>
      </c>
      <c r="N29" s="100">
        <f>PERCENTILE(N7:N16,K29)</f>
        <v>6.4</v>
      </c>
    </row>
    <row r="30" spans="3:19" x14ac:dyDescent="0.25">
      <c r="K30" s="116">
        <v>0.3</v>
      </c>
      <c r="L30" s="99">
        <f>PERCENTILE(L7:L16,K30)</f>
        <v>1.2</v>
      </c>
      <c r="M30" s="99">
        <f>PERCENTILE(M7:M16,K30)</f>
        <v>4.056</v>
      </c>
      <c r="N30" s="100">
        <f>PERCENTILE(N7:N16,K30)</f>
        <v>6.5520000000000005</v>
      </c>
    </row>
    <row r="31" spans="3:19" x14ac:dyDescent="0.25">
      <c r="K31" s="116">
        <v>0.35</v>
      </c>
      <c r="L31" s="99">
        <f>PERCENTILE(L7:L16,K31)</f>
        <v>1.22</v>
      </c>
      <c r="M31" s="99">
        <f>PERCENTILE(M7:M16,K31)</f>
        <v>4.3319999999999999</v>
      </c>
      <c r="N31" s="100">
        <f>PERCENTILE(N7:N16,K31)</f>
        <v>6.7040000000000006</v>
      </c>
    </row>
    <row r="32" spans="3:19" x14ac:dyDescent="0.25">
      <c r="K32" s="116">
        <v>0.4</v>
      </c>
      <c r="L32" s="99">
        <f>PERCENTILE(L7:L16,K32)</f>
        <v>1.258</v>
      </c>
      <c r="M32" s="99">
        <f>PERCENTILE(M7:M16,K32)</f>
        <v>4.4879999999999995</v>
      </c>
      <c r="N32" s="100">
        <f>PERCENTILE(N7:N16,K32)</f>
        <v>6.8380000000000001</v>
      </c>
    </row>
    <row r="33" spans="11:14" x14ac:dyDescent="0.25">
      <c r="K33" s="116">
        <v>0.45</v>
      </c>
      <c r="L33" s="99">
        <f>PERCENTILE(L7:L16,K33)</f>
        <v>1.3140000000000001</v>
      </c>
      <c r="M33" s="99">
        <f>PERCENTILE(M7:M16,K33)</f>
        <v>4.524</v>
      </c>
      <c r="N33" s="100">
        <f>PERCENTILE(N7:N16,K33)</f>
        <v>6.9539999999999997</v>
      </c>
    </row>
    <row r="34" spans="11:14" x14ac:dyDescent="0.25">
      <c r="K34" s="116">
        <v>0.5</v>
      </c>
      <c r="L34" s="99">
        <f>PERCENTILE(L7:L16,K34)</f>
        <v>1.37</v>
      </c>
      <c r="M34" s="99">
        <f>PERCENTILE(M7:M16,K34)</f>
        <v>4.5599999999999996</v>
      </c>
      <c r="N34" s="100">
        <f>PERCENTILE(N7:N16,K34)</f>
        <v>7.07</v>
      </c>
    </row>
    <row r="35" spans="11:14" x14ac:dyDescent="0.25">
      <c r="K35" s="116">
        <v>0.55000000000000004</v>
      </c>
      <c r="L35" s="99">
        <f>PERCENTILE(L7:L16,K35)</f>
        <v>1.5860000000000003</v>
      </c>
      <c r="M35" s="99">
        <f>PERCENTILE(M7:M16,K35)</f>
        <v>4.5720000000000001</v>
      </c>
      <c r="N35" s="100">
        <f>PERCENTILE(N7:N16,K35)</f>
        <v>7.23</v>
      </c>
    </row>
    <row r="36" spans="11:14" x14ac:dyDescent="0.25">
      <c r="K36" s="116">
        <v>0.6</v>
      </c>
      <c r="L36" s="99">
        <f>PERCENTILE(L7:L16,K36)</f>
        <v>1.8019999999999998</v>
      </c>
      <c r="M36" s="99">
        <f>PERCENTILE(M7:M16,K36)</f>
        <v>4.5839999999999996</v>
      </c>
      <c r="N36" s="100">
        <f>PERCENTILE(N7:N16,K36)</f>
        <v>7.39</v>
      </c>
    </row>
    <row r="37" spans="11:14" x14ac:dyDescent="0.25">
      <c r="K37" s="116">
        <v>0.65</v>
      </c>
      <c r="L37" s="99">
        <f>PERCENTILE(L7:L16,K37)</f>
        <v>1.982</v>
      </c>
      <c r="M37" s="99">
        <f>PERCENTILE(M7:M16,K37)</f>
        <v>4.6920000000000002</v>
      </c>
      <c r="N37" s="100">
        <f>PERCENTILE(N7:N16,K37)</f>
        <v>7.6719999999999997</v>
      </c>
    </row>
    <row r="38" spans="11:14" x14ac:dyDescent="0.25">
      <c r="K38" s="116">
        <v>0.7</v>
      </c>
      <c r="L38" s="99">
        <f>PERCENTILE(L7:L16,K38)</f>
        <v>2.1259999999999999</v>
      </c>
      <c r="M38" s="99">
        <f>PERCENTILE(M7:M16,K38)</f>
        <v>4.8959999999999999</v>
      </c>
      <c r="N38" s="100">
        <f>PERCENTILE(N7:N16,K38)</f>
        <v>8.0760000000000005</v>
      </c>
    </row>
    <row r="39" spans="11:14" x14ac:dyDescent="0.25">
      <c r="K39" s="116">
        <v>0.75</v>
      </c>
      <c r="L39" s="99">
        <f>PERCENTILE(L7:L16,K39)</f>
        <v>2.27</v>
      </c>
      <c r="M39" s="99">
        <f>PERCENTILE(M7:M16,K39)</f>
        <v>5.0999999999999996</v>
      </c>
      <c r="N39" s="100">
        <f>PERCENTILE(N7:N16,K39)</f>
        <v>8.48</v>
      </c>
    </row>
    <row r="40" spans="11:14" x14ac:dyDescent="0.25">
      <c r="K40" s="116">
        <v>0.8</v>
      </c>
      <c r="L40" s="99">
        <f>PERCENTILE(L7:L16,K40)</f>
        <v>2.3140000000000001</v>
      </c>
      <c r="M40" s="99">
        <f>PERCENTILE(M7:M16,K40)</f>
        <v>7.7520000000000024</v>
      </c>
      <c r="N40" s="100">
        <f>PERCENTILE(N7:N16,K40)</f>
        <v>11.308000000000003</v>
      </c>
    </row>
    <row r="41" spans="11:14" x14ac:dyDescent="0.25">
      <c r="K41" s="116">
        <v>0.85</v>
      </c>
      <c r="L41" s="99">
        <f>PERCENTILE(L7:L16,K41)</f>
        <v>2.3580000000000001</v>
      </c>
      <c r="M41" s="99">
        <f>PERCENTILE(M7:M16,K41)</f>
        <v>10.404</v>
      </c>
      <c r="N41" s="100">
        <f>PERCENTILE(N7:N16,K41)</f>
        <v>14.135999999999999</v>
      </c>
    </row>
    <row r="42" spans="11:14" x14ac:dyDescent="0.25">
      <c r="K42" s="116">
        <v>0.9</v>
      </c>
      <c r="L42" s="99">
        <f>PERCENTILE(L7:L16,K42)</f>
        <v>2.4919999999999995</v>
      </c>
      <c r="M42" s="99">
        <f>PERCENTILE(M7:M16,K42)</f>
        <v>11.732000000000001</v>
      </c>
      <c r="N42" s="100">
        <f>PERCENTILE(N7:N16,K42)</f>
        <v>16.659999999999997</v>
      </c>
    </row>
    <row r="43" spans="11:14" x14ac:dyDescent="0.25">
      <c r="K43" s="116">
        <v>0.95</v>
      </c>
      <c r="L43" s="99">
        <f>PERCENTILE(L7:L16,K43)</f>
        <v>2.7159999999999997</v>
      </c>
      <c r="M43" s="99">
        <f>PERCENTILE(M7:M16,K43)</f>
        <v>11.736000000000001</v>
      </c>
      <c r="N43" s="100">
        <f>PERCENTILE(N7:N16,K43)</f>
        <v>18.88</v>
      </c>
    </row>
    <row r="44" spans="11:14" ht="13.8" thickBot="1" x14ac:dyDescent="0.3">
      <c r="K44" s="117">
        <v>1</v>
      </c>
      <c r="L44" s="101">
        <f>PERCENTILE(L7:L16,K44)</f>
        <v>2.94</v>
      </c>
      <c r="M44" s="101">
        <f>PERCENTILE(M7:M16,K44)</f>
        <v>11.74</v>
      </c>
      <c r="N44" s="102">
        <f>PERCENTILE(N7:N16,K44)</f>
        <v>21.1</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20C00-7F86-4FDB-8E80-7910DEE9FD3F}">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6" t="s">
        <v>62</v>
      </c>
      <c r="E6" s="66" t="s">
        <v>63</v>
      </c>
      <c r="F6" s="66" t="s">
        <v>64</v>
      </c>
      <c r="G6" s="66" t="s">
        <v>65</v>
      </c>
      <c r="H6" s="66" t="s">
        <v>66</v>
      </c>
      <c r="I6" s="66" t="s">
        <v>67</v>
      </c>
      <c r="J6" s="66" t="s">
        <v>68</v>
      </c>
      <c r="K6" s="66" t="s">
        <v>69</v>
      </c>
      <c r="L6" s="66" t="s">
        <v>70</v>
      </c>
      <c r="M6" s="66" t="s">
        <v>71</v>
      </c>
      <c r="N6" s="66" t="s">
        <v>72</v>
      </c>
      <c r="O6" s="67" t="s">
        <v>73</v>
      </c>
    </row>
    <row r="7" spans="3:15" ht="30.6" x14ac:dyDescent="0.2">
      <c r="C7" s="64" t="s">
        <v>25</v>
      </c>
      <c r="D7" s="71">
        <v>0.30199999999999999</v>
      </c>
      <c r="E7" s="72">
        <v>0.307</v>
      </c>
      <c r="F7" s="72">
        <v>0.253</v>
      </c>
      <c r="G7" s="73">
        <v>0.18729999999999999</v>
      </c>
      <c r="H7" s="73">
        <v>0.54769999999999996</v>
      </c>
      <c r="I7" s="73">
        <v>0.65390000000000004</v>
      </c>
      <c r="J7" s="73">
        <v>0.79730000000000001</v>
      </c>
      <c r="K7" s="73">
        <v>1.1972</v>
      </c>
      <c r="L7" s="73">
        <v>0.23799999999999999</v>
      </c>
      <c r="M7" s="74">
        <v>0.6</v>
      </c>
      <c r="N7" s="75" t="s">
        <v>26</v>
      </c>
      <c r="O7" s="76">
        <v>1.5</v>
      </c>
    </row>
    <row r="8" spans="3:15" ht="30.6" x14ac:dyDescent="0.2">
      <c r="C8" s="64" t="s">
        <v>27</v>
      </c>
      <c r="D8" s="68">
        <v>0.52400000000000002</v>
      </c>
      <c r="E8" s="53">
        <v>0.57399999999999995</v>
      </c>
      <c r="F8" s="53">
        <v>0.498</v>
      </c>
      <c r="G8" s="54">
        <v>0.29909999999999998</v>
      </c>
      <c r="H8" s="54">
        <v>0.71089999999999998</v>
      </c>
      <c r="I8" s="54">
        <v>1.0929</v>
      </c>
      <c r="J8" s="54">
        <v>1.5555000000000001</v>
      </c>
      <c r="K8" s="54">
        <v>2.6488999999999998</v>
      </c>
      <c r="L8" s="54">
        <v>0.29110000000000003</v>
      </c>
      <c r="M8" s="55">
        <v>0.5</v>
      </c>
      <c r="N8" s="54">
        <v>0.06</v>
      </c>
      <c r="O8" s="62">
        <v>1</v>
      </c>
    </row>
    <row r="9" spans="3:15" ht="20.399999999999999" x14ac:dyDescent="0.2">
      <c r="C9" s="64" t="s">
        <v>28</v>
      </c>
      <c r="D9" s="68">
        <v>0.40300000000000002</v>
      </c>
      <c r="E9" s="53">
        <v>0.19</v>
      </c>
      <c r="F9" s="53">
        <v>0.12</v>
      </c>
      <c r="G9" s="54">
        <v>6.5699999999999995E-2</v>
      </c>
      <c r="H9" s="54">
        <v>0.115</v>
      </c>
      <c r="I9" s="54">
        <v>-0.14360000000000001</v>
      </c>
      <c r="J9" s="54">
        <v>-0.20380000000000001</v>
      </c>
      <c r="K9" s="54">
        <v>-0.34789999999999999</v>
      </c>
      <c r="L9" s="54">
        <v>6.4399999999999999E-2</v>
      </c>
      <c r="M9" s="55">
        <v>0.5</v>
      </c>
      <c r="N9" s="54">
        <v>0.16569999999999999</v>
      </c>
      <c r="O9" s="62">
        <v>0.78</v>
      </c>
    </row>
    <row r="10" spans="3:15" ht="30.6" x14ac:dyDescent="0.2">
      <c r="C10" s="64" t="s">
        <v>29</v>
      </c>
      <c r="D10" s="68">
        <v>0.27400000000000002</v>
      </c>
      <c r="E10" s="53">
        <v>0.188</v>
      </c>
      <c r="F10" s="53">
        <v>0.155</v>
      </c>
      <c r="G10" s="54">
        <v>0.1162</v>
      </c>
      <c r="H10" s="54">
        <v>0.4385</v>
      </c>
      <c r="I10" s="54">
        <v>0.755</v>
      </c>
      <c r="J10" s="54">
        <v>1.1223000000000001</v>
      </c>
      <c r="K10" s="54">
        <v>5.1848999999999998</v>
      </c>
      <c r="L10" s="54">
        <v>0.3291</v>
      </c>
      <c r="M10" s="55">
        <v>0.9</v>
      </c>
      <c r="N10" s="54">
        <v>0.1656</v>
      </c>
      <c r="O10" s="62">
        <v>0.43</v>
      </c>
    </row>
    <row r="11" spans="3:15" ht="20.399999999999999" x14ac:dyDescent="0.2">
      <c r="C11" s="64" t="s">
        <v>30</v>
      </c>
      <c r="D11" s="68">
        <v>0.34699999999999998</v>
      </c>
      <c r="E11" s="53">
        <v>0.36299999999999999</v>
      </c>
      <c r="F11" s="53">
        <v>0.308</v>
      </c>
      <c r="G11" s="54">
        <v>0.12740000000000001</v>
      </c>
      <c r="H11" s="54">
        <v>0.53720000000000001</v>
      </c>
      <c r="I11" s="54">
        <v>0.4677</v>
      </c>
      <c r="J11" s="54">
        <v>0.62609999999999999</v>
      </c>
      <c r="K11" s="54">
        <v>1.169</v>
      </c>
      <c r="L11" s="54">
        <v>0.42070000000000002</v>
      </c>
      <c r="M11" s="55">
        <v>0.9</v>
      </c>
      <c r="N11" s="54">
        <v>-0.16</v>
      </c>
      <c r="O11" s="62">
        <v>0.96</v>
      </c>
    </row>
    <row r="12" spans="3:15" ht="20.399999999999999" x14ac:dyDescent="0.2">
      <c r="C12" s="64" t="s">
        <v>31</v>
      </c>
      <c r="D12" s="68">
        <v>0.40100000000000002</v>
      </c>
      <c r="E12" s="53">
        <v>0.24199999999999999</v>
      </c>
      <c r="F12" s="53">
        <v>0.21299999999999999</v>
      </c>
      <c r="G12" s="54">
        <v>0.12690000000000001</v>
      </c>
      <c r="H12" s="54">
        <v>0.15010000000000001</v>
      </c>
      <c r="I12" s="54">
        <v>7.0800000000000002E-2</v>
      </c>
      <c r="J12" s="54">
        <v>8.2699999999999996E-2</v>
      </c>
      <c r="K12" s="54">
        <v>-4.1999999999999997E-3</v>
      </c>
      <c r="L12" s="54">
        <v>0.50170000000000003</v>
      </c>
      <c r="M12" s="55">
        <v>2.4</v>
      </c>
      <c r="N12" s="54">
        <v>7.0000000000000007E-2</v>
      </c>
      <c r="O12" s="62">
        <v>0.83</v>
      </c>
    </row>
    <row r="13" spans="3:15" ht="20.399999999999999" x14ac:dyDescent="0.2">
      <c r="C13" s="64" t="s">
        <v>32</v>
      </c>
      <c r="D13" s="68">
        <v>0.502</v>
      </c>
      <c r="E13" s="53">
        <v>0.39300000000000002</v>
      </c>
      <c r="F13" s="53">
        <v>0.35199999999999998</v>
      </c>
      <c r="G13" s="54">
        <v>0.21560000000000001</v>
      </c>
      <c r="H13" s="54">
        <v>0.44</v>
      </c>
      <c r="I13" s="54">
        <v>1.4883</v>
      </c>
      <c r="J13" s="54">
        <v>2.0093999999999999</v>
      </c>
      <c r="K13" s="54">
        <v>1.7573000000000001</v>
      </c>
      <c r="L13" s="54">
        <v>0.33300000000000002</v>
      </c>
      <c r="M13" s="55">
        <v>0.7</v>
      </c>
      <c r="N13" s="54">
        <v>-0.26169999999999999</v>
      </c>
      <c r="O13" s="62">
        <v>0.41</v>
      </c>
    </row>
    <row r="14" spans="3:15" ht="30.6" x14ac:dyDescent="0.2">
      <c r="C14" s="64" t="s">
        <v>33</v>
      </c>
      <c r="D14" s="69" t="s">
        <v>26</v>
      </c>
      <c r="E14" s="56" t="s">
        <v>26</v>
      </c>
      <c r="F14" s="56" t="s">
        <v>26</v>
      </c>
      <c r="G14" s="56" t="s">
        <v>26</v>
      </c>
      <c r="H14" s="56" t="s">
        <v>26</v>
      </c>
      <c r="I14" s="56" t="s">
        <v>26</v>
      </c>
      <c r="J14" s="56" t="s">
        <v>26</v>
      </c>
      <c r="K14" s="56" t="s">
        <v>26</v>
      </c>
      <c r="L14" s="54">
        <v>0.51259999999999994</v>
      </c>
      <c r="M14" s="56" t="s">
        <v>74</v>
      </c>
      <c r="N14" s="56" t="s">
        <v>26</v>
      </c>
      <c r="O14" s="62">
        <v>3.91</v>
      </c>
    </row>
    <row r="15" spans="3:15" ht="30.6" x14ac:dyDescent="0.2">
      <c r="C15" s="64" t="s">
        <v>34</v>
      </c>
      <c r="D15" s="68">
        <v>0.433</v>
      </c>
      <c r="E15" s="53">
        <v>0.432</v>
      </c>
      <c r="F15" s="53">
        <v>0.36099999999999999</v>
      </c>
      <c r="G15" s="54">
        <v>0.26569999999999999</v>
      </c>
      <c r="H15" s="54">
        <v>0.76670000000000005</v>
      </c>
      <c r="I15" s="54">
        <v>2.2593999999999999</v>
      </c>
      <c r="J15" s="54">
        <v>3.1573000000000002</v>
      </c>
      <c r="K15" s="54">
        <v>-0.48780000000000001</v>
      </c>
      <c r="L15" s="54">
        <v>0.1181</v>
      </c>
      <c r="M15" s="55">
        <v>0.4</v>
      </c>
      <c r="N15" s="54">
        <v>-0.33050000000000002</v>
      </c>
      <c r="O15" s="62">
        <v>1.01</v>
      </c>
    </row>
    <row r="16" spans="3:15" ht="40.799999999999997" x14ac:dyDescent="0.2">
      <c r="C16" s="64" t="s">
        <v>35</v>
      </c>
      <c r="D16" s="68">
        <v>0.53600000000000003</v>
      </c>
      <c r="E16" s="53">
        <v>0.54300000000000004</v>
      </c>
      <c r="F16" s="53">
        <v>0.52100000000000002</v>
      </c>
      <c r="G16" s="54">
        <v>0.36470000000000002</v>
      </c>
      <c r="H16" s="54">
        <v>2.7418999999999998</v>
      </c>
      <c r="I16" s="54">
        <v>4.1174999999999997</v>
      </c>
      <c r="J16" s="54">
        <v>4.9852999999999996</v>
      </c>
      <c r="K16" s="54">
        <v>5.6722999999999999</v>
      </c>
      <c r="L16" s="54">
        <v>0.37659999999999999</v>
      </c>
      <c r="M16" s="55">
        <v>0.5</v>
      </c>
      <c r="N16" s="54">
        <v>-0.12670000000000001</v>
      </c>
      <c r="O16" s="62">
        <v>0.98</v>
      </c>
    </row>
    <row r="17" spans="3:15" ht="21" thickBot="1" x14ac:dyDescent="0.25">
      <c r="C17" s="65" t="s">
        <v>36</v>
      </c>
      <c r="D17" s="70">
        <v>0.41699999999999998</v>
      </c>
      <c r="E17" s="58">
        <v>0.311</v>
      </c>
      <c r="F17" s="58">
        <v>0.26600000000000001</v>
      </c>
      <c r="G17" s="59">
        <v>0.20699999999999999</v>
      </c>
      <c r="H17" s="59">
        <v>0.37790000000000001</v>
      </c>
      <c r="I17" s="59">
        <v>0.77400000000000002</v>
      </c>
      <c r="J17" s="59">
        <v>1.0305</v>
      </c>
      <c r="K17" s="59">
        <v>1.4294</v>
      </c>
      <c r="L17" s="59">
        <v>0.31559999999999999</v>
      </c>
      <c r="M17" s="60">
        <v>1</v>
      </c>
      <c r="N17" s="61" t="s">
        <v>26</v>
      </c>
      <c r="O17" s="63">
        <v>0.89</v>
      </c>
    </row>
    <row r="27" spans="3:15" ht="10.8" thickBot="1" x14ac:dyDescent="0.25"/>
    <row r="28" spans="3:15" ht="10.8" thickBot="1" x14ac:dyDescent="0.25">
      <c r="C28" s="51" t="s">
        <v>188</v>
      </c>
      <c r="D28" s="49">
        <f>AVERAGE(D29:O29)</f>
        <v>0.43181818181818188</v>
      </c>
    </row>
    <row r="29" spans="3:15" ht="10.8" thickBot="1" x14ac:dyDescent="0.25">
      <c r="C29" s="52" t="s">
        <v>189</v>
      </c>
      <c r="D29" s="50">
        <f>IFERROR(INDEX(C31:C51,MATCH(D17,D31:D51)),"NA")</f>
        <v>0.55000000000000004</v>
      </c>
      <c r="E29" s="47">
        <f>IFERROR(INDEX(C31:C51,MATCH(E17,E31:E51)),"NA")</f>
        <v>0.35</v>
      </c>
      <c r="F29" s="47">
        <f>IFERROR(INDEX(C31:C51,MATCH(F17,F31:F51)),"NA")</f>
        <v>0.4</v>
      </c>
      <c r="G29" s="47">
        <f>IFERROR(INDEX(C31:C51,MATCH(G17,G31:G51)),"NA")</f>
        <v>0.55000000000000004</v>
      </c>
      <c r="H29" s="47">
        <f>IFERROR(INDEX(C31:C51,MATCH(H17,H31:H51)),"NA")</f>
        <v>0.2</v>
      </c>
      <c r="I29" s="47">
        <f>IFERROR(INDEX(C31:C51,MATCH(I17,I31:I51)),"NA")</f>
        <v>0.5</v>
      </c>
      <c r="J29" s="47">
        <f>IFERROR(INDEX(C31:C51,MATCH(J17,J31:J51)),"NA")</f>
        <v>0.45</v>
      </c>
      <c r="K29" s="47">
        <f>IFERROR(INDEX(C31:C51,MATCH(K17,K31:K51)),"NA")</f>
        <v>0.55000000000000004</v>
      </c>
      <c r="L29" s="47">
        <f>IFERROR(INDEX(C31:C51,MATCH(L17,L31:L51)),"NA")</f>
        <v>0.4</v>
      </c>
      <c r="M29" s="47">
        <f>IFERROR((1-INDEX(C31:C51,MATCH(M17,M31:M51))),"NA")</f>
        <v>0.15000000000000002</v>
      </c>
      <c r="N29" s="47" t="str">
        <f>IFERROR(INDEX(C31:C51,MATCH(N17,N31:N51)),"NA")</f>
        <v>NA</v>
      </c>
      <c r="O29" s="48">
        <f>IFERROR((1-INDEX(C31:C51,MATCH(O17,O31:O51))),"NA")</f>
        <v>0.65</v>
      </c>
    </row>
    <row r="30" spans="3:15" ht="10.8" thickBot="1" x14ac:dyDescent="0.25">
      <c r="C30" s="43" t="s">
        <v>190</v>
      </c>
    </row>
    <row r="31" spans="3:15" x14ac:dyDescent="0.2">
      <c r="C31" s="45">
        <v>0</v>
      </c>
      <c r="D31" s="77">
        <f>PERCENTILE(D7:D16,C31)</f>
        <v>0.27400000000000002</v>
      </c>
      <c r="E31" s="77">
        <f>PERCENTILE(E7:E16,C31)</f>
        <v>0.188</v>
      </c>
      <c r="F31" s="77">
        <f>PERCENTILE(F7:F16,C31)</f>
        <v>0.12</v>
      </c>
      <c r="G31" s="77">
        <f>PERCENTILE(G7:G16,C31)</f>
        <v>6.5699999999999995E-2</v>
      </c>
      <c r="H31" s="77">
        <f>PERCENTILE(H7:H16,C31)</f>
        <v>0.115</v>
      </c>
      <c r="I31" s="77">
        <f>PERCENTILE(I7:I16,C31)</f>
        <v>-0.14360000000000001</v>
      </c>
      <c r="J31" s="77">
        <f>PERCENTILE(J7:J16,C31)</f>
        <v>-0.20380000000000001</v>
      </c>
      <c r="K31" s="77">
        <f>PERCENTILE(K7:K16,C31)</f>
        <v>-0.48780000000000001</v>
      </c>
      <c r="L31" s="77">
        <f>PERCENTILE(L7:L16,C31)</f>
        <v>6.4399999999999999E-2</v>
      </c>
      <c r="M31" s="80">
        <f>PERCENTILE(M7:M16,C31)</f>
        <v>0.4</v>
      </c>
      <c r="N31" s="77">
        <f>PERCENTILE(N7:N16,C31)</f>
        <v>-0.33050000000000002</v>
      </c>
      <c r="O31" s="83">
        <f>PERCENTILE(O7:O16,C31)</f>
        <v>0.41</v>
      </c>
    </row>
    <row r="32" spans="3:15" x14ac:dyDescent="0.2">
      <c r="C32" s="44">
        <v>0.05</v>
      </c>
      <c r="D32" s="78">
        <f>PERCENTILE(D7:D16,C32)</f>
        <v>0.28520000000000001</v>
      </c>
      <c r="E32" s="78">
        <f>PERCENTILE(E7:E16,C32)</f>
        <v>0.1888</v>
      </c>
      <c r="F32" s="78">
        <f>PERCENTILE(F7:F16,C32)</f>
        <v>0.13400000000000001</v>
      </c>
      <c r="G32" s="78">
        <f>PERCENTILE(G7:G16,C32)</f>
        <v>8.589999999999999E-2</v>
      </c>
      <c r="H32" s="78">
        <f>PERCENTILE(H7:H16,C32)</f>
        <v>0.12904000000000002</v>
      </c>
      <c r="I32" s="78">
        <f>PERCENTILE(I7:I16,C32)</f>
        <v>-5.7840000000000016E-2</v>
      </c>
      <c r="J32" s="78">
        <f>PERCENTILE(J7:J16,C32)</f>
        <v>-8.9200000000000043E-2</v>
      </c>
      <c r="K32" s="78">
        <f>PERCENTILE(K7:K16,C32)</f>
        <v>-0.43184</v>
      </c>
      <c r="L32" s="78">
        <f>PERCENTILE(L7:L16,C32)</f>
        <v>8.8564999999999991E-2</v>
      </c>
      <c r="M32" s="81">
        <f>PERCENTILE(M7:M16,C32)</f>
        <v>0.44</v>
      </c>
      <c r="N32" s="78">
        <f>PERCENTILE(N7:N16,C32)</f>
        <v>-0.30642000000000003</v>
      </c>
      <c r="O32" s="84">
        <f>PERCENTILE(O7:O16,C32)</f>
        <v>0.41899999999999998</v>
      </c>
    </row>
    <row r="33" spans="3:15" x14ac:dyDescent="0.2">
      <c r="C33" s="44">
        <v>0.1</v>
      </c>
      <c r="D33" s="78">
        <f>PERCENTILE(D7:D16,C33)</f>
        <v>0.2964</v>
      </c>
      <c r="E33" s="78">
        <f>PERCENTILE(E7:E16,C33)</f>
        <v>0.18959999999999999</v>
      </c>
      <c r="F33" s="78">
        <f>PERCENTILE(F7:F16,C33)</f>
        <v>0.14799999999999999</v>
      </c>
      <c r="G33" s="78">
        <f>PERCENTILE(G7:G16,C33)</f>
        <v>0.1061</v>
      </c>
      <c r="H33" s="78">
        <f>PERCENTILE(H7:H16,C33)</f>
        <v>0.14308000000000001</v>
      </c>
      <c r="I33" s="78">
        <f>PERCENTILE(I7:I16,C33)</f>
        <v>2.792E-2</v>
      </c>
      <c r="J33" s="78">
        <f>PERCENTILE(J7:J16,C33)</f>
        <v>2.5399999999999978E-2</v>
      </c>
      <c r="K33" s="78">
        <f>PERCENTILE(K7:K16,C33)</f>
        <v>-0.37587999999999999</v>
      </c>
      <c r="L33" s="78">
        <f>PERCENTILE(L7:L16,C33)</f>
        <v>0.11273</v>
      </c>
      <c r="M33" s="81">
        <f>PERCENTILE(M7:M16,C33)</f>
        <v>0.48</v>
      </c>
      <c r="N33" s="78">
        <f>PERCENTILE(N7:N16,C33)</f>
        <v>-0.28233999999999998</v>
      </c>
      <c r="O33" s="84">
        <f>PERCENTILE(O7:O16,C33)</f>
        <v>0.42799999999999999</v>
      </c>
    </row>
    <row r="34" spans="3:15" x14ac:dyDescent="0.2">
      <c r="C34" s="44">
        <v>0.15</v>
      </c>
      <c r="D34" s="78">
        <f>PERCENTILE(D7:D16,C34)</f>
        <v>0.311</v>
      </c>
      <c r="E34" s="78">
        <f>PERCENTILE(E7:E16,C34)</f>
        <v>0.20040000000000002</v>
      </c>
      <c r="F34" s="78">
        <f>PERCENTILE(F7:F16,C34)</f>
        <v>0.1666</v>
      </c>
      <c r="G34" s="78">
        <f>PERCENTILE(G7:G16,C34)</f>
        <v>0.11834</v>
      </c>
      <c r="H34" s="78">
        <f>PERCENTILE(H7:H16,C34)</f>
        <v>0.20778000000000008</v>
      </c>
      <c r="I34" s="78">
        <f>PERCENTILE(I7:I16,C34)</f>
        <v>0.15018000000000009</v>
      </c>
      <c r="J34" s="78">
        <f>PERCENTILE(J7:J16,C34)</f>
        <v>0.19138000000000011</v>
      </c>
      <c r="K34" s="78">
        <f>PERCENTILE(K7:K16,C34)</f>
        <v>-0.27915999999999991</v>
      </c>
      <c r="L34" s="78">
        <f>PERCENTILE(L7:L16,C34)</f>
        <v>0.16006499999999996</v>
      </c>
      <c r="M34" s="81">
        <f>PERCENTILE(M7:M16,C34)</f>
        <v>0.5</v>
      </c>
      <c r="N34" s="78">
        <f>PERCENTILE(N7:N16,C34)</f>
        <v>-0.25661499999999998</v>
      </c>
      <c r="O34" s="84">
        <f>PERCENTILE(O7:O16,C34)</f>
        <v>0.55249999999999988</v>
      </c>
    </row>
    <row r="35" spans="3:15" x14ac:dyDescent="0.2">
      <c r="C35" s="44">
        <v>0.2</v>
      </c>
      <c r="D35" s="78">
        <f>PERCENTILE(D7:D16,C35)</f>
        <v>0.32899999999999996</v>
      </c>
      <c r="E35" s="78">
        <f>PERCENTILE(E7:E16,C35)</f>
        <v>0.22120000000000001</v>
      </c>
      <c r="F35" s="78">
        <f>PERCENTILE(F7:F16,C35)</f>
        <v>0.1898</v>
      </c>
      <c r="G35" s="78">
        <f>PERCENTILE(G7:G16,C35)</f>
        <v>0.12262000000000001</v>
      </c>
      <c r="H35" s="78">
        <f>PERCENTILE(H7:H16,C35)</f>
        <v>0.32314000000000004</v>
      </c>
      <c r="I35" s="78">
        <f>PERCENTILE(I7:I16,C35)</f>
        <v>0.30894000000000005</v>
      </c>
      <c r="J35" s="78">
        <f>PERCENTILE(J7:J16,C35)</f>
        <v>0.40874000000000005</v>
      </c>
      <c r="K35" s="78">
        <f>PERCENTILE(K7:K16,C35)</f>
        <v>-0.14167999999999994</v>
      </c>
      <c r="L35" s="78">
        <f>PERCENTILE(L7:L16,C35)</f>
        <v>0.21401999999999999</v>
      </c>
      <c r="M35" s="81">
        <f>PERCENTILE(M7:M16,C35)</f>
        <v>0.5</v>
      </c>
      <c r="N35" s="78">
        <f>PERCENTILE(N7:N16,C35)</f>
        <v>-0.22101999999999997</v>
      </c>
      <c r="O35" s="84">
        <f>PERCENTILE(O7:O16,C35)</f>
        <v>0.71</v>
      </c>
    </row>
    <row r="36" spans="3:15" x14ac:dyDescent="0.2">
      <c r="C36" s="44">
        <v>0.25</v>
      </c>
      <c r="D36" s="78">
        <f>PERCENTILE(D7:D16,C36)</f>
        <v>0.34699999999999998</v>
      </c>
      <c r="E36" s="78">
        <f>PERCENTILE(E7:E16,C36)</f>
        <v>0.24199999999999999</v>
      </c>
      <c r="F36" s="78">
        <f>PERCENTILE(F7:F16,C36)</f>
        <v>0.21299999999999999</v>
      </c>
      <c r="G36" s="78">
        <f>PERCENTILE(G7:G16,C36)</f>
        <v>0.12690000000000001</v>
      </c>
      <c r="H36" s="78">
        <f>PERCENTILE(H7:H16,C36)</f>
        <v>0.4385</v>
      </c>
      <c r="I36" s="78">
        <f>PERCENTILE(I7:I16,C36)</f>
        <v>0.4677</v>
      </c>
      <c r="J36" s="78">
        <f>PERCENTILE(J7:J16,C36)</f>
        <v>0.62609999999999999</v>
      </c>
      <c r="K36" s="78">
        <f>PERCENTILE(K7:K16,C36)</f>
        <v>-4.1999999999999997E-3</v>
      </c>
      <c r="L36" s="78">
        <f>PERCENTILE(L7:L16,C36)</f>
        <v>0.25127500000000003</v>
      </c>
      <c r="M36" s="81">
        <f>PERCENTILE(M7:M16,C36)</f>
        <v>0.5</v>
      </c>
      <c r="N36" s="78">
        <f>PERCENTILE(N7:N16,C36)</f>
        <v>-0.18542500000000001</v>
      </c>
      <c r="O36" s="84">
        <f>PERCENTILE(O7:O16,C36)</f>
        <v>0.79249999999999998</v>
      </c>
    </row>
    <row r="37" spans="3:15" x14ac:dyDescent="0.2">
      <c r="C37" s="44">
        <v>0.3</v>
      </c>
      <c r="D37" s="78">
        <f>PERCENTILE(D7:D16,C37)</f>
        <v>0.36859999999999998</v>
      </c>
      <c r="E37" s="78">
        <f>PERCENTILE(E7:E16,C37)</f>
        <v>0.26800000000000002</v>
      </c>
      <c r="F37" s="78">
        <f>PERCENTILE(F7:F16,C37)</f>
        <v>0.22899999999999998</v>
      </c>
      <c r="G37" s="78">
        <f>PERCENTILE(G7:G16,C37)</f>
        <v>0.12710000000000002</v>
      </c>
      <c r="H37" s="78">
        <f>PERCENTILE(H7:H16,C37)</f>
        <v>0.43909999999999999</v>
      </c>
      <c r="I37" s="78">
        <f>PERCENTILE(I7:I16,C37)</f>
        <v>0.54218</v>
      </c>
      <c r="J37" s="78">
        <f>PERCENTILE(J7:J16,C37)</f>
        <v>0.69457999999999998</v>
      </c>
      <c r="K37" s="78">
        <f>PERCENTILE(K7:K16,C37)</f>
        <v>0.46507999999999994</v>
      </c>
      <c r="L37" s="78">
        <f>PERCENTILE(L7:L16,C37)</f>
        <v>0.27517000000000003</v>
      </c>
      <c r="M37" s="81">
        <f>PERCENTILE(M7:M16,C37)</f>
        <v>0.5</v>
      </c>
      <c r="N37" s="78">
        <f>PERCENTILE(N7:N16,C37)</f>
        <v>-0.15667</v>
      </c>
      <c r="O37" s="84">
        <f>PERCENTILE(O7:O16,C37)</f>
        <v>0.81499999999999995</v>
      </c>
    </row>
    <row r="38" spans="3:15" x14ac:dyDescent="0.2">
      <c r="C38" s="44">
        <v>0.35</v>
      </c>
      <c r="D38" s="78">
        <f>PERCENTILE(D7:D16,C38)</f>
        <v>0.39019999999999999</v>
      </c>
      <c r="E38" s="78">
        <f>PERCENTILE(E7:E16,C38)</f>
        <v>0.29399999999999998</v>
      </c>
      <c r="F38" s="78">
        <f>PERCENTILE(F7:F16,C38)</f>
        <v>0.245</v>
      </c>
      <c r="G38" s="78">
        <f>PERCENTILE(G7:G16,C38)</f>
        <v>0.12730000000000002</v>
      </c>
      <c r="H38" s="78">
        <f>PERCENTILE(H7:H16,C38)</f>
        <v>0.43969999999999998</v>
      </c>
      <c r="I38" s="78">
        <f>PERCENTILE(I7:I16,C38)</f>
        <v>0.61665999999999999</v>
      </c>
      <c r="J38" s="78">
        <f>PERCENTILE(J7:J16,C38)</f>
        <v>0.76305999999999996</v>
      </c>
      <c r="K38" s="78">
        <f>PERCENTILE(K7:K16,C38)</f>
        <v>0.93435999999999986</v>
      </c>
      <c r="L38" s="78">
        <f>PERCENTILE(L7:L16,C38)</f>
        <v>0.29680000000000006</v>
      </c>
      <c r="M38" s="81">
        <f>PERCENTILE(M7:M16,C38)</f>
        <v>0.5</v>
      </c>
      <c r="N38" s="78">
        <f>PERCENTILE(N7:N16,C38)</f>
        <v>-0.14501500000000001</v>
      </c>
      <c r="O38" s="84">
        <f>PERCENTILE(O7:O16,C38)</f>
        <v>0.84950000000000003</v>
      </c>
    </row>
    <row r="39" spans="3:15" x14ac:dyDescent="0.2">
      <c r="C39" s="44">
        <v>0.4</v>
      </c>
      <c r="D39" s="78">
        <f>PERCENTILE(D7:D16,C39)</f>
        <v>0.40140000000000003</v>
      </c>
      <c r="E39" s="78">
        <f>PERCENTILE(E7:E16,C39)</f>
        <v>0.31819999999999998</v>
      </c>
      <c r="F39" s="78">
        <f>PERCENTILE(F7:F16,C39)</f>
        <v>0.26400000000000001</v>
      </c>
      <c r="G39" s="78">
        <f>PERCENTILE(G7:G16,C39)</f>
        <v>0.13938000000000003</v>
      </c>
      <c r="H39" s="78">
        <f>PERCENTILE(H7:H16,C39)</f>
        <v>0.45944000000000002</v>
      </c>
      <c r="I39" s="78">
        <f>PERCENTILE(I7:I16,C39)</f>
        <v>0.67412000000000005</v>
      </c>
      <c r="J39" s="78">
        <f>PERCENTILE(J7:J16,C39)</f>
        <v>0.86230000000000007</v>
      </c>
      <c r="K39" s="78">
        <f>PERCENTILE(K7:K16,C39)</f>
        <v>1.1746400000000001</v>
      </c>
      <c r="L39" s="78">
        <f>PERCENTILE(L7:L16,C39)</f>
        <v>0.31390000000000001</v>
      </c>
      <c r="M39" s="81">
        <f>PERCENTILE(M7:M16,C39)</f>
        <v>0.52</v>
      </c>
      <c r="N39" s="78">
        <f>PERCENTILE(N7:N16,C39)</f>
        <v>-0.13336000000000001</v>
      </c>
      <c r="O39" s="84">
        <f>PERCENTILE(O7:O16,C39)</f>
        <v>0.90799999999999992</v>
      </c>
    </row>
    <row r="40" spans="3:15" x14ac:dyDescent="0.2">
      <c r="C40" s="44">
        <v>0.45</v>
      </c>
      <c r="D40" s="78">
        <f>PERCENTILE(D7:D16,C40)</f>
        <v>0.4022</v>
      </c>
      <c r="E40" s="78">
        <f>PERCENTILE(E7:E16,C40)</f>
        <v>0.34059999999999996</v>
      </c>
      <c r="F40" s="78">
        <f>PERCENTILE(F7:F16,C40)</f>
        <v>0.28599999999999998</v>
      </c>
      <c r="G40" s="78">
        <f>PERCENTILE(G7:G16,C40)</f>
        <v>0.16333999999999999</v>
      </c>
      <c r="H40" s="78">
        <f>PERCENTILE(H7:H16,C40)</f>
        <v>0.49831999999999999</v>
      </c>
      <c r="I40" s="78">
        <f>PERCENTILE(I7:I16,C40)</f>
        <v>0.71455999999999997</v>
      </c>
      <c r="J40" s="78">
        <f>PERCENTILE(J7:J16,C40)</f>
        <v>0.99229999999999996</v>
      </c>
      <c r="K40" s="78">
        <f>PERCENTILE(K7:K16,C40)</f>
        <v>1.1859200000000001</v>
      </c>
      <c r="L40" s="78">
        <f>PERCENTILE(L7:L16,C40)</f>
        <v>0.329295</v>
      </c>
      <c r="M40" s="81">
        <f>PERCENTILE(M7:M16,C40)</f>
        <v>0.55999999999999994</v>
      </c>
      <c r="N40" s="78">
        <f>PERCENTILE(N7:N16,C40)</f>
        <v>-9.8694999999999936E-2</v>
      </c>
      <c r="O40" s="84">
        <f>PERCENTILE(O7:O16,C40)</f>
        <v>0.96099999999999997</v>
      </c>
    </row>
    <row r="41" spans="3:15" x14ac:dyDescent="0.2">
      <c r="C41" s="44">
        <v>0.5</v>
      </c>
      <c r="D41" s="78">
        <f>PERCENTILE(D7:D16,C41)</f>
        <v>0.40300000000000002</v>
      </c>
      <c r="E41" s="78">
        <f>PERCENTILE(E7:E16,C41)</f>
        <v>0.36299999999999999</v>
      </c>
      <c r="F41" s="78">
        <f>PERCENTILE(F7:F16,C41)</f>
        <v>0.308</v>
      </c>
      <c r="G41" s="78">
        <f>PERCENTILE(G7:G16,C41)</f>
        <v>0.18729999999999999</v>
      </c>
      <c r="H41" s="78">
        <f>PERCENTILE(H7:H16,C41)</f>
        <v>0.53720000000000001</v>
      </c>
      <c r="I41" s="78">
        <f>PERCENTILE(I7:I16,C41)</f>
        <v>0.755</v>
      </c>
      <c r="J41" s="78">
        <f>PERCENTILE(J7:J16,C41)</f>
        <v>1.1223000000000001</v>
      </c>
      <c r="K41" s="78">
        <f>PERCENTILE(K7:K16,C41)</f>
        <v>1.1972</v>
      </c>
      <c r="L41" s="78">
        <f>PERCENTILE(L7:L16,C41)</f>
        <v>0.33105000000000001</v>
      </c>
      <c r="M41" s="81">
        <f>PERCENTILE(M7:M16,C41)</f>
        <v>0.6</v>
      </c>
      <c r="N41" s="78">
        <f>PERCENTILE(N7:N16,C41)</f>
        <v>-3.3350000000000005E-2</v>
      </c>
      <c r="O41" s="84">
        <f>PERCENTILE(O7:O16,C41)</f>
        <v>0.97</v>
      </c>
    </row>
    <row r="42" spans="3:15" x14ac:dyDescent="0.2">
      <c r="C42" s="44">
        <v>0.55000000000000004</v>
      </c>
      <c r="D42" s="78">
        <f>PERCENTILE(D7:D16,C42)</f>
        <v>0.41500000000000004</v>
      </c>
      <c r="E42" s="78">
        <f>PERCENTILE(E7:E16,C42)</f>
        <v>0.375</v>
      </c>
      <c r="F42" s="78">
        <f>PERCENTILE(F7:F16,C42)</f>
        <v>0.3256</v>
      </c>
      <c r="G42" s="78">
        <f>PERCENTILE(G7:G16,C42)</f>
        <v>0.19862000000000002</v>
      </c>
      <c r="H42" s="78">
        <f>PERCENTILE(H7:H16,C42)</f>
        <v>0.54139999999999999</v>
      </c>
      <c r="I42" s="78">
        <f>PERCENTILE(I7:I16,C42)</f>
        <v>0.89016000000000006</v>
      </c>
      <c r="J42" s="78">
        <f>PERCENTILE(J7:J16,C42)</f>
        <v>1.2955800000000002</v>
      </c>
      <c r="K42" s="78">
        <f>PERCENTILE(K7:K16,C42)</f>
        <v>1.4212400000000003</v>
      </c>
      <c r="L42" s="78">
        <f>PERCENTILE(L7:L16,C42)</f>
        <v>0.33280500000000002</v>
      </c>
      <c r="M42" s="81">
        <f>PERCENTILE(M7:M16,C42)</f>
        <v>0.64</v>
      </c>
      <c r="N42" s="78">
        <f>PERCENTILE(N7:N16,C42)</f>
        <v>3.1995000000000107E-2</v>
      </c>
      <c r="O42" s="84">
        <f>PERCENTILE(O7:O16,C42)</f>
        <v>0.97899999999999998</v>
      </c>
    </row>
    <row r="43" spans="3:15" x14ac:dyDescent="0.2">
      <c r="C43" s="44">
        <v>0.6</v>
      </c>
      <c r="D43" s="78">
        <f>PERCENTILE(D7:D16,C43)</f>
        <v>0.42699999999999999</v>
      </c>
      <c r="E43" s="78">
        <f>PERCENTILE(E7:E16,C43)</f>
        <v>0.38700000000000001</v>
      </c>
      <c r="F43" s="78">
        <f>PERCENTILE(F7:F16,C43)</f>
        <v>0.34319999999999995</v>
      </c>
      <c r="G43" s="78">
        <f>PERCENTILE(G7:G16,C43)</f>
        <v>0.20994000000000002</v>
      </c>
      <c r="H43" s="78">
        <f>PERCENTILE(H7:H16,C43)</f>
        <v>0.54559999999999997</v>
      </c>
      <c r="I43" s="78">
        <f>PERCENTILE(I7:I16,C43)</f>
        <v>1.02532</v>
      </c>
      <c r="J43" s="78">
        <f>PERCENTILE(J7:J16,C43)</f>
        <v>1.4688600000000001</v>
      </c>
      <c r="K43" s="78">
        <f>PERCENTILE(K7:K16,C43)</f>
        <v>1.6452800000000001</v>
      </c>
      <c r="L43" s="78">
        <f>PERCENTILE(L7:L16,C43)</f>
        <v>0.35043999999999997</v>
      </c>
      <c r="M43" s="81">
        <f>PERCENTILE(M7:M16,C43)</f>
        <v>0.67999999999999994</v>
      </c>
      <c r="N43" s="78">
        <f>PERCENTILE(N7:N16,C43)</f>
        <v>6.2E-2</v>
      </c>
      <c r="O43" s="84">
        <f>PERCENTILE(O7:O16,C43)</f>
        <v>0.98799999999999999</v>
      </c>
    </row>
    <row r="44" spans="3:15" x14ac:dyDescent="0.2">
      <c r="C44" s="44">
        <v>0.65</v>
      </c>
      <c r="D44" s="78">
        <f>PERCENTILE(D7:D16,C44)</f>
        <v>0.44680000000000003</v>
      </c>
      <c r="E44" s="78">
        <f>PERCENTILE(E7:E16,C44)</f>
        <v>0.40080000000000005</v>
      </c>
      <c r="F44" s="78">
        <f>PERCENTILE(F7:F16,C44)</f>
        <v>0.3538</v>
      </c>
      <c r="G44" s="78">
        <f>PERCENTILE(G7:G16,C44)</f>
        <v>0.22562000000000001</v>
      </c>
      <c r="H44" s="78">
        <f>PERCENTILE(H7:H16,C44)</f>
        <v>0.58033999999999997</v>
      </c>
      <c r="I44" s="78">
        <f>PERCENTILE(I7:I16,C44)</f>
        <v>1.17198</v>
      </c>
      <c r="J44" s="78">
        <f>PERCENTILE(J7:J16,C44)</f>
        <v>1.6462800000000002</v>
      </c>
      <c r="K44" s="78">
        <f>PERCENTILE(K7:K16,C44)</f>
        <v>1.9356200000000001</v>
      </c>
      <c r="L44" s="78">
        <f>PERCENTILE(L7:L16,C44)</f>
        <v>0.37006</v>
      </c>
      <c r="M44" s="81">
        <f>PERCENTILE(M7:M16,C44)</f>
        <v>0.74</v>
      </c>
      <c r="N44" s="78">
        <f>PERCENTILE(N7:N16,C44)</f>
        <v>6.5500000000000003E-2</v>
      </c>
      <c r="O44" s="84">
        <f>PERCENTILE(O7:O16,C44)</f>
        <v>0.997</v>
      </c>
    </row>
    <row r="45" spans="3:15" x14ac:dyDescent="0.2">
      <c r="C45" s="44">
        <v>0.7</v>
      </c>
      <c r="D45" s="78">
        <f>PERCENTILE(D7:D16,C45)</f>
        <v>0.47439999999999999</v>
      </c>
      <c r="E45" s="78">
        <f>PERCENTILE(E7:E16,C45)</f>
        <v>0.41639999999999999</v>
      </c>
      <c r="F45" s="78">
        <f>PERCENTILE(F7:F16,C45)</f>
        <v>0.3574</v>
      </c>
      <c r="G45" s="78">
        <f>PERCENTILE(G7:G16,C45)</f>
        <v>0.24565999999999999</v>
      </c>
      <c r="H45" s="78">
        <f>PERCENTILE(H7:H16,C45)</f>
        <v>0.64561999999999986</v>
      </c>
      <c r="I45" s="78">
        <f>PERCENTILE(I7:I16,C45)</f>
        <v>1.3301399999999999</v>
      </c>
      <c r="J45" s="78">
        <f>PERCENTILE(J7:J16,C45)</f>
        <v>1.8278399999999997</v>
      </c>
      <c r="K45" s="78">
        <f>PERCENTILE(K7:K16,C45)</f>
        <v>2.2922599999999997</v>
      </c>
      <c r="L45" s="78">
        <f>PERCENTILE(L7:L16,C45)</f>
        <v>0.38983000000000001</v>
      </c>
      <c r="M45" s="81">
        <f>PERCENTILE(M7:M16,C45)</f>
        <v>0.82</v>
      </c>
      <c r="N45" s="78">
        <f>PERCENTILE(N7:N16,C45)</f>
        <v>6.9000000000000006E-2</v>
      </c>
      <c r="O45" s="84">
        <f>PERCENTILE(O7:O16,C45)</f>
        <v>1.0029999999999999</v>
      </c>
    </row>
    <row r="46" spans="3:15" x14ac:dyDescent="0.2">
      <c r="C46" s="44">
        <v>0.75</v>
      </c>
      <c r="D46" s="78">
        <f>PERCENTILE(D7:D16,C46)</f>
        <v>0.502</v>
      </c>
      <c r="E46" s="78">
        <f>PERCENTILE(E7:E16,C46)</f>
        <v>0.432</v>
      </c>
      <c r="F46" s="78">
        <f>PERCENTILE(F7:F16,C46)</f>
        <v>0.36099999999999999</v>
      </c>
      <c r="G46" s="78">
        <f>PERCENTILE(G7:G16,C46)</f>
        <v>0.26569999999999999</v>
      </c>
      <c r="H46" s="78">
        <f>PERCENTILE(H7:H16,C46)</f>
        <v>0.71089999999999998</v>
      </c>
      <c r="I46" s="78">
        <f>PERCENTILE(I7:I16,C46)</f>
        <v>1.4883</v>
      </c>
      <c r="J46" s="78">
        <f>PERCENTILE(J7:J16,C46)</f>
        <v>2.0093999999999999</v>
      </c>
      <c r="K46" s="78">
        <f>PERCENTILE(K7:K16,C46)</f>
        <v>2.6488999999999998</v>
      </c>
      <c r="L46" s="78">
        <f>PERCENTILE(L7:L16,C46)</f>
        <v>0.40967500000000001</v>
      </c>
      <c r="M46" s="81">
        <f>PERCENTILE(M7:M16,C46)</f>
        <v>0.9</v>
      </c>
      <c r="N46" s="78">
        <f>PERCENTILE(N7:N16,C46)</f>
        <v>9.3900000000000011E-2</v>
      </c>
      <c r="O46" s="84">
        <f>PERCENTILE(O7:O16,C46)</f>
        <v>1.0075000000000001</v>
      </c>
    </row>
    <row r="47" spans="3:15" x14ac:dyDescent="0.2">
      <c r="C47" s="44">
        <v>0.8</v>
      </c>
      <c r="D47" s="78">
        <f>PERCENTILE(D7:D16,C47)</f>
        <v>0.51080000000000003</v>
      </c>
      <c r="E47" s="78">
        <f>PERCENTILE(E7:E16,C47)</f>
        <v>0.47640000000000005</v>
      </c>
      <c r="F47" s="78">
        <f>PERCENTILE(F7:F16,C47)</f>
        <v>0.41580000000000006</v>
      </c>
      <c r="G47" s="78">
        <f>PERCENTILE(G7:G16,C47)</f>
        <v>0.27905999999999997</v>
      </c>
      <c r="H47" s="78">
        <f>PERCENTILE(H7:H16,C47)</f>
        <v>0.73321999999999998</v>
      </c>
      <c r="I47" s="78">
        <f>PERCENTILE(I7:I16,C47)</f>
        <v>1.7967400000000002</v>
      </c>
      <c r="J47" s="78">
        <f>PERCENTILE(J7:J16,C47)</f>
        <v>2.4685600000000005</v>
      </c>
      <c r="K47" s="78">
        <f>PERCENTILE(K7:K16,C47)</f>
        <v>3.6633000000000004</v>
      </c>
      <c r="L47" s="78">
        <f>PERCENTILE(L7:L16,C47)</f>
        <v>0.43689999999999996</v>
      </c>
      <c r="M47" s="81">
        <f>PERCENTILE(M7:M16,C47)</f>
        <v>0.9</v>
      </c>
      <c r="N47" s="78">
        <f>PERCENTILE(N7:N16,C47)</f>
        <v>0.12736000000000006</v>
      </c>
      <c r="O47" s="84">
        <f>PERCENTILE(O7:O16,C47)</f>
        <v>1.1079999999999997</v>
      </c>
    </row>
    <row r="48" spans="3:15" x14ac:dyDescent="0.2">
      <c r="C48" s="44">
        <v>0.85</v>
      </c>
      <c r="D48" s="78">
        <f>PERCENTILE(D7:D16,C48)</f>
        <v>0.51960000000000006</v>
      </c>
      <c r="E48" s="78">
        <f>PERCENTILE(E7:E16,C48)</f>
        <v>0.52080000000000004</v>
      </c>
      <c r="F48" s="78">
        <f>PERCENTILE(F7:F16,C48)</f>
        <v>0.47059999999999996</v>
      </c>
      <c r="G48" s="78">
        <f>PERCENTILE(G7:G16,C48)</f>
        <v>0.29241999999999996</v>
      </c>
      <c r="H48" s="78">
        <f>PERCENTILE(H7:H16,C48)</f>
        <v>0.75553999999999999</v>
      </c>
      <c r="I48" s="78">
        <f>PERCENTILE(I7:I16,C48)</f>
        <v>2.1051799999999998</v>
      </c>
      <c r="J48" s="78">
        <f>PERCENTILE(J7:J16,C48)</f>
        <v>2.9277199999999999</v>
      </c>
      <c r="K48" s="78">
        <f>PERCENTILE(K7:K16,C48)</f>
        <v>4.6776999999999997</v>
      </c>
      <c r="L48" s="78">
        <f>PERCENTILE(L7:L16,C48)</f>
        <v>0.47334999999999994</v>
      </c>
      <c r="M48" s="81">
        <f>PERCENTILE(M7:M16,C48)</f>
        <v>0.9</v>
      </c>
      <c r="N48" s="78">
        <f>PERCENTILE(N7:N16,C48)</f>
        <v>0.16082000000000002</v>
      </c>
      <c r="O48" s="84">
        <f>PERCENTILE(O7:O16,C48)</f>
        <v>1.3284999999999993</v>
      </c>
    </row>
    <row r="49" spans="3:15" x14ac:dyDescent="0.2">
      <c r="C49" s="44">
        <v>0.9</v>
      </c>
      <c r="D49" s="78">
        <f>PERCENTILE(D7:D16,C49)</f>
        <v>0.52639999999999998</v>
      </c>
      <c r="E49" s="78">
        <f>PERCENTILE(E7:E16,C49)</f>
        <v>0.54920000000000002</v>
      </c>
      <c r="F49" s="78">
        <f>PERCENTILE(F7:F16,C49)</f>
        <v>0.50259999999999994</v>
      </c>
      <c r="G49" s="78">
        <f>PERCENTILE(G7:G16,C49)</f>
        <v>0.31221999999999994</v>
      </c>
      <c r="H49" s="78">
        <f>PERCENTILE(H7:H16,C49)</f>
        <v>1.1617399999999987</v>
      </c>
      <c r="I49" s="78">
        <f>PERCENTILE(I7:I16,C49)</f>
        <v>2.6310199999999986</v>
      </c>
      <c r="J49" s="78">
        <f>PERCENTILE(J7:J16,C49)</f>
        <v>3.522899999999999</v>
      </c>
      <c r="K49" s="78">
        <f>PERCENTILE(K7:K16,C49)</f>
        <v>5.2823799999999999</v>
      </c>
      <c r="L49" s="78">
        <f>PERCENTILE(L7:L16,C49)</f>
        <v>0.50279000000000007</v>
      </c>
      <c r="M49" s="81">
        <f>PERCENTILE(M7:M16,C49)</f>
        <v>1.1999999999999988</v>
      </c>
      <c r="N49" s="78">
        <f>PERCENTILE(N7:N16,C49)</f>
        <v>0.16563</v>
      </c>
      <c r="O49" s="84">
        <f>PERCENTILE(O7:O16,C49)</f>
        <v>1.7409999999999992</v>
      </c>
    </row>
    <row r="50" spans="3:15" x14ac:dyDescent="0.2">
      <c r="C50" s="44">
        <v>0.95</v>
      </c>
      <c r="D50" s="78">
        <f>PERCENTILE(D7:D16,C50)</f>
        <v>0.53120000000000001</v>
      </c>
      <c r="E50" s="78">
        <f>PERCENTILE(E7:E16,C50)</f>
        <v>0.56159999999999999</v>
      </c>
      <c r="F50" s="78">
        <f>PERCENTILE(F7:F16,C50)</f>
        <v>0.51180000000000003</v>
      </c>
      <c r="G50" s="78">
        <f>PERCENTILE(G7:G16,C50)</f>
        <v>0.33845999999999998</v>
      </c>
      <c r="H50" s="78">
        <f>PERCENTILE(H7:H16,C50)</f>
        <v>1.9518199999999992</v>
      </c>
      <c r="I50" s="78">
        <f>PERCENTILE(I7:I16,C50)</f>
        <v>3.3742599999999991</v>
      </c>
      <c r="J50" s="78">
        <f>PERCENTILE(J7:J16,C50)</f>
        <v>4.2540999999999993</v>
      </c>
      <c r="K50" s="78">
        <f>PERCENTILE(K7:K16,C50)</f>
        <v>5.4773399999999999</v>
      </c>
      <c r="L50" s="78">
        <f>PERCENTILE(L7:L16,C50)</f>
        <v>0.50769500000000001</v>
      </c>
      <c r="M50" s="81">
        <f>PERCENTILE(M7:M16,C50)</f>
        <v>1.7999999999999994</v>
      </c>
      <c r="N50" s="78">
        <f>PERCENTILE(N7:N16,C50)</f>
        <v>0.16566499999999998</v>
      </c>
      <c r="O50" s="84">
        <f>PERCENTILE(O7:O16,C50)</f>
        <v>2.8254999999999972</v>
      </c>
    </row>
    <row r="51" spans="3:15" ht="10.8" thickBot="1" x14ac:dyDescent="0.25">
      <c r="C51" s="46">
        <v>1</v>
      </c>
      <c r="D51" s="79">
        <f>PERCENTILE(D7:D16,C51)</f>
        <v>0.53600000000000003</v>
      </c>
      <c r="E51" s="79">
        <f>PERCENTILE(E7:E16,C51)</f>
        <v>0.57399999999999995</v>
      </c>
      <c r="F51" s="79">
        <f>PERCENTILE(F7:F16,C51)</f>
        <v>0.52100000000000002</v>
      </c>
      <c r="G51" s="79">
        <f>PERCENTILE(G7:G16,C51)</f>
        <v>0.36470000000000002</v>
      </c>
      <c r="H51" s="79">
        <f>PERCENTILE(H7:H16,C51)</f>
        <v>2.7418999999999998</v>
      </c>
      <c r="I51" s="79">
        <f>PERCENTILE(I7:I16,C51)</f>
        <v>4.1174999999999997</v>
      </c>
      <c r="J51" s="79">
        <f>PERCENTILE(J7:J16,C51)</f>
        <v>4.9852999999999996</v>
      </c>
      <c r="K51" s="79">
        <f>PERCENTILE(K7:K16,C51)</f>
        <v>5.6722999999999999</v>
      </c>
      <c r="L51" s="79">
        <f>PERCENTILE(L7:L16,C51)</f>
        <v>0.51259999999999994</v>
      </c>
      <c r="M51" s="82">
        <f>PERCENTILE(M7:M16,C51)</f>
        <v>2.4</v>
      </c>
      <c r="N51" s="79">
        <f>PERCENTILE(N7:N16,C51)</f>
        <v>0.16569999999999999</v>
      </c>
      <c r="O51" s="85">
        <f>PERCENTILE(O7:O16,C51)</f>
        <v>3.91</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B1DC3-0474-40E3-852B-D98FAD19C27D}">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45043</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42.08</v>
      </c>
      <c r="C15" s="13">
        <v>332.1</v>
      </c>
      <c r="D15" s="13">
        <v>13974.7</v>
      </c>
      <c r="E15" s="13">
        <v>3072.6</v>
      </c>
      <c r="F15" s="14" t="s">
        <v>26</v>
      </c>
      <c r="G15" s="12">
        <v>139.6</v>
      </c>
      <c r="H15" s="13">
        <v>17186.900000000001</v>
      </c>
      <c r="I15" s="12">
        <v>32.26</v>
      </c>
      <c r="J15" s="16">
        <v>44980</v>
      </c>
      <c r="K15" s="13">
        <v>19125.2</v>
      </c>
      <c r="L15" s="13">
        <v>5863.1</v>
      </c>
      <c r="M15" s="13">
        <v>4847.6000000000004</v>
      </c>
      <c r="N15" s="12">
        <v>10.06</v>
      </c>
      <c r="O15" s="12">
        <v>14592.27</v>
      </c>
      <c r="P15" s="12">
        <v>3844.1</v>
      </c>
      <c r="Q15" s="12">
        <v>6.58</v>
      </c>
    </row>
    <row r="16" spans="1:255" ht="12" customHeight="1" x14ac:dyDescent="0.2">
      <c r="A16" s="7" t="s">
        <v>27</v>
      </c>
      <c r="B16" s="12">
        <v>70.11</v>
      </c>
      <c r="C16" s="13">
        <v>196</v>
      </c>
      <c r="D16" s="13">
        <v>13739.8</v>
      </c>
      <c r="E16" s="13">
        <v>902</v>
      </c>
      <c r="F16" s="14" t="s">
        <v>26</v>
      </c>
      <c r="G16" s="12">
        <v>2802</v>
      </c>
      <c r="H16" s="13">
        <v>17443.8</v>
      </c>
      <c r="I16" s="12">
        <v>15.07</v>
      </c>
      <c r="J16" s="16">
        <v>44980</v>
      </c>
      <c r="K16" s="13">
        <v>11186</v>
      </c>
      <c r="L16" s="13">
        <v>6421</v>
      </c>
      <c r="M16" s="13">
        <v>5571</v>
      </c>
      <c r="N16" s="12">
        <v>16.38</v>
      </c>
      <c r="O16" s="12">
        <v>7319.05</v>
      </c>
      <c r="P16" s="12">
        <v>3419.2</v>
      </c>
      <c r="Q16" s="12">
        <v>9.91</v>
      </c>
    </row>
    <row r="17" spans="1:17" ht="12" customHeight="1" x14ac:dyDescent="0.2">
      <c r="A17" s="7" t="s">
        <v>28</v>
      </c>
      <c r="B17" s="12">
        <v>60.67</v>
      </c>
      <c r="C17" s="13">
        <v>712.6</v>
      </c>
      <c r="D17" s="13">
        <v>43233.8</v>
      </c>
      <c r="E17" s="13">
        <v>-1558</v>
      </c>
      <c r="F17" s="14" t="s">
        <v>26</v>
      </c>
      <c r="G17" s="12">
        <v>239</v>
      </c>
      <c r="H17" s="13">
        <v>41914.800000000003</v>
      </c>
      <c r="I17" s="12">
        <v>8.41</v>
      </c>
      <c r="J17" s="16">
        <v>44966</v>
      </c>
      <c r="K17" s="13">
        <v>17455</v>
      </c>
      <c r="L17" s="13">
        <v>3321</v>
      </c>
      <c r="M17" s="13">
        <v>2098</v>
      </c>
      <c r="N17" s="12">
        <v>1.66</v>
      </c>
      <c r="O17" s="12">
        <v>18485.28</v>
      </c>
      <c r="P17" s="12">
        <v>3572.92</v>
      </c>
      <c r="Q17" s="12">
        <v>2.88</v>
      </c>
    </row>
    <row r="18" spans="1:17" ht="12" customHeight="1" x14ac:dyDescent="0.2">
      <c r="A18" s="7" t="s">
        <v>29</v>
      </c>
      <c r="B18" s="12">
        <v>42.15</v>
      </c>
      <c r="C18" s="13">
        <v>254.7</v>
      </c>
      <c r="D18" s="13">
        <v>10734.3</v>
      </c>
      <c r="E18" s="13">
        <v>3208</v>
      </c>
      <c r="F18" s="14" t="s">
        <v>26</v>
      </c>
      <c r="G18" s="12">
        <v>13</v>
      </c>
      <c r="H18" s="13">
        <v>13717.2</v>
      </c>
      <c r="I18" s="12">
        <v>30.31</v>
      </c>
      <c r="J18" s="16">
        <v>45009</v>
      </c>
      <c r="K18" s="13">
        <v>23902</v>
      </c>
      <c r="L18" s="13">
        <v>4505</v>
      </c>
      <c r="M18" s="13">
        <v>3714</v>
      </c>
      <c r="N18" s="12">
        <v>10.9</v>
      </c>
      <c r="O18" s="12">
        <v>18511.349999999999</v>
      </c>
      <c r="P18" s="12">
        <v>2987.31</v>
      </c>
      <c r="Q18" s="12">
        <v>5.64</v>
      </c>
    </row>
    <row r="19" spans="1:17" ht="12" customHeight="1" x14ac:dyDescent="0.2">
      <c r="A19" s="7" t="s">
        <v>30</v>
      </c>
      <c r="B19" s="12">
        <v>26.42</v>
      </c>
      <c r="C19" s="13">
        <v>210.7</v>
      </c>
      <c r="D19" s="13">
        <v>5565.4</v>
      </c>
      <c r="E19" s="13">
        <v>1434.8</v>
      </c>
      <c r="F19" s="14" t="s">
        <v>26</v>
      </c>
      <c r="G19" s="12">
        <v>2016</v>
      </c>
      <c r="H19" s="13">
        <v>9124.2000000000007</v>
      </c>
      <c r="I19" s="12">
        <v>8.6999999999999993</v>
      </c>
      <c r="J19" s="16">
        <v>45007</v>
      </c>
      <c r="K19" s="13">
        <v>9713.1</v>
      </c>
      <c r="L19" s="13">
        <v>3524.3</v>
      </c>
      <c r="M19" s="13">
        <v>2993.8</v>
      </c>
      <c r="N19" s="12">
        <v>5.85</v>
      </c>
      <c r="O19" s="12">
        <v>6681.11</v>
      </c>
      <c r="P19" s="12">
        <v>2414.94</v>
      </c>
      <c r="Q19" s="12">
        <v>3.12</v>
      </c>
    </row>
    <row r="20" spans="1:17" ht="12" customHeight="1" x14ac:dyDescent="0.2">
      <c r="A20" s="7" t="s">
        <v>31</v>
      </c>
      <c r="B20" s="12">
        <v>121.78</v>
      </c>
      <c r="C20" s="13">
        <v>125.1</v>
      </c>
      <c r="D20" s="13">
        <v>15239.8</v>
      </c>
      <c r="E20" s="13">
        <v>2840.2</v>
      </c>
      <c r="F20" s="14" t="s">
        <v>26</v>
      </c>
      <c r="G20" s="12">
        <v>23</v>
      </c>
      <c r="H20" s="13">
        <v>18103</v>
      </c>
      <c r="I20" s="12">
        <v>-6.81</v>
      </c>
      <c r="J20" s="16">
        <v>44981</v>
      </c>
      <c r="K20" s="13">
        <v>5802.3</v>
      </c>
      <c r="L20" s="13">
        <v>1406.8</v>
      </c>
      <c r="M20" s="13">
        <v>1237.4000000000001</v>
      </c>
      <c r="N20" s="12">
        <v>6.57</v>
      </c>
      <c r="O20" s="12">
        <v>6150.92</v>
      </c>
      <c r="P20" s="12">
        <v>1541.56</v>
      </c>
      <c r="Q20" s="12">
        <v>7.83</v>
      </c>
    </row>
    <row r="21" spans="1:17" ht="12" customHeight="1" x14ac:dyDescent="0.2">
      <c r="A21" s="7" t="s">
        <v>32</v>
      </c>
      <c r="B21" s="12">
        <v>6.12</v>
      </c>
      <c r="C21" s="13">
        <v>1289.3</v>
      </c>
      <c r="D21" s="13">
        <v>7888.3</v>
      </c>
      <c r="E21" s="13">
        <v>2344</v>
      </c>
      <c r="F21" s="14" t="s">
        <v>26</v>
      </c>
      <c r="G21" s="12">
        <v>249</v>
      </c>
      <c r="H21" s="13">
        <v>10395.6</v>
      </c>
      <c r="I21" s="12">
        <v>3.58</v>
      </c>
      <c r="J21" s="16">
        <v>44985</v>
      </c>
      <c r="K21" s="13">
        <v>10015</v>
      </c>
      <c r="L21" s="13">
        <v>3939</v>
      </c>
      <c r="M21" s="13">
        <v>3524</v>
      </c>
      <c r="N21" s="12">
        <v>1.67</v>
      </c>
      <c r="O21" s="12">
        <v>8448.9599999999991</v>
      </c>
      <c r="P21" s="12">
        <v>2279.63</v>
      </c>
      <c r="Q21" s="12">
        <v>0.9</v>
      </c>
    </row>
    <row r="22" spans="1:17" ht="12" customHeight="1" x14ac:dyDescent="0.2">
      <c r="A22" s="7" t="s">
        <v>33</v>
      </c>
      <c r="B22" s="12">
        <v>0</v>
      </c>
      <c r="C22" s="13">
        <v>97.3</v>
      </c>
      <c r="D22" s="13">
        <v>0.4</v>
      </c>
      <c r="E22" s="13">
        <v>1.1000000000000001</v>
      </c>
      <c r="F22" s="14" t="s">
        <v>26</v>
      </c>
      <c r="G22" s="14" t="s">
        <v>26</v>
      </c>
      <c r="H22" s="13">
        <v>1.5</v>
      </c>
      <c r="I22" s="12">
        <v>0.02</v>
      </c>
      <c r="J22" s="16">
        <v>44865</v>
      </c>
      <c r="K22" s="14" t="s">
        <v>26</v>
      </c>
      <c r="L22" s="13">
        <v>-1</v>
      </c>
      <c r="M22" s="13">
        <v>-1</v>
      </c>
      <c r="N22" s="12">
        <v>-0.06</v>
      </c>
      <c r="O22" s="14" t="s">
        <v>26</v>
      </c>
      <c r="P22" s="14" t="s">
        <v>26</v>
      </c>
      <c r="Q22" s="14" t="s">
        <v>26</v>
      </c>
    </row>
    <row r="23" spans="1:17" ht="12" customHeight="1" x14ac:dyDescent="0.2">
      <c r="A23" s="7" t="s">
        <v>34</v>
      </c>
      <c r="B23" s="12">
        <v>19.77</v>
      </c>
      <c r="C23" s="13">
        <v>191.4</v>
      </c>
      <c r="D23" s="13">
        <v>3783.5</v>
      </c>
      <c r="E23" s="13">
        <v>-94.8</v>
      </c>
      <c r="F23" s="14" t="s">
        <v>26</v>
      </c>
      <c r="G23" s="14" t="s">
        <v>26</v>
      </c>
      <c r="H23" s="13">
        <v>3688.7</v>
      </c>
      <c r="I23" s="12">
        <v>37.65</v>
      </c>
      <c r="J23" s="16">
        <v>45000</v>
      </c>
      <c r="K23" s="13">
        <v>6256.6</v>
      </c>
      <c r="L23" s="13">
        <v>2703.3</v>
      </c>
      <c r="M23" s="13">
        <v>2260.8000000000002</v>
      </c>
      <c r="N23" s="12">
        <v>8.69</v>
      </c>
      <c r="O23" s="12">
        <v>5192.88</v>
      </c>
      <c r="P23" s="12">
        <v>1531.12</v>
      </c>
      <c r="Q23" s="12">
        <v>3.98</v>
      </c>
    </row>
    <row r="24" spans="1:17" ht="12" customHeight="1" x14ac:dyDescent="0.2">
      <c r="A24" s="7" t="s">
        <v>35</v>
      </c>
      <c r="B24" s="12">
        <v>67.02</v>
      </c>
      <c r="C24" s="13">
        <v>285.60000000000002</v>
      </c>
      <c r="D24" s="13">
        <v>19143.400000000001</v>
      </c>
      <c r="E24" s="13">
        <v>-626.5</v>
      </c>
      <c r="F24" s="14" t="s">
        <v>26</v>
      </c>
      <c r="G24" s="12">
        <v>35.369999999999997</v>
      </c>
      <c r="H24" s="13">
        <v>18552.400000000001</v>
      </c>
      <c r="I24" s="12">
        <v>16.559999999999999</v>
      </c>
      <c r="J24" s="16">
        <v>44988</v>
      </c>
      <c r="K24" s="13">
        <v>10710.6</v>
      </c>
      <c r="L24" s="13">
        <v>5813.8</v>
      </c>
      <c r="M24" s="13">
        <v>5579.5</v>
      </c>
      <c r="N24" s="12">
        <v>13.68</v>
      </c>
      <c r="O24" s="12">
        <v>9699.7199999999993</v>
      </c>
      <c r="P24" s="12">
        <v>4924.05</v>
      </c>
      <c r="Q24" s="12">
        <v>11.8</v>
      </c>
    </row>
    <row r="25" spans="1:17" x14ac:dyDescent="0.2">
      <c r="A25" s="7" t="s">
        <v>36</v>
      </c>
      <c r="B25" s="12">
        <v>68.94</v>
      </c>
      <c r="C25" s="13">
        <v>498.8</v>
      </c>
      <c r="D25" s="13">
        <v>34384.699999999997</v>
      </c>
      <c r="E25" s="13">
        <v>11027</v>
      </c>
      <c r="F25" s="14" t="s">
        <v>26</v>
      </c>
      <c r="G25" s="12">
        <v>45</v>
      </c>
      <c r="H25" s="13">
        <v>45403.4</v>
      </c>
      <c r="I25" s="12">
        <v>21.99</v>
      </c>
      <c r="J25" s="16">
        <v>44981</v>
      </c>
      <c r="K25" s="13">
        <v>37012</v>
      </c>
      <c r="L25" s="13">
        <v>11513</v>
      </c>
      <c r="M25" s="13">
        <v>9840</v>
      </c>
      <c r="N25" s="12">
        <v>14.18</v>
      </c>
      <c r="O25" s="12">
        <v>31483.41</v>
      </c>
      <c r="P25" s="12">
        <v>8506.11</v>
      </c>
      <c r="Q25" s="12">
        <v>8.81</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121.78</v>
      </c>
      <c r="C28" s="13">
        <v>1289.3</v>
      </c>
      <c r="D28" s="13">
        <v>43233.8</v>
      </c>
      <c r="E28" s="13">
        <v>3208</v>
      </c>
      <c r="F28" s="14" t="s">
        <v>26</v>
      </c>
      <c r="G28" s="12">
        <v>2802</v>
      </c>
      <c r="H28" s="13">
        <v>41914.800000000003</v>
      </c>
      <c r="I28" s="12">
        <v>37.65</v>
      </c>
      <c r="J28" s="17" t="s">
        <v>26</v>
      </c>
      <c r="K28" s="13">
        <v>23902</v>
      </c>
      <c r="L28" s="13">
        <v>6421</v>
      </c>
      <c r="M28" s="13">
        <v>5579.5</v>
      </c>
      <c r="N28" s="12">
        <v>16.38</v>
      </c>
      <c r="O28" s="12">
        <v>18511.349999999999</v>
      </c>
      <c r="P28" s="12">
        <v>4924.05</v>
      </c>
      <c r="Q28" s="12">
        <v>11.8</v>
      </c>
    </row>
    <row r="29" spans="1:17" x14ac:dyDescent="0.2">
      <c r="A29" s="7" t="s">
        <v>39</v>
      </c>
      <c r="B29" s="12">
        <v>0</v>
      </c>
      <c r="C29" s="13">
        <v>97.3</v>
      </c>
      <c r="D29" s="13">
        <v>0.4</v>
      </c>
      <c r="E29" s="13">
        <v>-1558</v>
      </c>
      <c r="F29" s="14" t="s">
        <v>26</v>
      </c>
      <c r="G29" s="12">
        <v>13</v>
      </c>
      <c r="H29" s="13">
        <v>1.5</v>
      </c>
      <c r="I29" s="12">
        <v>-6.81</v>
      </c>
      <c r="J29" s="17" t="s">
        <v>26</v>
      </c>
      <c r="K29" s="13">
        <v>5802.3</v>
      </c>
      <c r="L29" s="13">
        <v>-1</v>
      </c>
      <c r="M29" s="13">
        <v>-1</v>
      </c>
      <c r="N29" s="12">
        <v>-0.06</v>
      </c>
      <c r="O29" s="12">
        <v>5192.88</v>
      </c>
      <c r="P29" s="12">
        <v>1531.12</v>
      </c>
      <c r="Q29" s="12">
        <v>0.9</v>
      </c>
    </row>
    <row r="30" spans="1:17" x14ac:dyDescent="0.2">
      <c r="A30" s="7" t="s">
        <v>40</v>
      </c>
      <c r="B30" s="12">
        <v>45.61</v>
      </c>
      <c r="C30" s="13">
        <v>369.5</v>
      </c>
      <c r="D30" s="13">
        <v>13330.3</v>
      </c>
      <c r="E30" s="13">
        <v>1152.3</v>
      </c>
      <c r="F30" s="14" t="s">
        <v>26</v>
      </c>
      <c r="G30" s="12">
        <v>689.62</v>
      </c>
      <c r="H30" s="13">
        <v>15012.8</v>
      </c>
      <c r="I30" s="12">
        <v>14.57</v>
      </c>
      <c r="J30" s="17" t="s">
        <v>26</v>
      </c>
      <c r="K30" s="13">
        <v>12685.1</v>
      </c>
      <c r="L30" s="13">
        <v>3749.6</v>
      </c>
      <c r="M30" s="13">
        <v>3182.5</v>
      </c>
      <c r="N30" s="12">
        <v>7.54</v>
      </c>
      <c r="O30" s="12">
        <v>10564.62</v>
      </c>
      <c r="P30" s="12">
        <v>2946.09</v>
      </c>
      <c r="Q30" s="12">
        <v>5.85</v>
      </c>
    </row>
    <row r="31" spans="1:17" x14ac:dyDescent="0.2">
      <c r="A31" s="7" t="s">
        <v>41</v>
      </c>
      <c r="B31" s="12">
        <v>42.12</v>
      </c>
      <c r="C31" s="13">
        <v>232.7</v>
      </c>
      <c r="D31" s="13">
        <v>12237</v>
      </c>
      <c r="E31" s="13">
        <v>1168.4000000000001</v>
      </c>
      <c r="F31" s="14" t="s">
        <v>26</v>
      </c>
      <c r="G31" s="12">
        <v>189.3</v>
      </c>
      <c r="H31" s="13">
        <v>15452.1</v>
      </c>
      <c r="I31" s="12">
        <v>11.88</v>
      </c>
      <c r="J31" s="17" t="s">
        <v>26</v>
      </c>
      <c r="K31" s="13">
        <v>10710.6</v>
      </c>
      <c r="L31" s="13">
        <v>3731.7</v>
      </c>
      <c r="M31" s="13">
        <v>3258.9</v>
      </c>
      <c r="N31" s="12">
        <v>7.63</v>
      </c>
      <c r="O31" s="12">
        <v>8448.9599999999991</v>
      </c>
      <c r="P31" s="12">
        <v>2987.31</v>
      </c>
      <c r="Q31" s="12">
        <v>5.64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496DA-A754-457A-8CD1-125C53B26E5D}">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1.18</v>
      </c>
      <c r="H15" s="19">
        <v>4.47</v>
      </c>
      <c r="I15" s="19">
        <v>6.4</v>
      </c>
    </row>
    <row r="16" spans="1:255" ht="12" customHeight="1" x14ac:dyDescent="0.2">
      <c r="A16" s="7" t="s">
        <v>27</v>
      </c>
      <c r="B16" s="14" t="s">
        <v>26</v>
      </c>
      <c r="C16" s="14" t="s">
        <v>26</v>
      </c>
      <c r="D16" s="14" t="s">
        <v>26</v>
      </c>
      <c r="E16" s="14" t="s">
        <v>26</v>
      </c>
      <c r="F16" s="14" t="s">
        <v>26</v>
      </c>
      <c r="G16" s="19">
        <v>2.38</v>
      </c>
      <c r="H16" s="19">
        <v>5.0999999999999996</v>
      </c>
      <c r="I16" s="19">
        <v>7.07</v>
      </c>
    </row>
    <row r="17" spans="1:9" ht="12" customHeight="1" x14ac:dyDescent="0.2">
      <c r="A17" s="7" t="s">
        <v>28</v>
      </c>
      <c r="B17" s="14" t="s">
        <v>26</v>
      </c>
      <c r="C17" s="14" t="s">
        <v>26</v>
      </c>
      <c r="D17" s="14" t="s">
        <v>26</v>
      </c>
      <c r="E17" s="14" t="s">
        <v>26</v>
      </c>
      <c r="F17" s="14" t="s">
        <v>26</v>
      </c>
      <c r="G17" s="19">
        <v>2.27</v>
      </c>
      <c r="H17" s="19">
        <v>11.73</v>
      </c>
      <c r="I17" s="19">
        <v>21.1</v>
      </c>
    </row>
    <row r="18" spans="1:9" ht="12" customHeight="1" x14ac:dyDescent="0.2">
      <c r="A18" s="7" t="s">
        <v>29</v>
      </c>
      <c r="B18" s="14" t="s">
        <v>26</v>
      </c>
      <c r="C18" s="14" t="s">
        <v>26</v>
      </c>
      <c r="D18" s="14" t="s">
        <v>26</v>
      </c>
      <c r="E18" s="14" t="s">
        <v>26</v>
      </c>
      <c r="F18" s="14" t="s">
        <v>26</v>
      </c>
      <c r="G18" s="19">
        <v>0.74</v>
      </c>
      <c r="H18" s="19">
        <v>4.59</v>
      </c>
      <c r="I18" s="19">
        <v>7.47</v>
      </c>
    </row>
    <row r="19" spans="1:9" ht="12" customHeight="1" x14ac:dyDescent="0.2">
      <c r="A19" s="7" t="s">
        <v>30</v>
      </c>
      <c r="B19" s="14" t="s">
        <v>26</v>
      </c>
      <c r="C19" s="14" t="s">
        <v>26</v>
      </c>
      <c r="D19" s="14" t="s">
        <v>26</v>
      </c>
      <c r="E19" s="14" t="s">
        <v>26</v>
      </c>
      <c r="F19" s="14" t="s">
        <v>26</v>
      </c>
      <c r="G19" s="19">
        <v>1.37</v>
      </c>
      <c r="H19" s="19">
        <v>3.78</v>
      </c>
      <c r="I19" s="19">
        <v>8.48</v>
      </c>
    </row>
    <row r="20" spans="1:9" ht="12" customHeight="1" x14ac:dyDescent="0.2">
      <c r="A20" s="7" t="s">
        <v>31</v>
      </c>
      <c r="B20" s="14" t="s">
        <v>26</v>
      </c>
      <c r="C20" s="14" t="s">
        <v>26</v>
      </c>
      <c r="D20" s="14" t="s">
        <v>26</v>
      </c>
      <c r="E20" s="14" t="s">
        <v>26</v>
      </c>
      <c r="F20" s="14" t="s">
        <v>26</v>
      </c>
      <c r="G20" s="19">
        <v>2.94</v>
      </c>
      <c r="H20" s="19">
        <v>11.74</v>
      </c>
      <c r="I20" s="19">
        <v>15.55</v>
      </c>
    </row>
    <row r="21" spans="1:9" ht="12" customHeight="1" x14ac:dyDescent="0.2">
      <c r="A21" s="7" t="s">
        <v>32</v>
      </c>
      <c r="B21" s="14" t="s">
        <v>26</v>
      </c>
      <c r="C21" s="14" t="s">
        <v>26</v>
      </c>
      <c r="D21" s="14" t="s">
        <v>26</v>
      </c>
      <c r="E21" s="14" t="s">
        <v>26</v>
      </c>
      <c r="F21" s="14" t="s">
        <v>26</v>
      </c>
      <c r="G21" s="19">
        <v>1.23</v>
      </c>
      <c r="H21" s="19">
        <v>4.5599999999999996</v>
      </c>
      <c r="I21" s="19">
        <v>6.78</v>
      </c>
    </row>
    <row r="22" spans="1:9" ht="12" customHeight="1" x14ac:dyDescent="0.2">
      <c r="A22" s="7" t="s">
        <v>33</v>
      </c>
      <c r="B22" s="14" t="s">
        <v>26</v>
      </c>
      <c r="C22" s="14" t="s">
        <v>26</v>
      </c>
      <c r="D22" s="14" t="s">
        <v>26</v>
      </c>
      <c r="E22" s="14" t="s">
        <v>26</v>
      </c>
      <c r="F22" s="14" t="s">
        <v>26</v>
      </c>
      <c r="G22" s="14" t="s">
        <v>26</v>
      </c>
      <c r="H22" s="14" t="s">
        <v>26</v>
      </c>
      <c r="I22" s="14" t="s">
        <v>26</v>
      </c>
    </row>
    <row r="23" spans="1:9" ht="12" customHeight="1" x14ac:dyDescent="0.2">
      <c r="A23" s="7" t="s">
        <v>34</v>
      </c>
      <c r="B23" s="14" t="s">
        <v>26</v>
      </c>
      <c r="C23" s="14" t="s">
        <v>26</v>
      </c>
      <c r="D23" s="14" t="s">
        <v>26</v>
      </c>
      <c r="E23" s="14" t="s">
        <v>26</v>
      </c>
      <c r="F23" s="14" t="s">
        <v>26</v>
      </c>
      <c r="G23" s="19">
        <v>0.71</v>
      </c>
      <c r="H23" s="19">
        <v>2.41</v>
      </c>
      <c r="I23" s="19">
        <v>4.97</v>
      </c>
    </row>
    <row r="24" spans="1:9" ht="12" customHeight="1" x14ac:dyDescent="0.2">
      <c r="A24" s="7" t="s">
        <v>35</v>
      </c>
      <c r="B24" s="14" t="s">
        <v>26</v>
      </c>
      <c r="C24" s="14" t="s">
        <v>26</v>
      </c>
      <c r="D24" s="14" t="s">
        <v>26</v>
      </c>
      <c r="E24" s="14" t="s">
        <v>26</v>
      </c>
      <c r="F24" s="14" t="s">
        <v>26</v>
      </c>
      <c r="G24" s="19">
        <v>1.91</v>
      </c>
      <c r="H24" s="19">
        <v>3.77</v>
      </c>
      <c r="I24" s="19">
        <v>5.68</v>
      </c>
    </row>
    <row r="25" spans="1:9" x14ac:dyDescent="0.2">
      <c r="A25" s="7" t="s">
        <v>36</v>
      </c>
      <c r="B25" s="14" t="s">
        <v>26</v>
      </c>
      <c r="C25" s="14" t="s">
        <v>26</v>
      </c>
      <c r="D25" s="14" t="s">
        <v>26</v>
      </c>
      <c r="E25" s="14" t="s">
        <v>26</v>
      </c>
      <c r="F25" s="14" t="s">
        <v>26</v>
      </c>
      <c r="G25" s="19">
        <v>1.44</v>
      </c>
      <c r="H25" s="19">
        <v>5.34</v>
      </c>
      <c r="I25" s="19">
        <v>7.83</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2.94</v>
      </c>
      <c r="H28" s="19">
        <v>11.74</v>
      </c>
      <c r="I28" s="19">
        <v>21.1</v>
      </c>
    </row>
    <row r="29" spans="1:9" x14ac:dyDescent="0.2">
      <c r="A29" s="7" t="s">
        <v>39</v>
      </c>
      <c r="B29" s="14" t="s">
        <v>26</v>
      </c>
      <c r="C29" s="14" t="s">
        <v>26</v>
      </c>
      <c r="D29" s="14" t="s">
        <v>26</v>
      </c>
      <c r="E29" s="14" t="s">
        <v>26</v>
      </c>
      <c r="F29" s="14" t="s">
        <v>26</v>
      </c>
      <c r="G29" s="19">
        <v>0.71</v>
      </c>
      <c r="H29" s="19">
        <v>2.41</v>
      </c>
      <c r="I29" s="19">
        <v>4.97</v>
      </c>
    </row>
    <row r="30" spans="1:9" x14ac:dyDescent="0.2">
      <c r="A30" s="7" t="s">
        <v>40</v>
      </c>
      <c r="B30" s="14" t="s">
        <v>26</v>
      </c>
      <c r="C30" s="14" t="s">
        <v>26</v>
      </c>
      <c r="D30" s="14" t="s">
        <v>26</v>
      </c>
      <c r="E30" s="14" t="s">
        <v>26</v>
      </c>
      <c r="F30" s="14" t="s">
        <v>26</v>
      </c>
      <c r="G30" s="19">
        <v>1.64</v>
      </c>
      <c r="H30" s="19">
        <v>5.79</v>
      </c>
      <c r="I30" s="19">
        <v>9.2799999999999994</v>
      </c>
    </row>
    <row r="31" spans="1:9" x14ac:dyDescent="0.2">
      <c r="A31" s="7" t="s">
        <v>41</v>
      </c>
      <c r="B31" s="14" t="s">
        <v>26</v>
      </c>
      <c r="C31" s="14" t="s">
        <v>26</v>
      </c>
      <c r="D31" s="14" t="s">
        <v>26</v>
      </c>
      <c r="E31" s="14" t="s">
        <v>26</v>
      </c>
      <c r="F31" s="14" t="s">
        <v>26</v>
      </c>
      <c r="G31" s="19">
        <v>1.37</v>
      </c>
      <c r="H31" s="19">
        <v>4.5599999999999996</v>
      </c>
      <c r="I31" s="19">
        <v>7.07</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41AAA-345F-43BB-8838-67B35E20104C}">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58</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59</v>
      </c>
      <c r="B8" s="4" t="s">
        <v>3</v>
      </c>
    </row>
    <row r="9" spans="1:255" x14ac:dyDescent="0.2">
      <c r="A9" s="3" t="s">
        <v>60</v>
      </c>
      <c r="B9" s="4" t="s">
        <v>5</v>
      </c>
    </row>
    <row r="10" spans="1:255" x14ac:dyDescent="0.2">
      <c r="A10" s="3" t="s">
        <v>61</v>
      </c>
      <c r="B10" s="5">
        <v>45043</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20">
        <v>0.30199999999999999</v>
      </c>
      <c r="C15" s="20">
        <v>0.307</v>
      </c>
      <c r="D15" s="20">
        <v>0.253</v>
      </c>
      <c r="E15" s="21">
        <v>0.18729999999999999</v>
      </c>
      <c r="F15" s="21">
        <v>0.54769999999999996</v>
      </c>
      <c r="G15" s="21">
        <v>0.65390000000000004</v>
      </c>
      <c r="H15" s="21">
        <v>0.79730000000000001</v>
      </c>
      <c r="I15" s="21">
        <v>1.1972</v>
      </c>
      <c r="J15" s="21">
        <v>0.23799999999999999</v>
      </c>
      <c r="K15" s="22">
        <v>0.6</v>
      </c>
      <c r="L15" s="14" t="s">
        <v>26</v>
      </c>
      <c r="M15" s="12">
        <v>1.5</v>
      </c>
    </row>
    <row r="16" spans="1:255" ht="12" customHeight="1" x14ac:dyDescent="0.2">
      <c r="A16" s="7" t="s">
        <v>27</v>
      </c>
      <c r="B16" s="20">
        <v>0.52400000000000002</v>
      </c>
      <c r="C16" s="20">
        <v>0.57399999999999995</v>
      </c>
      <c r="D16" s="20">
        <v>0.498</v>
      </c>
      <c r="E16" s="21">
        <v>0.29909999999999998</v>
      </c>
      <c r="F16" s="21">
        <v>0.71089999999999998</v>
      </c>
      <c r="G16" s="21">
        <v>1.0929</v>
      </c>
      <c r="H16" s="21">
        <v>1.5555000000000001</v>
      </c>
      <c r="I16" s="21">
        <v>2.6488999999999998</v>
      </c>
      <c r="J16" s="21">
        <v>0.29110000000000003</v>
      </c>
      <c r="K16" s="22">
        <v>0.5</v>
      </c>
      <c r="L16" s="21">
        <v>0.06</v>
      </c>
      <c r="M16" s="12">
        <v>1</v>
      </c>
    </row>
    <row r="17" spans="1:13" ht="12" customHeight="1" x14ac:dyDescent="0.2">
      <c r="A17" s="7" t="s">
        <v>28</v>
      </c>
      <c r="B17" s="20">
        <v>0.40300000000000002</v>
      </c>
      <c r="C17" s="20">
        <v>0.19</v>
      </c>
      <c r="D17" s="20">
        <v>0.12</v>
      </c>
      <c r="E17" s="21">
        <v>6.5699999999999995E-2</v>
      </c>
      <c r="F17" s="21">
        <v>0.115</v>
      </c>
      <c r="G17" s="21">
        <v>-0.14360000000000001</v>
      </c>
      <c r="H17" s="21">
        <v>-0.20380000000000001</v>
      </c>
      <c r="I17" s="21">
        <v>-0.34789999999999999</v>
      </c>
      <c r="J17" s="21">
        <v>6.4399999999999999E-2</v>
      </c>
      <c r="K17" s="22">
        <v>0.5</v>
      </c>
      <c r="L17" s="21">
        <v>0.16569999999999999</v>
      </c>
      <c r="M17" s="12">
        <v>0.78</v>
      </c>
    </row>
    <row r="18" spans="1:13" ht="12" customHeight="1" x14ac:dyDescent="0.2">
      <c r="A18" s="7" t="s">
        <v>29</v>
      </c>
      <c r="B18" s="20">
        <v>0.27400000000000002</v>
      </c>
      <c r="C18" s="20">
        <v>0.188</v>
      </c>
      <c r="D18" s="20">
        <v>0.155</v>
      </c>
      <c r="E18" s="21">
        <v>0.1162</v>
      </c>
      <c r="F18" s="21">
        <v>0.4385</v>
      </c>
      <c r="G18" s="21">
        <v>0.755</v>
      </c>
      <c r="H18" s="21">
        <v>1.1223000000000001</v>
      </c>
      <c r="I18" s="21">
        <v>5.1848999999999998</v>
      </c>
      <c r="J18" s="21">
        <v>0.3291</v>
      </c>
      <c r="K18" s="22">
        <v>0.9</v>
      </c>
      <c r="L18" s="21">
        <v>0.1656</v>
      </c>
      <c r="M18" s="12">
        <v>0.43</v>
      </c>
    </row>
    <row r="19" spans="1:13" ht="12" customHeight="1" x14ac:dyDescent="0.2">
      <c r="A19" s="7" t="s">
        <v>30</v>
      </c>
      <c r="B19" s="20">
        <v>0.34699999999999998</v>
      </c>
      <c r="C19" s="20">
        <v>0.36299999999999999</v>
      </c>
      <c r="D19" s="20">
        <v>0.308</v>
      </c>
      <c r="E19" s="21">
        <v>0.12740000000000001</v>
      </c>
      <c r="F19" s="21">
        <v>0.53720000000000001</v>
      </c>
      <c r="G19" s="21">
        <v>0.4677</v>
      </c>
      <c r="H19" s="21">
        <v>0.62609999999999999</v>
      </c>
      <c r="I19" s="21">
        <v>1.169</v>
      </c>
      <c r="J19" s="21">
        <v>0.42070000000000002</v>
      </c>
      <c r="K19" s="22">
        <v>0.9</v>
      </c>
      <c r="L19" s="21">
        <v>-0.16</v>
      </c>
      <c r="M19" s="12">
        <v>0.96</v>
      </c>
    </row>
    <row r="20" spans="1:13" ht="12" customHeight="1" x14ac:dyDescent="0.2">
      <c r="A20" s="7" t="s">
        <v>31</v>
      </c>
      <c r="B20" s="20">
        <v>0.40100000000000002</v>
      </c>
      <c r="C20" s="20">
        <v>0.24199999999999999</v>
      </c>
      <c r="D20" s="20">
        <v>0.21299999999999999</v>
      </c>
      <c r="E20" s="21">
        <v>0.12690000000000001</v>
      </c>
      <c r="F20" s="21">
        <v>0.15010000000000001</v>
      </c>
      <c r="G20" s="21">
        <v>7.0800000000000002E-2</v>
      </c>
      <c r="H20" s="21">
        <v>8.2699999999999996E-2</v>
      </c>
      <c r="I20" s="21">
        <v>-4.1999999999999997E-3</v>
      </c>
      <c r="J20" s="21">
        <v>0.50170000000000003</v>
      </c>
      <c r="K20" s="22">
        <v>2.4</v>
      </c>
      <c r="L20" s="21">
        <v>7.0000000000000007E-2</v>
      </c>
      <c r="M20" s="12">
        <v>0.83</v>
      </c>
    </row>
    <row r="21" spans="1:13" ht="12" customHeight="1" x14ac:dyDescent="0.2">
      <c r="A21" s="7" t="s">
        <v>32</v>
      </c>
      <c r="B21" s="20">
        <v>0.502</v>
      </c>
      <c r="C21" s="20">
        <v>0.39300000000000002</v>
      </c>
      <c r="D21" s="20">
        <v>0.35199999999999998</v>
      </c>
      <c r="E21" s="21">
        <v>0.21560000000000001</v>
      </c>
      <c r="F21" s="21">
        <v>0.44</v>
      </c>
      <c r="G21" s="21">
        <v>1.4883</v>
      </c>
      <c r="H21" s="21">
        <v>2.0093999999999999</v>
      </c>
      <c r="I21" s="21">
        <v>1.7573000000000001</v>
      </c>
      <c r="J21" s="21">
        <v>0.33300000000000002</v>
      </c>
      <c r="K21" s="22">
        <v>0.7</v>
      </c>
      <c r="L21" s="21">
        <v>-0.26169999999999999</v>
      </c>
      <c r="M21" s="12">
        <v>0.41</v>
      </c>
    </row>
    <row r="22" spans="1:13" ht="12" customHeight="1" x14ac:dyDescent="0.2">
      <c r="A22" s="7" t="s">
        <v>33</v>
      </c>
      <c r="B22" s="14" t="s">
        <v>26</v>
      </c>
      <c r="C22" s="14" t="s">
        <v>26</v>
      </c>
      <c r="D22" s="14" t="s">
        <v>26</v>
      </c>
      <c r="E22" s="14" t="s">
        <v>26</v>
      </c>
      <c r="F22" s="14" t="s">
        <v>26</v>
      </c>
      <c r="G22" s="14" t="s">
        <v>26</v>
      </c>
      <c r="H22" s="14" t="s">
        <v>26</v>
      </c>
      <c r="I22" s="14" t="s">
        <v>26</v>
      </c>
      <c r="J22" s="21">
        <v>0.51259999999999994</v>
      </c>
      <c r="K22" s="14" t="s">
        <v>74</v>
      </c>
      <c r="L22" s="14" t="s">
        <v>26</v>
      </c>
      <c r="M22" s="12">
        <v>3.91</v>
      </c>
    </row>
    <row r="23" spans="1:13" ht="12" customHeight="1" x14ac:dyDescent="0.2">
      <c r="A23" s="7" t="s">
        <v>34</v>
      </c>
      <c r="B23" s="20">
        <v>0.433</v>
      </c>
      <c r="C23" s="20">
        <v>0.432</v>
      </c>
      <c r="D23" s="20">
        <v>0.36099999999999999</v>
      </c>
      <c r="E23" s="21">
        <v>0.26569999999999999</v>
      </c>
      <c r="F23" s="21">
        <v>0.76670000000000005</v>
      </c>
      <c r="G23" s="21">
        <v>2.2593999999999999</v>
      </c>
      <c r="H23" s="21">
        <v>3.1573000000000002</v>
      </c>
      <c r="I23" s="21">
        <v>-0.48780000000000001</v>
      </c>
      <c r="J23" s="21">
        <v>0.1181</v>
      </c>
      <c r="K23" s="22">
        <v>0.4</v>
      </c>
      <c r="L23" s="21">
        <v>-0.33050000000000002</v>
      </c>
      <c r="M23" s="12">
        <v>1.01</v>
      </c>
    </row>
    <row r="24" spans="1:13" ht="12" customHeight="1" x14ac:dyDescent="0.2">
      <c r="A24" s="7" t="s">
        <v>35</v>
      </c>
      <c r="B24" s="20">
        <v>0.53600000000000003</v>
      </c>
      <c r="C24" s="20">
        <v>0.54300000000000004</v>
      </c>
      <c r="D24" s="20">
        <v>0.52100000000000002</v>
      </c>
      <c r="E24" s="21">
        <v>0.36470000000000002</v>
      </c>
      <c r="F24" s="21">
        <v>2.7418999999999998</v>
      </c>
      <c r="G24" s="21">
        <v>4.1174999999999997</v>
      </c>
      <c r="H24" s="21">
        <v>4.9852999999999996</v>
      </c>
      <c r="I24" s="21">
        <v>5.6722999999999999</v>
      </c>
      <c r="J24" s="21">
        <v>0.37659999999999999</v>
      </c>
      <c r="K24" s="22">
        <v>0.5</v>
      </c>
      <c r="L24" s="21">
        <v>-0.12670000000000001</v>
      </c>
      <c r="M24" s="12">
        <v>0.98</v>
      </c>
    </row>
    <row r="25" spans="1:13" x14ac:dyDescent="0.2">
      <c r="A25" s="7" t="s">
        <v>36</v>
      </c>
      <c r="B25" s="20">
        <v>0.41699999999999998</v>
      </c>
      <c r="C25" s="20">
        <v>0.311</v>
      </c>
      <c r="D25" s="20">
        <v>0.26600000000000001</v>
      </c>
      <c r="E25" s="21">
        <v>0.20699999999999999</v>
      </c>
      <c r="F25" s="21">
        <v>0.37790000000000001</v>
      </c>
      <c r="G25" s="21">
        <v>0.77400000000000002</v>
      </c>
      <c r="H25" s="21">
        <v>1.0305</v>
      </c>
      <c r="I25" s="21">
        <v>1.4294</v>
      </c>
      <c r="J25" s="21">
        <v>0.31559999999999999</v>
      </c>
      <c r="K25" s="22">
        <v>1</v>
      </c>
      <c r="L25" s="14" t="s">
        <v>26</v>
      </c>
      <c r="M25" s="12">
        <v>0.89</v>
      </c>
    </row>
    <row r="26" spans="1:13"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x14ac:dyDescent="0.2">
      <c r="A28" s="7" t="s">
        <v>38</v>
      </c>
      <c r="B28" s="20">
        <v>0.53600000000000003</v>
      </c>
      <c r="C28" s="20">
        <v>0.57399999999999995</v>
      </c>
      <c r="D28" s="20">
        <v>0.52100000000000002</v>
      </c>
      <c r="E28" s="21">
        <v>0.36470000000000002</v>
      </c>
      <c r="F28" s="21">
        <v>2.7418999999999998</v>
      </c>
      <c r="G28" s="21">
        <v>4.1174999999999997</v>
      </c>
      <c r="H28" s="21">
        <v>4.9852999999999996</v>
      </c>
      <c r="I28" s="21">
        <v>5.6722999999999999</v>
      </c>
      <c r="J28" s="21">
        <v>0.51259999999999994</v>
      </c>
      <c r="K28" s="22">
        <v>2.4</v>
      </c>
      <c r="L28" s="21">
        <v>0.16569999999999999</v>
      </c>
      <c r="M28" s="12">
        <v>3.91</v>
      </c>
    </row>
    <row r="29" spans="1:13" x14ac:dyDescent="0.2">
      <c r="A29" s="7" t="s">
        <v>39</v>
      </c>
      <c r="B29" s="20">
        <v>0.27400000000000002</v>
      </c>
      <c r="C29" s="20">
        <v>0.188</v>
      </c>
      <c r="D29" s="20">
        <v>0.12</v>
      </c>
      <c r="E29" s="21">
        <v>6.5699999999999995E-2</v>
      </c>
      <c r="F29" s="21">
        <v>0.115</v>
      </c>
      <c r="G29" s="21">
        <v>-0.14360000000000001</v>
      </c>
      <c r="H29" s="21">
        <v>-0.20380000000000001</v>
      </c>
      <c r="I29" s="21">
        <v>-0.48780000000000001</v>
      </c>
      <c r="J29" s="21">
        <v>6.4399999999999999E-2</v>
      </c>
      <c r="K29" s="22">
        <v>0.4</v>
      </c>
      <c r="L29" s="21">
        <v>-0.33050000000000002</v>
      </c>
      <c r="M29" s="12">
        <v>0.41</v>
      </c>
    </row>
    <row r="30" spans="1:13" x14ac:dyDescent="0.2">
      <c r="A30" s="7" t="s">
        <v>40</v>
      </c>
      <c r="B30" s="20">
        <v>0.41299999999999998</v>
      </c>
      <c r="C30" s="20">
        <v>0.35899999999999999</v>
      </c>
      <c r="D30" s="20">
        <v>0.309</v>
      </c>
      <c r="E30" s="21">
        <v>0.19650000000000001</v>
      </c>
      <c r="F30" s="21">
        <v>0.71640000000000004</v>
      </c>
      <c r="G30" s="21">
        <v>1.1958</v>
      </c>
      <c r="H30" s="21">
        <v>1.5702</v>
      </c>
      <c r="I30" s="21">
        <v>1.8654999999999999</v>
      </c>
      <c r="J30" s="21">
        <v>0.31850000000000001</v>
      </c>
      <c r="K30" s="22">
        <v>0.8</v>
      </c>
      <c r="L30" s="21">
        <v>-5.2200000000000003E-2</v>
      </c>
      <c r="M30" s="12">
        <v>1.18</v>
      </c>
    </row>
    <row r="31" spans="1:13" x14ac:dyDescent="0.2">
      <c r="A31" s="7" t="s">
        <v>41</v>
      </c>
      <c r="B31" s="20">
        <v>0.40300000000000002</v>
      </c>
      <c r="C31" s="20">
        <v>0.36299999999999999</v>
      </c>
      <c r="D31" s="20">
        <v>0.308</v>
      </c>
      <c r="E31" s="21">
        <v>0.18729999999999999</v>
      </c>
      <c r="F31" s="21">
        <v>0.53720000000000001</v>
      </c>
      <c r="G31" s="21">
        <v>0.755</v>
      </c>
      <c r="H31" s="21">
        <v>1.1223000000000001</v>
      </c>
      <c r="I31" s="21">
        <v>1.1972</v>
      </c>
      <c r="J31" s="21">
        <v>0.33100000000000002</v>
      </c>
      <c r="K31" s="22">
        <v>0.6</v>
      </c>
      <c r="L31" s="21">
        <v>-3.3300000000000003E-2</v>
      </c>
      <c r="M31" s="12">
        <v>0.97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3A7B-8350-4A3F-93DF-2962A0DC6729}">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45043</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31F-2BB6-4719-A2D1-20483DD347B1}">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45043</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37012</v>
      </c>
      <c r="C15" s="13">
        <v>11513</v>
      </c>
      <c r="D15" s="13">
        <v>9840</v>
      </c>
      <c r="E15" s="12">
        <v>31483.41</v>
      </c>
      <c r="F15" s="12">
        <v>8506.11</v>
      </c>
      <c r="G15" s="12">
        <v>14.23</v>
      </c>
      <c r="H15" s="12">
        <v>8.81</v>
      </c>
      <c r="I15" s="12">
        <v>21.99</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74</v>
      </c>
      <c r="C19" s="14" t="s">
        <v>74</v>
      </c>
      <c r="D19" s="14" t="s">
        <v>74</v>
      </c>
      <c r="E19" s="19">
        <v>2.94</v>
      </c>
      <c r="F19" s="19">
        <v>11.74</v>
      </c>
      <c r="G19" s="14" t="s">
        <v>74</v>
      </c>
      <c r="H19" s="19">
        <v>21.1</v>
      </c>
      <c r="I19" s="14" t="s">
        <v>74</v>
      </c>
    </row>
    <row r="20" spans="1:9" x14ac:dyDescent="0.2">
      <c r="A20" s="9" t="s">
        <v>39</v>
      </c>
      <c r="B20" s="14" t="s">
        <v>74</v>
      </c>
      <c r="C20" s="14" t="s">
        <v>74</v>
      </c>
      <c r="D20" s="14" t="s">
        <v>74</v>
      </c>
      <c r="E20" s="19">
        <v>0.71</v>
      </c>
      <c r="F20" s="19">
        <v>2.41</v>
      </c>
      <c r="G20" s="14" t="s">
        <v>74</v>
      </c>
      <c r="H20" s="19">
        <v>4.97</v>
      </c>
      <c r="I20" s="14" t="s">
        <v>74</v>
      </c>
    </row>
    <row r="21" spans="1:9" x14ac:dyDescent="0.2">
      <c r="A21" s="9" t="s">
        <v>40</v>
      </c>
      <c r="B21" s="14" t="s">
        <v>74</v>
      </c>
      <c r="C21" s="14" t="s">
        <v>74</v>
      </c>
      <c r="D21" s="14" t="s">
        <v>74</v>
      </c>
      <c r="E21" s="19">
        <v>1.64</v>
      </c>
      <c r="F21" s="19">
        <v>5.79</v>
      </c>
      <c r="G21" s="14" t="s">
        <v>74</v>
      </c>
      <c r="H21" s="19">
        <v>9.2799999999999994</v>
      </c>
      <c r="I21" s="14" t="s">
        <v>74</v>
      </c>
    </row>
    <row r="22" spans="1:9" x14ac:dyDescent="0.2">
      <c r="A22" s="9" t="s">
        <v>41</v>
      </c>
      <c r="B22" s="14" t="s">
        <v>74</v>
      </c>
      <c r="C22" s="14" t="s">
        <v>74</v>
      </c>
      <c r="D22" s="14" t="s">
        <v>74</v>
      </c>
      <c r="E22" s="19">
        <v>1.37</v>
      </c>
      <c r="F22" s="19">
        <v>4.5599999999999996</v>
      </c>
      <c r="G22" s="14" t="s">
        <v>74</v>
      </c>
      <c r="H22" s="19">
        <v>7.07</v>
      </c>
      <c r="I22" s="14" t="s">
        <v>74</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92659.77</v>
      </c>
      <c r="F25" s="12">
        <v>99889.68</v>
      </c>
      <c r="G25" s="8"/>
      <c r="H25" s="8"/>
      <c r="I25" s="8"/>
    </row>
    <row r="26" spans="1:9" x14ac:dyDescent="0.2">
      <c r="A26" s="7" t="s">
        <v>39</v>
      </c>
      <c r="B26" s="14" t="s">
        <v>115</v>
      </c>
      <c r="C26" s="14" t="s">
        <v>115</v>
      </c>
      <c r="D26" s="14" t="s">
        <v>115</v>
      </c>
      <c r="E26" s="12">
        <v>22363.85</v>
      </c>
      <c r="F26" s="12">
        <v>20492.53</v>
      </c>
      <c r="G26" s="8"/>
      <c r="H26" s="8"/>
      <c r="I26" s="8"/>
    </row>
    <row r="27" spans="1:9" x14ac:dyDescent="0.2">
      <c r="A27" s="7" t="s">
        <v>40</v>
      </c>
      <c r="B27" s="14" t="s">
        <v>115</v>
      </c>
      <c r="C27" s="14" t="s">
        <v>115</v>
      </c>
      <c r="D27" s="14" t="s">
        <v>115</v>
      </c>
      <c r="E27" s="12">
        <v>51534.28</v>
      </c>
      <c r="F27" s="12">
        <v>49292.26</v>
      </c>
      <c r="G27" s="8"/>
      <c r="H27" s="8"/>
      <c r="I27" s="8"/>
    </row>
    <row r="28" spans="1:9" x14ac:dyDescent="0.2">
      <c r="A28" s="7" t="s">
        <v>41</v>
      </c>
      <c r="B28" s="14" t="s">
        <v>115</v>
      </c>
      <c r="C28" s="14" t="s">
        <v>115</v>
      </c>
      <c r="D28" s="14" t="s">
        <v>115</v>
      </c>
      <c r="E28" s="12">
        <v>42995.87</v>
      </c>
      <c r="F28" s="12">
        <v>38789.75</v>
      </c>
      <c r="G28" s="8"/>
      <c r="H28" s="8"/>
      <c r="I28" s="8"/>
    </row>
    <row r="29" spans="1:9" x14ac:dyDescent="0.2">
      <c r="A29" s="8"/>
      <c r="B29" s="8"/>
      <c r="C29" s="8"/>
      <c r="D29" s="8"/>
      <c r="E29" s="8"/>
      <c r="F29" s="8"/>
      <c r="G29" s="8"/>
      <c r="H29" s="8"/>
      <c r="I29" s="8"/>
    </row>
    <row r="30" spans="1:9" ht="12" customHeight="1" x14ac:dyDescent="0.2">
      <c r="A30" s="9" t="s">
        <v>116</v>
      </c>
      <c r="B30" s="13">
        <v>901</v>
      </c>
      <c r="C30" s="13">
        <v>901</v>
      </c>
      <c r="D30" s="13">
        <v>901</v>
      </c>
      <c r="E30" s="13">
        <v>901</v>
      </c>
      <c r="F30" s="13">
        <v>901</v>
      </c>
      <c r="G30" s="8"/>
      <c r="H30" s="8"/>
      <c r="I30" s="8"/>
    </row>
    <row r="31" spans="1:9" ht="12" customHeight="1" x14ac:dyDescent="0.2">
      <c r="A31" s="9" t="s">
        <v>117</v>
      </c>
      <c r="B31" s="13">
        <v>11928</v>
      </c>
      <c r="C31" s="13">
        <v>11928</v>
      </c>
      <c r="D31" s="13">
        <v>11928</v>
      </c>
      <c r="E31" s="13">
        <v>11928</v>
      </c>
      <c r="F31" s="13">
        <v>11928</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2">
        <v>45</v>
      </c>
      <c r="C33" s="12">
        <v>45</v>
      </c>
      <c r="D33" s="12">
        <v>45</v>
      </c>
      <c r="E33" s="12">
        <v>45</v>
      </c>
      <c r="F33" s="12">
        <v>45</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81587.77</v>
      </c>
      <c r="F36" s="12">
        <v>88817.68</v>
      </c>
      <c r="G36" s="14" t="s">
        <v>115</v>
      </c>
      <c r="H36" s="12">
        <v>92683.4</v>
      </c>
      <c r="I36" s="14" t="s">
        <v>115</v>
      </c>
    </row>
    <row r="37" spans="1:9" x14ac:dyDescent="0.2">
      <c r="A37" s="7" t="s">
        <v>39</v>
      </c>
      <c r="B37" s="14" t="s">
        <v>115</v>
      </c>
      <c r="C37" s="14" t="s">
        <v>115</v>
      </c>
      <c r="D37" s="14" t="s">
        <v>115</v>
      </c>
      <c r="E37" s="12">
        <v>11291.85</v>
      </c>
      <c r="F37" s="12">
        <v>9420.5300000000007</v>
      </c>
      <c r="G37" s="14" t="s">
        <v>115</v>
      </c>
      <c r="H37" s="12">
        <v>21822.91</v>
      </c>
      <c r="I37" s="14" t="s">
        <v>115</v>
      </c>
    </row>
    <row r="38" spans="1:9" x14ac:dyDescent="0.2">
      <c r="A38" s="7" t="s">
        <v>40</v>
      </c>
      <c r="B38" s="14" t="s">
        <v>115</v>
      </c>
      <c r="C38" s="14" t="s">
        <v>115</v>
      </c>
      <c r="D38" s="14" t="s">
        <v>115</v>
      </c>
      <c r="E38" s="12">
        <v>40462.28</v>
      </c>
      <c r="F38" s="12">
        <v>38220.26</v>
      </c>
      <c r="G38" s="14" t="s">
        <v>115</v>
      </c>
      <c r="H38" s="12">
        <v>40757.54</v>
      </c>
      <c r="I38" s="14" t="s">
        <v>115</v>
      </c>
    </row>
    <row r="39" spans="1:9" x14ac:dyDescent="0.2">
      <c r="A39" s="7" t="s">
        <v>41</v>
      </c>
      <c r="B39" s="14" t="s">
        <v>115</v>
      </c>
      <c r="C39" s="14" t="s">
        <v>115</v>
      </c>
      <c r="D39" s="14" t="s">
        <v>115</v>
      </c>
      <c r="E39" s="12">
        <v>31923.87</v>
      </c>
      <c r="F39" s="12">
        <v>27717.75</v>
      </c>
      <c r="G39" s="14" t="s">
        <v>115</v>
      </c>
      <c r="H39" s="12">
        <v>31076.34</v>
      </c>
      <c r="I39" s="14" t="s">
        <v>115</v>
      </c>
    </row>
    <row r="40" spans="1:9" x14ac:dyDescent="0.2">
      <c r="A40" s="8"/>
      <c r="B40" s="8"/>
      <c r="C40" s="8"/>
      <c r="D40" s="8"/>
      <c r="E40" s="8"/>
      <c r="F40" s="8"/>
      <c r="G40" s="8"/>
      <c r="H40" s="8"/>
      <c r="I40" s="8"/>
    </row>
    <row r="41" spans="1:9" ht="12" customHeight="1" x14ac:dyDescent="0.2">
      <c r="A41" s="9" t="s">
        <v>121</v>
      </c>
      <c r="B41" s="12">
        <v>498.8</v>
      </c>
      <c r="C41" s="12">
        <v>498.8</v>
      </c>
      <c r="D41" s="12">
        <v>498.8</v>
      </c>
      <c r="E41" s="12">
        <v>498.8</v>
      </c>
      <c r="F41" s="12">
        <v>498.8</v>
      </c>
      <c r="G41" s="12">
        <v>498.8</v>
      </c>
      <c r="H41" s="12">
        <v>498.8</v>
      </c>
      <c r="I41" s="12">
        <v>498.8</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163.57</v>
      </c>
      <c r="F44" s="12">
        <v>178.06</v>
      </c>
      <c r="G44" s="14" t="s">
        <v>115</v>
      </c>
      <c r="H44" s="12">
        <v>185.81</v>
      </c>
      <c r="I44" s="14" t="s">
        <v>115</v>
      </c>
    </row>
    <row r="45" spans="1:9" x14ac:dyDescent="0.2">
      <c r="A45" s="7" t="s">
        <v>39</v>
      </c>
      <c r="B45" s="14" t="s">
        <v>115</v>
      </c>
      <c r="C45" s="14" t="s">
        <v>115</v>
      </c>
      <c r="D45" s="14" t="s">
        <v>115</v>
      </c>
      <c r="E45" s="12">
        <v>22.64</v>
      </c>
      <c r="F45" s="12">
        <v>18.89</v>
      </c>
      <c r="G45" s="14" t="s">
        <v>115</v>
      </c>
      <c r="H45" s="12">
        <v>43.75</v>
      </c>
      <c r="I45" s="14" t="s">
        <v>115</v>
      </c>
    </row>
    <row r="46" spans="1:9" x14ac:dyDescent="0.2">
      <c r="A46" s="7" t="s">
        <v>40</v>
      </c>
      <c r="B46" s="14" t="s">
        <v>115</v>
      </c>
      <c r="C46" s="14" t="s">
        <v>115</v>
      </c>
      <c r="D46" s="14" t="s">
        <v>115</v>
      </c>
      <c r="E46" s="12">
        <v>81.12</v>
      </c>
      <c r="F46" s="12">
        <v>76.62</v>
      </c>
      <c r="G46" s="14" t="s">
        <v>115</v>
      </c>
      <c r="H46" s="12">
        <v>81.709999999999994</v>
      </c>
      <c r="I46" s="14" t="s">
        <v>115</v>
      </c>
    </row>
    <row r="47" spans="1:9" x14ac:dyDescent="0.2">
      <c r="A47" s="7" t="s">
        <v>41</v>
      </c>
      <c r="B47" s="14" t="s">
        <v>115</v>
      </c>
      <c r="C47" s="14" t="s">
        <v>115</v>
      </c>
      <c r="D47" s="14" t="s">
        <v>115</v>
      </c>
      <c r="E47" s="12">
        <v>64</v>
      </c>
      <c r="F47" s="12">
        <v>55.57</v>
      </c>
      <c r="G47" s="14" t="s">
        <v>115</v>
      </c>
      <c r="H47" s="12">
        <v>62.3</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87696.28</v>
      </c>
      <c r="C50" s="24">
        <v>175.82</v>
      </c>
      <c r="D50" s="8"/>
      <c r="E50" s="8"/>
      <c r="F50" s="8"/>
      <c r="G50" s="8"/>
      <c r="H50" s="8"/>
      <c r="I50" s="8"/>
    </row>
    <row r="51" spans="1:9" x14ac:dyDescent="0.2">
      <c r="A51" s="9" t="s">
        <v>39</v>
      </c>
      <c r="B51" s="24">
        <v>14178.43</v>
      </c>
      <c r="C51" s="24">
        <v>28.43</v>
      </c>
      <c r="D51" s="8"/>
      <c r="E51" s="8"/>
      <c r="F51" s="8"/>
      <c r="G51" s="8"/>
      <c r="H51" s="8"/>
      <c r="I51" s="8"/>
    </row>
    <row r="52" spans="1:9" x14ac:dyDescent="0.2">
      <c r="A52" s="9" t="s">
        <v>40</v>
      </c>
      <c r="B52" s="24">
        <v>39813.360000000001</v>
      </c>
      <c r="C52" s="24">
        <v>79.819999999999993</v>
      </c>
      <c r="D52" s="8"/>
      <c r="E52" s="8"/>
      <c r="F52" s="8"/>
      <c r="G52" s="8"/>
      <c r="H52" s="8"/>
      <c r="I52" s="8"/>
    </row>
    <row r="53" spans="1:9" x14ac:dyDescent="0.2">
      <c r="A53" s="9" t="s">
        <v>41</v>
      </c>
      <c r="B53" s="24">
        <v>30239.32</v>
      </c>
      <c r="C53" s="24">
        <v>60.62</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91DCB-6489-4671-B85E-17533F1CC0DD}">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45043</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06533-6DA6-4A08-B61C-14E036DD7399}">
  <sheetPr codeName="Sheet9">
    <outlinePr summaryBelow="0" summaryRight="0"/>
  </sheetPr>
  <dimension ref="A4:IU47"/>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45043</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35</v>
      </c>
      <c r="B15" s="30">
        <v>1</v>
      </c>
      <c r="C15" s="30">
        <v>1</v>
      </c>
      <c r="D15" s="30">
        <v>1</v>
      </c>
      <c r="E15" s="30">
        <v>1</v>
      </c>
      <c r="F15" s="35">
        <v>44926</v>
      </c>
      <c r="G15" s="35">
        <v>44999</v>
      </c>
      <c r="H15" s="36" t="s">
        <v>145</v>
      </c>
      <c r="I15" s="36" t="s">
        <v>146</v>
      </c>
      <c r="J15" s="36" t="s">
        <v>147</v>
      </c>
      <c r="K15" s="37" t="s">
        <v>148</v>
      </c>
      <c r="L15" s="37" t="s">
        <v>149</v>
      </c>
    </row>
    <row r="16" spans="1:255" ht="12" customHeight="1" x14ac:dyDescent="0.2">
      <c r="A16" s="28" t="s">
        <v>27</v>
      </c>
      <c r="B16" s="30">
        <v>1</v>
      </c>
      <c r="C16" s="31">
        <v>2</v>
      </c>
      <c r="D16" s="31">
        <v>2</v>
      </c>
      <c r="E16" s="30">
        <v>1</v>
      </c>
      <c r="F16" s="35">
        <v>44926</v>
      </c>
      <c r="G16" s="35">
        <v>44981</v>
      </c>
      <c r="H16" s="36" t="s">
        <v>150</v>
      </c>
      <c r="I16" s="36" t="s">
        <v>146</v>
      </c>
      <c r="J16" s="36" t="s">
        <v>151</v>
      </c>
      <c r="K16" s="37" t="s">
        <v>152</v>
      </c>
      <c r="L16" s="37" t="s">
        <v>149</v>
      </c>
    </row>
    <row r="17" spans="1:12" ht="12" customHeight="1" x14ac:dyDescent="0.2">
      <c r="A17" s="28" t="s">
        <v>34</v>
      </c>
      <c r="B17" s="31">
        <v>2</v>
      </c>
      <c r="C17" s="32">
        <v>3</v>
      </c>
      <c r="D17" s="30">
        <v>1</v>
      </c>
      <c r="E17" s="31">
        <v>2</v>
      </c>
      <c r="F17" s="35">
        <v>44926</v>
      </c>
      <c r="G17" s="35">
        <v>45002</v>
      </c>
      <c r="H17" s="36" t="s">
        <v>153</v>
      </c>
      <c r="I17" s="36" t="s">
        <v>146</v>
      </c>
      <c r="J17" s="36" t="s">
        <v>154</v>
      </c>
      <c r="K17" s="37" t="s">
        <v>155</v>
      </c>
      <c r="L17" s="37" t="s">
        <v>149</v>
      </c>
    </row>
    <row r="18" spans="1:12" ht="12" customHeight="1" x14ac:dyDescent="0.2">
      <c r="A18" s="28" t="s">
        <v>30</v>
      </c>
      <c r="B18" s="31">
        <v>2</v>
      </c>
      <c r="C18" s="32">
        <v>3</v>
      </c>
      <c r="D18" s="32">
        <v>3</v>
      </c>
      <c r="E18" s="32">
        <v>3</v>
      </c>
      <c r="F18" s="35">
        <v>44926</v>
      </c>
      <c r="G18" s="35">
        <v>45010</v>
      </c>
      <c r="H18" s="36" t="s">
        <v>156</v>
      </c>
      <c r="I18" s="36" t="s">
        <v>157</v>
      </c>
      <c r="J18" s="36" t="s">
        <v>158</v>
      </c>
      <c r="K18" s="37" t="s">
        <v>159</v>
      </c>
      <c r="L18" s="37" t="s">
        <v>149</v>
      </c>
    </row>
    <row r="19" spans="1:12" ht="12" customHeight="1" x14ac:dyDescent="0.2">
      <c r="A19" s="28" t="s">
        <v>29</v>
      </c>
      <c r="B19" s="32">
        <v>3</v>
      </c>
      <c r="C19" s="31">
        <v>2</v>
      </c>
      <c r="D19" s="33">
        <v>4</v>
      </c>
      <c r="E19" s="32">
        <v>3</v>
      </c>
      <c r="F19" s="35">
        <v>44926</v>
      </c>
      <c r="G19" s="35">
        <v>45011</v>
      </c>
      <c r="H19" s="36" t="s">
        <v>150</v>
      </c>
      <c r="I19" s="36" t="s">
        <v>157</v>
      </c>
      <c r="J19" s="36" t="s">
        <v>160</v>
      </c>
      <c r="K19" s="37" t="s">
        <v>161</v>
      </c>
      <c r="L19" s="37" t="s">
        <v>149</v>
      </c>
    </row>
    <row r="20" spans="1:12" ht="12" customHeight="1" x14ac:dyDescent="0.2">
      <c r="A20" s="28" t="s">
        <v>25</v>
      </c>
      <c r="B20" s="32">
        <v>3</v>
      </c>
      <c r="C20" s="33">
        <v>4</v>
      </c>
      <c r="D20" s="31">
        <v>2</v>
      </c>
      <c r="E20" s="33">
        <v>4</v>
      </c>
      <c r="F20" s="35">
        <v>44926</v>
      </c>
      <c r="G20" s="35">
        <v>44982</v>
      </c>
      <c r="H20" s="36" t="s">
        <v>150</v>
      </c>
      <c r="I20" s="36" t="s">
        <v>162</v>
      </c>
      <c r="J20" s="36" t="s">
        <v>163</v>
      </c>
      <c r="K20" s="37" t="s">
        <v>152</v>
      </c>
      <c r="L20" s="37" t="s">
        <v>149</v>
      </c>
    </row>
    <row r="21" spans="1:12" ht="12" customHeight="1" x14ac:dyDescent="0.2">
      <c r="A21" s="28" t="s">
        <v>28</v>
      </c>
      <c r="B21" s="32">
        <v>3</v>
      </c>
      <c r="C21" s="33">
        <v>4</v>
      </c>
      <c r="D21" s="32">
        <v>3</v>
      </c>
      <c r="E21" s="31">
        <v>2</v>
      </c>
      <c r="F21" s="35">
        <v>44926</v>
      </c>
      <c r="G21" s="35">
        <v>44967</v>
      </c>
      <c r="H21" s="36" t="s">
        <v>164</v>
      </c>
      <c r="I21" s="36" t="s">
        <v>162</v>
      </c>
      <c r="J21" s="36" t="s">
        <v>165</v>
      </c>
      <c r="K21" s="37" t="s">
        <v>152</v>
      </c>
      <c r="L21" s="37" t="s">
        <v>149</v>
      </c>
    </row>
    <row r="22" spans="1:12" ht="12" customHeight="1" x14ac:dyDescent="0.2">
      <c r="A22" s="28" t="s">
        <v>32</v>
      </c>
      <c r="B22" s="33">
        <v>4</v>
      </c>
      <c r="C22" s="30">
        <v>1</v>
      </c>
      <c r="D22" s="32">
        <v>3</v>
      </c>
      <c r="E22" s="33">
        <v>4</v>
      </c>
      <c r="F22" s="35">
        <v>44926</v>
      </c>
      <c r="G22" s="35">
        <v>44986</v>
      </c>
      <c r="H22" s="36" t="s">
        <v>156</v>
      </c>
      <c r="I22" s="36" t="s">
        <v>157</v>
      </c>
      <c r="J22" s="36" t="s">
        <v>166</v>
      </c>
      <c r="K22" s="37" t="s">
        <v>167</v>
      </c>
      <c r="L22" s="37" t="s">
        <v>149</v>
      </c>
    </row>
    <row r="23" spans="1:12" ht="12" customHeight="1" x14ac:dyDescent="0.2">
      <c r="A23" s="28" t="s">
        <v>31</v>
      </c>
      <c r="B23" s="33">
        <v>4</v>
      </c>
      <c r="C23" s="33">
        <v>4</v>
      </c>
      <c r="D23" s="33">
        <v>4</v>
      </c>
      <c r="E23" s="32">
        <v>3</v>
      </c>
      <c r="F23" s="35">
        <v>44926</v>
      </c>
      <c r="G23" s="35">
        <v>44983</v>
      </c>
      <c r="H23" s="36" t="s">
        <v>156</v>
      </c>
      <c r="I23" s="36" t="s">
        <v>168</v>
      </c>
      <c r="J23" s="36" t="s">
        <v>169</v>
      </c>
      <c r="K23" s="37" t="s">
        <v>152</v>
      </c>
      <c r="L23" s="37" t="s">
        <v>149</v>
      </c>
    </row>
    <row r="24" spans="1:12" x14ac:dyDescent="0.2">
      <c r="A24" s="8"/>
      <c r="B24" s="8"/>
      <c r="C24" s="8"/>
      <c r="D24" s="8"/>
      <c r="E24" s="8"/>
      <c r="F24" s="8"/>
      <c r="G24" s="8"/>
      <c r="H24" s="8"/>
      <c r="I24" s="8"/>
      <c r="J24" s="8"/>
      <c r="K24" s="8"/>
      <c r="L24" s="8"/>
    </row>
    <row r="25" spans="1:12" x14ac:dyDescent="0.2">
      <c r="A25" s="9"/>
      <c r="B25" s="9"/>
      <c r="C25" s="9"/>
      <c r="D25" s="9"/>
      <c r="E25" s="9"/>
      <c r="F25" s="9"/>
      <c r="G25" s="9"/>
      <c r="H25" s="9"/>
      <c r="I25" s="9"/>
      <c r="J25" s="9"/>
      <c r="K25" s="9"/>
      <c r="L25" s="9"/>
    </row>
    <row r="26" spans="1:12" ht="12" customHeight="1" x14ac:dyDescent="0.2">
      <c r="A26" s="28" t="s">
        <v>36</v>
      </c>
      <c r="B26" s="33">
        <v>4</v>
      </c>
      <c r="C26" s="32">
        <v>3</v>
      </c>
      <c r="D26" s="33">
        <v>4</v>
      </c>
      <c r="E26" s="33">
        <v>4</v>
      </c>
      <c r="F26" s="35">
        <v>44926</v>
      </c>
      <c r="G26" s="35">
        <v>44983</v>
      </c>
      <c r="H26" s="36" t="s">
        <v>150</v>
      </c>
      <c r="I26" s="36" t="s">
        <v>162</v>
      </c>
      <c r="J26" s="36" t="s">
        <v>170</v>
      </c>
      <c r="K26" s="37" t="s">
        <v>171</v>
      </c>
      <c r="L26" s="37" t="s">
        <v>149</v>
      </c>
    </row>
    <row r="27" spans="1:12" x14ac:dyDescent="0.2">
      <c r="A27" s="10"/>
      <c r="B27" s="10"/>
      <c r="C27" s="10"/>
      <c r="D27" s="10"/>
      <c r="E27" s="10"/>
      <c r="F27" s="10"/>
      <c r="G27" s="10"/>
      <c r="H27" s="10"/>
      <c r="I27" s="10"/>
      <c r="J27" s="10"/>
      <c r="K27" s="10"/>
      <c r="L27" s="10"/>
    </row>
    <row r="29" spans="1:12" x14ac:dyDescent="0.2">
      <c r="A29" s="6" t="s">
        <v>172</v>
      </c>
    </row>
    <row r="34" spans="1:1" x14ac:dyDescent="0.2">
      <c r="A34" t="s">
        <v>43</v>
      </c>
    </row>
    <row r="37" spans="1:1" x14ac:dyDescent="0.2">
      <c r="A37" t="s">
        <v>173</v>
      </c>
    </row>
    <row r="44" spans="1:1" ht="25.05" customHeight="1" x14ac:dyDescent="0.2">
      <c r="A44" s="18" t="s">
        <v>174</v>
      </c>
    </row>
    <row r="47" spans="1:1" ht="120" customHeight="1" x14ac:dyDescent="0.2">
      <c r="A47" s="38" t="s">
        <v>175</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24A32-815E-4A2E-B5DD-567BFA8E6CF4}">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176</v>
      </c>
    </row>
    <row r="8" spans="1:1" x14ac:dyDescent="0.2">
      <c r="A8" t="s">
        <v>177</v>
      </c>
    </row>
    <row r="10" spans="1:1" ht="120" customHeight="1" x14ac:dyDescent="0.2">
      <c r="A10" s="39" t="s">
        <v>178</v>
      </c>
    </row>
    <row r="12" spans="1:1" ht="72" customHeight="1" x14ac:dyDescent="0.2">
      <c r="A12" s="39" t="s">
        <v>179</v>
      </c>
    </row>
    <row r="14" spans="1:1" ht="36" customHeight="1" x14ac:dyDescent="0.2">
      <c r="A14" s="39" t="s">
        <v>180</v>
      </c>
    </row>
    <row r="16" spans="1:1" ht="36" customHeight="1" x14ac:dyDescent="0.2">
      <c r="A16" s="40" t="s">
        <v>181</v>
      </c>
    </row>
    <row r="18" spans="1:1" ht="36" customHeight="1" x14ac:dyDescent="0.2">
      <c r="A18" s="40" t="s">
        <v>182</v>
      </c>
    </row>
    <row r="20" spans="1:1" ht="36" customHeight="1" x14ac:dyDescent="0.2">
      <c r="A20" s="40" t="s">
        <v>183</v>
      </c>
    </row>
    <row r="22" spans="1:1" ht="24" customHeight="1" x14ac:dyDescent="0.2">
      <c r="A22" s="40" t="s">
        <v>184</v>
      </c>
    </row>
    <row r="24" spans="1:1" ht="24" customHeight="1" x14ac:dyDescent="0.2">
      <c r="A24" s="40" t="s">
        <v>185</v>
      </c>
    </row>
    <row r="26" spans="1:1" ht="24" customHeight="1" x14ac:dyDescent="0.2">
      <c r="A26" s="40" t="s">
        <v>186</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60594-3D1A-403D-BAD1-EFF59D9D287A}">
  <sheetPr codeName="Sheet11"/>
  <dimension ref="A5"/>
  <sheetViews>
    <sheetView workbookViewId="0"/>
  </sheetViews>
  <sheetFormatPr defaultRowHeight="10.199999999999999" x14ac:dyDescent="0.2"/>
  <sheetData>
    <row r="5" spans="1:1" ht="23.25" customHeight="1" x14ac:dyDescent="0.4">
      <c r="A5" s="42" t="s">
        <v>187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2023-04-28T02:49:24Z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