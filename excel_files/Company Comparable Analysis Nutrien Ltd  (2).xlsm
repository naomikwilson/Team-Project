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filterPrivacy="1" codeName="ThisWorkbook" defaultThemeVersion="166925"/>
  <xr:revisionPtr revIDLastSave="0" documentId="13_ncr:1_{4CC8B737-9F62-4DD9-9186-73056AF26C77}" xr6:coauthVersionLast="47" xr6:coauthVersionMax="47" xr10:uidLastSave="{00000000-0000-0000-0000-000000000000}"/>
  <bookViews>
    <workbookView xWindow="2304" yWindow="2304" windowWidth="17280" windowHeight="10500" xr2:uid="{00000000-000D-0000-FFFF-FFFF00000000}"/>
  </bookViews>
  <sheets>
    <sheet name="COMPCO" sheetId="11" r:id="rId1"/>
    <sheet name="BENCHMARKING" sheetId="10" r:id="rId2"/>
    <sheet name="Financial Data" sheetId="1" r:id="rId3"/>
    <sheet name="Trading Multiples" sheetId="2" r:id="rId4"/>
    <sheet name="Operating Statistics" sheetId="3" r:id="rId5"/>
    <sheet name="Business Description" sheetId="4" r:id="rId6"/>
    <sheet name="Implied Valuation" sheetId="5" r:id="rId7"/>
    <sheet name="Valuation Chart" sheetId="6" r:id="rId8"/>
    <sheet name="Credit Health Panel" sheetId="7" r:id="rId9"/>
    <sheet name="Disclaimer" sheetId="8" r:id="rId10"/>
    <sheet name="Evaluation Warning" sheetId="9" r:id="rId11"/>
  </sheets>
  <definedNames>
    <definedName name="_xlnm.Print_Titles" localSheetId="5">'Business Description'!$1:$3</definedName>
    <definedName name="_xlnm.Print_Titles" localSheetId="8">'Credit Health Panel'!$1:$3</definedName>
    <definedName name="_xlnm.Print_Titles" localSheetId="9">Disclaimer!$1:$3</definedName>
    <definedName name="_xlnm.Print_Titles" localSheetId="2">'Financial Data'!$1:$3</definedName>
    <definedName name="_xlnm.Print_Titles" localSheetId="6">'Implied Valuation'!$1:$3</definedName>
    <definedName name="_xlnm.Print_Titles" localSheetId="4">'Operating Statistics'!$1:$3</definedName>
    <definedName name="_xlnm.Print_Titles" localSheetId="3">'Trading Multiples'!$1:$3</definedName>
    <definedName name="_xlnm.Print_Titles" localSheetId="7">'Valuation Chart'!$1:$3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 i="11" l="1"/>
  <c r="N44" i="11"/>
  <c r="N43" i="11"/>
  <c r="N42" i="11"/>
  <c r="N41" i="11"/>
  <c r="N40" i="11"/>
  <c r="N39" i="11"/>
  <c r="N38" i="11"/>
  <c r="N37" i="11"/>
  <c r="N36" i="11"/>
  <c r="N35" i="11"/>
  <c r="N34" i="11"/>
  <c r="N33" i="11"/>
  <c r="N32" i="11"/>
  <c r="N31" i="11"/>
  <c r="N30" i="11"/>
  <c r="N29" i="11"/>
  <c r="N28" i="11"/>
  <c r="N27" i="11"/>
  <c r="N26" i="11"/>
  <c r="N25" i="11"/>
  <c r="N24" i="11"/>
  <c r="M44" i="11"/>
  <c r="M43" i="11"/>
  <c r="M42" i="11"/>
  <c r="M41" i="11"/>
  <c r="M40" i="11"/>
  <c r="M39" i="11"/>
  <c r="M38" i="11"/>
  <c r="M37" i="11"/>
  <c r="M36" i="11"/>
  <c r="M35" i="11"/>
  <c r="M34" i="11"/>
  <c r="M33" i="11"/>
  <c r="M32" i="11"/>
  <c r="M31" i="11"/>
  <c r="M30" i="11"/>
  <c r="M29" i="11"/>
  <c r="M28" i="11"/>
  <c r="M27" i="11"/>
  <c r="M26" i="11"/>
  <c r="M25" i="11"/>
  <c r="M24" i="11"/>
  <c r="L44" i="11"/>
  <c r="L43" i="11"/>
  <c r="L42" i="11"/>
  <c r="L41" i="11"/>
  <c r="L40" i="11"/>
  <c r="L39" i="11"/>
  <c r="L38" i="11"/>
  <c r="L37" i="11"/>
  <c r="L36" i="11"/>
  <c r="L35" i="11"/>
  <c r="L34" i="11"/>
  <c r="L33" i="11"/>
  <c r="L32" i="11"/>
  <c r="L31" i="11"/>
  <c r="L30" i="11"/>
  <c r="L29" i="11"/>
  <c r="L28" i="11"/>
  <c r="L27" i="11"/>
  <c r="L26" i="11"/>
  <c r="L25" i="11"/>
  <c r="L24" i="11"/>
  <c r="L22" i="11"/>
  <c r="Q8" i="11" s="1"/>
  <c r="Q10" i="11" s="1"/>
  <c r="Q12" i="11" s="1"/>
  <c r="Q14" i="11" s="1"/>
  <c r="D28" i="10"/>
  <c r="O29" i="10"/>
  <c r="N29" i="10"/>
  <c r="M29" i="10"/>
  <c r="L29" i="10"/>
  <c r="K29" i="10"/>
  <c r="J29" i="10"/>
  <c r="I29" i="10"/>
  <c r="H29" i="10"/>
  <c r="G29" i="10"/>
  <c r="F29" i="10"/>
  <c r="E29" i="10"/>
  <c r="D29" i="10"/>
  <c r="O51" i="10"/>
  <c r="O50" i="10"/>
  <c r="O49" i="10"/>
  <c r="O48" i="10"/>
  <c r="O47" i="10"/>
  <c r="O46" i="10"/>
  <c r="O45" i="10"/>
  <c r="O44" i="10"/>
  <c r="O43" i="10"/>
  <c r="O42" i="10"/>
  <c r="O41" i="10"/>
  <c r="O40" i="10"/>
  <c r="O39" i="10"/>
  <c r="O38" i="10"/>
  <c r="O37" i="10"/>
  <c r="O36" i="10"/>
  <c r="O35" i="10"/>
  <c r="O34" i="10"/>
  <c r="O33" i="10"/>
  <c r="O32" i="10"/>
  <c r="O31" i="10"/>
  <c r="N51" i="10"/>
  <c r="N50" i="10"/>
  <c r="N49" i="10"/>
  <c r="N48" i="10"/>
  <c r="N47" i="10"/>
  <c r="N46" i="10"/>
  <c r="N45" i="10"/>
  <c r="N44" i="10"/>
  <c r="N43" i="10"/>
  <c r="N42" i="10"/>
  <c r="N41" i="10"/>
  <c r="N40" i="10"/>
  <c r="N39" i="10"/>
  <c r="N38" i="10"/>
  <c r="N37" i="10"/>
  <c r="N36" i="10"/>
  <c r="N35" i="10"/>
  <c r="N34" i="10"/>
  <c r="N33" i="10"/>
  <c r="N32" i="10"/>
  <c r="N31" i="10"/>
  <c r="M51" i="10"/>
  <c r="M50" i="10"/>
  <c r="M49" i="10"/>
  <c r="M48" i="10"/>
  <c r="M47" i="10"/>
  <c r="M46" i="10"/>
  <c r="M45" i="10"/>
  <c r="M44" i="10"/>
  <c r="M43" i="10"/>
  <c r="M42" i="10"/>
  <c r="M41" i="10"/>
  <c r="M40" i="10"/>
  <c r="M39" i="10"/>
  <c r="M38" i="10"/>
  <c r="M37" i="10"/>
  <c r="M36" i="10"/>
  <c r="M35" i="10"/>
  <c r="M34" i="10"/>
  <c r="M33" i="10"/>
  <c r="M32" i="10"/>
  <c r="M31" i="10"/>
  <c r="L51" i="10"/>
  <c r="L50" i="10"/>
  <c r="L49" i="10"/>
  <c r="L48" i="10"/>
  <c r="L47" i="10"/>
  <c r="L46" i="10"/>
  <c r="L45" i="10"/>
  <c r="L44" i="10"/>
  <c r="L43" i="10"/>
  <c r="L42" i="10"/>
  <c r="L41" i="10"/>
  <c r="L40" i="10"/>
  <c r="L39" i="10"/>
  <c r="L38" i="10"/>
  <c r="L37" i="10"/>
  <c r="L36" i="10"/>
  <c r="L35" i="10"/>
  <c r="L34" i="10"/>
  <c r="L33" i="10"/>
  <c r="L32" i="10"/>
  <c r="L31" i="10"/>
  <c r="K51" i="10"/>
  <c r="K50" i="10"/>
  <c r="K49" i="10"/>
  <c r="K48" i="10"/>
  <c r="K47" i="10"/>
  <c r="K46" i="10"/>
  <c r="K45" i="10"/>
  <c r="K44" i="10"/>
  <c r="K43" i="10"/>
  <c r="K42" i="10"/>
  <c r="K41" i="10"/>
  <c r="K40" i="10"/>
  <c r="K39" i="10"/>
  <c r="K38" i="10"/>
  <c r="K37" i="10"/>
  <c r="K36" i="10"/>
  <c r="K35" i="10"/>
  <c r="K34" i="10"/>
  <c r="K33" i="10"/>
  <c r="K32" i="10"/>
  <c r="K31" i="10"/>
  <c r="J51" i="10"/>
  <c r="J50" i="10"/>
  <c r="J49" i="10"/>
  <c r="J48" i="10"/>
  <c r="J47" i="10"/>
  <c r="J46" i="10"/>
  <c r="J45" i="10"/>
  <c r="J44" i="10"/>
  <c r="J43" i="10"/>
  <c r="J42" i="10"/>
  <c r="J41" i="10"/>
  <c r="J40" i="10"/>
  <c r="J39" i="10"/>
  <c r="J38" i="10"/>
  <c r="J37" i="10"/>
  <c r="J36" i="10"/>
  <c r="J35" i="10"/>
  <c r="J34" i="10"/>
  <c r="J33" i="10"/>
  <c r="J32" i="10"/>
  <c r="J31" i="10"/>
  <c r="I51" i="10"/>
  <c r="I50" i="10"/>
  <c r="I49" i="10"/>
  <c r="I48" i="10"/>
  <c r="I47" i="10"/>
  <c r="I46" i="10"/>
  <c r="I45" i="10"/>
  <c r="I44" i="10"/>
  <c r="I43" i="10"/>
  <c r="I42" i="10"/>
  <c r="I41" i="10"/>
  <c r="I40" i="10"/>
  <c r="I39" i="10"/>
  <c r="I38" i="10"/>
  <c r="I37" i="10"/>
  <c r="I36" i="10"/>
  <c r="I35" i="10"/>
  <c r="I34" i="10"/>
  <c r="I33" i="10"/>
  <c r="I32" i="10"/>
  <c r="I31" i="10"/>
  <c r="H51" i="10"/>
  <c r="H50" i="10"/>
  <c r="H49" i="10"/>
  <c r="H48" i="10"/>
  <c r="H47" i="10"/>
  <c r="H46" i="10"/>
  <c r="H45" i="10"/>
  <c r="H44" i="10"/>
  <c r="H43" i="10"/>
  <c r="H42" i="10"/>
  <c r="H41" i="10"/>
  <c r="H40" i="10"/>
  <c r="H39" i="10"/>
  <c r="H38" i="10"/>
  <c r="H37" i="10"/>
  <c r="H36" i="10"/>
  <c r="H35" i="10"/>
  <c r="H34" i="10"/>
  <c r="H33" i="10"/>
  <c r="H32" i="10"/>
  <c r="H31" i="10"/>
  <c r="G51" i="10"/>
  <c r="G50" i="10"/>
  <c r="G49" i="10"/>
  <c r="G48" i="10"/>
  <c r="G47" i="10"/>
  <c r="G46" i="10"/>
  <c r="G45" i="10"/>
  <c r="G44" i="10"/>
  <c r="G43" i="10"/>
  <c r="G42" i="10"/>
  <c r="G41" i="10"/>
  <c r="G40" i="10"/>
  <c r="G39" i="10"/>
  <c r="G38" i="10"/>
  <c r="G37" i="10"/>
  <c r="G36" i="10"/>
  <c r="G35" i="10"/>
  <c r="G34" i="10"/>
  <c r="G33" i="10"/>
  <c r="G32" i="10"/>
  <c r="G31" i="10"/>
  <c r="F51" i="10"/>
  <c r="F50" i="10"/>
  <c r="F49" i="10"/>
  <c r="F48" i="10"/>
  <c r="F47" i="10"/>
  <c r="F46" i="10"/>
  <c r="F45" i="10"/>
  <c r="F44" i="10"/>
  <c r="F43" i="10"/>
  <c r="F42" i="10"/>
  <c r="F41" i="10"/>
  <c r="F40" i="10"/>
  <c r="F39" i="10"/>
  <c r="F38" i="10"/>
  <c r="F37" i="10"/>
  <c r="F36" i="10"/>
  <c r="F35" i="10"/>
  <c r="F34" i="10"/>
  <c r="F33" i="10"/>
  <c r="F32" i="10"/>
  <c r="F31" i="10"/>
  <c r="E51" i="10"/>
  <c r="E50" i="10"/>
  <c r="E49" i="10"/>
  <c r="E48" i="10"/>
  <c r="E47" i="10"/>
  <c r="E46" i="10"/>
  <c r="E45" i="10"/>
  <c r="E44" i="10"/>
  <c r="E43" i="10"/>
  <c r="E42" i="10"/>
  <c r="E41" i="10"/>
  <c r="E40" i="10"/>
  <c r="E39" i="10"/>
  <c r="E38" i="10"/>
  <c r="E37" i="10"/>
  <c r="E36" i="10"/>
  <c r="E35" i="10"/>
  <c r="E34" i="10"/>
  <c r="E33" i="10"/>
  <c r="E32" i="10"/>
  <c r="E31" i="10"/>
  <c r="D51" i="10"/>
  <c r="D50" i="10"/>
  <c r="D49" i="10"/>
  <c r="D48" i="10"/>
  <c r="D47" i="10"/>
  <c r="D46" i="10"/>
  <c r="D45" i="10"/>
  <c r="D44" i="10"/>
  <c r="D43" i="10"/>
  <c r="D42" i="10"/>
  <c r="D41" i="10"/>
  <c r="D40" i="10"/>
  <c r="D39" i="10"/>
  <c r="D38" i="10"/>
  <c r="D37" i="10"/>
  <c r="D36" i="10"/>
  <c r="D35" i="10"/>
  <c r="D34" i="10"/>
  <c r="D33" i="10"/>
  <c r="D32" i="10"/>
  <c r="D31" i="10"/>
  <c r="R8" i="11" l="1"/>
  <c r="R10" i="11" s="1"/>
  <c r="R12" i="11" s="1"/>
  <c r="R14" i="11" s="1"/>
  <c r="Q15" i="11" s="1"/>
  <c r="Q17" i="11" s="1"/>
  <c r="S8" i="11"/>
  <c r="S14" i="11" s="1"/>
  <c r="S12" i="11" s="1"/>
  <c r="S10" i="11" s="1"/>
</calcChain>
</file>

<file path=xl/sharedStrings.xml><?xml version="1.0" encoding="utf-8"?>
<sst xmlns="http://schemas.openxmlformats.org/spreadsheetml/2006/main" count="670" uniqueCount="206">
  <si>
    <t>Nutrien Ltd. (TSX:NTR) &gt;  Quick Comparable Analysis &gt; Financial Data</t>
  </si>
  <si>
    <t>Details</t>
  </si>
  <si>
    <t>Template:</t>
  </si>
  <si>
    <t>Capital IQ Default Comps</t>
  </si>
  <si>
    <t>Currency:</t>
  </si>
  <si>
    <t>US Dollar</t>
  </si>
  <si>
    <t>As-Of Date:</t>
  </si>
  <si>
    <t>Company Comp Set</t>
  </si>
  <si>
    <t>Company Name</t>
  </si>
  <si>
    <t>Day Close Price Latest</t>
  </si>
  <si>
    <t>Shares Outstanding Latest</t>
  </si>
  <si>
    <t>Market Capitalization Latest</t>
  </si>
  <si>
    <t xml:space="preserve">LTM Net Debt </t>
  </si>
  <si>
    <t>LTM Total Pref. Equity</t>
  </si>
  <si>
    <t>LTM Minority Interest</t>
  </si>
  <si>
    <t>Total Enterprise Value Latest</t>
  </si>
  <si>
    <t xml:space="preserve">LTM Tangible Book Value/Share </t>
  </si>
  <si>
    <t xml:space="preserve">LTM Filing Date, Income Statement </t>
  </si>
  <si>
    <t xml:space="preserve">LTM Total Revenue </t>
  </si>
  <si>
    <t xml:space="preserve">LTM EBITDA </t>
  </si>
  <si>
    <t xml:space="preserve">LTM EBIT </t>
  </si>
  <si>
    <t xml:space="preserve">LTM Diluted EPS Excl. Extra Items </t>
  </si>
  <si>
    <t xml:space="preserve">NTM Revenue (Capital IQ) </t>
  </si>
  <si>
    <t xml:space="preserve">NTM EBITDA (Capital IQ) </t>
  </si>
  <si>
    <t xml:space="preserve">NTM EPS (Capital IQ) </t>
  </si>
  <si>
    <t>The Mosaic Company (NYSE:MOS)</t>
  </si>
  <si>
    <t>-</t>
  </si>
  <si>
    <t>CF Industries Holdings, Inc. (NYSE:CF)</t>
  </si>
  <si>
    <t>Corteva, Inc. (NYSE:CTVA)</t>
  </si>
  <si>
    <t>Yara International ASA (OB:YAR)</t>
  </si>
  <si>
    <t>OCI N.V. (ENXTAM:OCI)</t>
  </si>
  <si>
    <t>FMC Corporation (NYSE:FMC)</t>
  </si>
  <si>
    <t>ICL Group Ltd (TASE:ICL)</t>
  </si>
  <si>
    <t>Pontus Protein Ltd. (TSXV:HULK)</t>
  </si>
  <si>
    <t>K+S Aktiengesellschaft (XTRA:SDF)</t>
  </si>
  <si>
    <t>Sociedad Química y Minera de Chile S.A. (NYSE:SQM)</t>
  </si>
  <si>
    <t>Nutrien Ltd. (TSX:NTR)</t>
  </si>
  <si>
    <t>Summary Statistics</t>
  </si>
  <si>
    <t>High</t>
  </si>
  <si>
    <t>Low</t>
  </si>
  <si>
    <t>Mean</t>
  </si>
  <si>
    <t>Median</t>
  </si>
  <si>
    <t>Displaying 11 Companies.</t>
  </si>
  <si>
    <t>Values converted at today's spot rate.</t>
  </si>
  <si>
    <t>Companies by default are sorted by S&amp;P Capital IQ’s proprietary relevancy score.</t>
  </si>
  <si>
    <t>Historical Equity Pricing Data supplied by Interactive Data Pricing and Reference Data LLC</t>
  </si>
  <si>
    <t>Nutrien Ltd. (TSX:NTR) &gt;  Quick Comparable Analysis &gt; Trading Multiples</t>
  </si>
  <si>
    <t>Template:</t>
  </si>
  <si>
    <t>Currency:</t>
  </si>
  <si>
    <t>As-Of Date:</t>
  </si>
  <si>
    <t>TEV/Total Revenues LTM - Latest</t>
  </si>
  <si>
    <t>TEV/EBITDA LTM - Latest</t>
  </si>
  <si>
    <t>TEV/EBIT LTM - Latest</t>
  </si>
  <si>
    <t>P/Diluted EPS Before Extra LTM - Latest</t>
  </si>
  <si>
    <t>P/TangBV LTM - Latest</t>
  </si>
  <si>
    <t xml:space="preserve">NTM TEV/Forward Total Revenue (Capital IQ) </t>
  </si>
  <si>
    <t xml:space="preserve">NTM TEV/Forward EBITDA (Capital IQ) </t>
  </si>
  <si>
    <t xml:space="preserve">NTM Forward P/E (Capital IQ) </t>
  </si>
  <si>
    <t>Nutrien Ltd. (TSX:NTR) &gt;  Quick Comparable Analysis &gt; Operating Statistics</t>
  </si>
  <si>
    <t>Template:</t>
  </si>
  <si>
    <t>Currency:</t>
  </si>
  <si>
    <t>As-Of Date:</t>
  </si>
  <si>
    <t xml:space="preserve">LTM Gross Margin % </t>
  </si>
  <si>
    <t xml:space="preserve">LTM EBITDA Margin % </t>
  </si>
  <si>
    <t xml:space="preserve">LTM EBIT Margin % </t>
  </si>
  <si>
    <t xml:space="preserve">LTM Net Income Margin % </t>
  </si>
  <si>
    <t xml:space="preserve">LTM Total Revenues, 1 Yr Growth % </t>
  </si>
  <si>
    <t xml:space="preserve">LTM EBITDA, 1 Yr Growth % </t>
  </si>
  <si>
    <t xml:space="preserve">LTM EBIT, 1 Yr Growth % </t>
  </si>
  <si>
    <t xml:space="preserve">LTM Net Income, 1 Yr Growth % </t>
  </si>
  <si>
    <t>LTM Total Debt/Capital %</t>
  </si>
  <si>
    <t xml:space="preserve">LTM Total Debt/EBITDA </t>
  </si>
  <si>
    <t xml:space="preserve">NTM LT EPS Growth Rate (Capital IQ) </t>
  </si>
  <si>
    <t>5 Year Beta</t>
  </si>
  <si>
    <t>NM</t>
  </si>
  <si>
    <t>Nutrien Ltd. (TSX:NTR) &gt;  Quick Comparable Analysis &gt; Business Description</t>
  </si>
  <si>
    <t>Template:</t>
  </si>
  <si>
    <t>Currency:</t>
  </si>
  <si>
    <t>As-Of Date:</t>
  </si>
  <si>
    <t>Business Description</t>
  </si>
  <si>
    <t>Headquarters</t>
  </si>
  <si>
    <t>The Mosaic Company, through its subsidiaries, produces and markets concentrated phosphate and potash crop nutrients in North America and internationally. The company operates through three segments: Phosphates, Potash, and Mosaic Fertilizantes. It owns and operates mines, which produce concentrated phosphate crop nutrients, such as diammonium phosphate, monoammonium phosphate, and ammoniated phosphate products; and phosphate-based animal feed ingredients primarily under the Biofos and Nexfos brand names, as well as produces a double sulfate of potash magnesia product under K-Mag brand name. The company also produces and sells potash for use in the manufacturing of mixed crop nutrients and animal feed ingredients, and for industrial use; and for use in the de-icing and as a water softener regenerant. In addition, it provides nitrogen-based crop nutrients, animal feed ingredients, and other ancillary services; and purchases and sells phosphates, potash, and nitrogen products. The company sells its products to wholesale distributors, retail chains, farmers, cooperatives, independent retailers, and national accounts. The Mosaic Company was incorporated in 2004 and is headquartered in Tampa, Florida.</t>
  </si>
  <si>
    <t>101 East Kennedy Boulevard, Suite 2500, Tampa, Florida, 33602, United States</t>
  </si>
  <si>
    <t>CF Industries Holdings, Inc. manufactures and sells hydrogen and nitrogen products for energy, fertilizer, emissions abatement, and other industrial activities worldwide. Its principal products include anhydrous ammonia, granular urea, urea ammonium nitrate, and ammonium nitrate products. The company also offers diesel exhaust fluid, urea liquor, nitric acid, and aqua ammonia products; and compound fertilizer products with nitrogen, phosphorus, and potassium. It primarily serves cooperatives, independent fertilizer distributors, traders, wholesalers, and industrial users. The company was founded in 1946 and is headquartered in Deerfield, Illinois.</t>
  </si>
  <si>
    <t>4 Parkway North, Suite 400, Deerfield, Illinois, 60015, United States</t>
  </si>
  <si>
    <t>Corteva, Inc. operates in the agriculture business. It operates through two segments, Seed and Crop Protection. The Seed segment develops and supplies advanced germplasm and traits that produce optimum yield for farms. It offers trait technologies that enhance resistance to weather, disease, insects, and herbicides used to control weeds, as well as food and nutritional characteristics. This segment also provides digital solutions that assist farmer decision-making with a view to optimize product selection, and maximize yield and profitability. The Crop Protection segment offers products that protect against weeds, insects and other pests, and diseases, as well as enhances crop health above and below ground through nitrogen management and seed-applied technologies. This segment provides herbicides, insecticides, nitrogen stabilizers, and pasture and range management herbicides. It serves agricultural input industry. The company operates in the United States, Canada, Latin America, the Asia Pacific, Europe, the Middle East, and Africa. Corteva, Inc. was incorporated in 2018 and is headquartered in Indianapolis, Indiana.</t>
  </si>
  <si>
    <t>9330 Zionsville Road, Indianapolis, Indiana, 46268, United States</t>
  </si>
  <si>
    <t>Yara International ASA provides crop nutrition and industrial solutions in Norway, European Union, Europe, Africa, Asia, North and Latin America, Australia, and New Zealand. The company offers ammonium- and urea-based fertilizers; compound fertilizers that contain plant nutrients, such as nitrogen, phosphorus, and potassium; coatings; biostimulants; organic-based fertilizers; green fertilizers are nitrate-based mineral fertilizers, as well as foliar and fertigation solutions; and nitrate, calcium nitrate, micronutrient, and fertigation fertilizers. It also offers digital solutions, such as variable rate application solutions; N-Sensor, a tractor-mounted hardware; N-Tester, a hand held nitrogen measurement tool; and Atfarm, a digital toolbox for farmer. The company sells its products under YaraBela, YaraMila, YaraLiva, YaraVita, YaraRega, YaraTera, YaraSuna, and YaraVera and brands. Yara International ASA was founded in 1905 and is headquartered in Oslo, Norway.</t>
  </si>
  <si>
    <t>Drammensveien 131, Oslo, Oslo, 0277, Norway</t>
  </si>
  <si>
    <t>OCI N.V. produces and distributes hydrogen-based and natural gas-based products to agricultural, transportation, and industrial customers. It operates through Methanol US, Methanol Europe, Nitrogen US, Nitrogen Europe, and Fertiglobe segments. The company offers anhydrous ammonia, granular urea, urea ammonium nitrate solution, calcium ammonium nitrate, ammonium sulphate, aqueous ammonia, nitric acid, urea solution, bio-methanol, methanol, melamine, and diesel exhaust fluid, as well as other nitrogen products. It also owns and operates an ammonia terminal at the port of Rotterdam. The company has operations in Europe, the Americas, the Middle East, Africa, Asia, and Oceania. OCI N.V. has a strategic partnership with Abu Dhabi National Oil Company. OCI N.V. was founded in 2013 and is headquartered in Amsterdam, the Netherlands.</t>
  </si>
  <si>
    <t>Honthorststraat 19, Amsterdam, Noord-Holland, 1071 DC, Netherlands</t>
  </si>
  <si>
    <t>FMC Corporation, an agricultural sciences company, provides crop protection, plant health, and professional pest and turf management products. It develops, markets, and sells crop protection chemicals that include insecticides, herbicides, and fungicides; and biologicals, crop nutrition, and seed treatment products, which are used in agriculture to enhance crop yield and quality by controlling a range of insects, weeds, and diseases, as well as in non-agricultural markets for pest control. The company markets its products through its own sales organization and through alliance partners, independent distributors, and sales representatives. It operates in North America, Latin America, Europe, the Middle East, Africa, and Asia. The company was founded in 1883 and is headquartered in Philadelphia, Pennsylvania.</t>
  </si>
  <si>
    <t>FMC Tower, 2929 Walnut Street, Cira Centre South, Philadelphia, Pennsylvania, 19104, United States</t>
  </si>
  <si>
    <t>ICL Group Ltd, together with its subsidiaries, operates as a specialty minerals and chemicals company worldwide. It operates in four segments: Industrial Products, Potash, Phosphate Solutions, and Growing Solutions. The Industrial Products segment produces bromine out of a solution that is a by-product of the potash production process, as well as bromine-based compounds; produces various grades of potash, salt, magnesium chloride, and magnesia products; and produces and markets phosphorous-based flame retardants and other phosphorus-based products. The Potash segment extracts potash from the Dead Sea; mines and produces potash and salt; produces polysulphate; produces, markets, and sells magnesium and magnesium alloys, as well as related by-products, including chlorine and sylvinite; and sells salt. The Phosphate Solutions segment uses phosphate commodity products to produce specialty products; produces and markets phosphate-based fertilizers, as well as sulphuric acid, green phosphoric acid, and phosphate fertilizers; and manufactures thermal phosphoric acid for various industrial end markets, such as oral care, cleaning products, paints and coatings, water treatment, asphalt modification, construction, and metal treatment. It also develops and produces functional food ingredients and phosphate additives for use in the processed meat, poultry, seafood, dairy, beverage, and baked goods markets; and produces milk and whey proteins for the food ingredients industry. The Growing Solutions segment develops, manufactures, markets, and sells fertilizers based primarily on nitrogen, potash, and phosphate, including water soluble specialty, liquid, soluble, and controlled-release fertilizers. It sells its products through marketing companies, agents, and distributors. The company was formerly known as Israel Chemicals Ltd. and changed its name to ICL Group Ltd in May 2020. The company was founded in 1968 and is headquartered in Tel Aviv, Israel.</t>
  </si>
  <si>
    <t>Millenium Tower, 23 Aranha Street, Tel Aviv  6107025, Israel</t>
  </si>
  <si>
    <t>Pontus Protein Ltd., an agricultural food and technology company, which grows and commercializes water lentil protein. It offers Pure Plant Protein Powder, a plant protein for aquaponics farming. The company was formerly known as Pontus Water Lentils Ltd. Pontus Protein Ltd. was incorporated in 2018 and is based in Surrey, Canada.</t>
  </si>
  <si>
    <t>17686 – 66A Avenue, Surrey, British Columbia, V3S 2A7, Canada</t>
  </si>
  <si>
    <t>K+S Aktiengesellschaft, together with its subsidiaries, operates as a supplier of mineral products for the agricultural, industrial, consumer, and community segments worldwide. It offers potassium chloride for crops, such as grain, corn, rice, and soybean; fertilizer specialties that are used for crops with magnesium and sulfur requirements, including rapeseed or potatoes, as well as for chloride-sensitive crops consisting of citrus, grapes, or vegetables; and water-soluble fertilizers for use in fertigation under the KALISOP, KORN-KALI, ROLL-KALI, PATENTKALI, ESTA KIESERIT, MAGNESIA-KAINIT, SOLUMOP, SOLUSOP, SOLUCMS, SOLUMAP, SOLUMKP, EPSO TOP, EPSO MICROTOP, EPSO COMBITOP, EPSO PROFITOP, and EPSO BORTOP brand names. The company also provides potash, magnesium, and salt products for various industrial applications under the APISAL, AXAL, KASA, k-DRILL, NUTRIKS, REGENIT, and SOLSEL brand names. K+S Aktiengesellschaft was founded in 1889 and is headquartered in Kassel, Germany.</t>
  </si>
  <si>
    <t>Bertha-von-Suttner Strasse 7, Kassel, Hessen, 34131, Germany</t>
  </si>
  <si>
    <t>Sociedad Química y Minera de Chile S.A. produces and distributes specialty plant nutrients, iodine derivatives, lithium derivatives, potassium chloride and sulfate, industrial chemicals, and other products and services. The company offers specialty plant nutrients, including potassium nitrate, sodium nitrate, sodium potassium nitrate, specialty blends, and other specialty fertilizers. It also provides iodine and its derivatives for use in medical, pharmaceutical, agricultural, and industrial applications comprising x-ray contrast media, polarizing films for LCD and LED, antiseptics, biocides and disinfectants, pharmaceutical synthesis, electronics, pigments, and dye components. In addition, the company offers lithium carbonates for various applications that include electrochemical materials for batteries, frits for the ceramic and enamel industries, heat-resistant glass, air conditioning chemicals, continuous casting powder for steel extrusion, primary aluminum smelting process, pharmaceuticals, and lithium derivatives, as well as ingredient in manufacturing of gunpowder. Further, it supplies lithium hydroxide for the lubricating greases industry, as well as cathodes for batteries. Additionally, it offers potassium chloride and potassium sulfate for various crops, including corn, rice, sugar, soybean, and wheat; industrial chemicals, including sodium nitrate, potassium nitrate, potassium chloride, and solar salts; and other fertilizers and blends. The company operates in Chile, Latin America and the Caribbean, Europe, North America, Asia, and internationally. The company was founded in 1960 and is headquartered in Santiago, Chile.</t>
  </si>
  <si>
    <t>El Trovador 4285, 6th Floor, Las Condes, Santiago de Chile, Region Metropolitana (Santiago)  Chile</t>
  </si>
  <si>
    <t>Nutrien Ltd. provides crop inputs and services. The company operates through Retail, Potash, Nitrogen, and Phosphate segments. The Retail segment distributes crop nutrients, crop protection products, seeds, and merchandise products. The Potash segment provides granular and standard potash products. The Nitrogen segment offers ammonia, urea, urea ammonium nitrate, industrial grade ammonium nitrate, and ammonium sulfate. The Phosphate segment provides solid fertilizer, liquid fertilizer, and industrial and feed products. In addition, it provides services directly to growers through a network of farm centers in North America, South America, and Australia. The company was incorporated in 2017 and is headquartered in Saskatoon, Canada.</t>
  </si>
  <si>
    <t>211 19th Street East, Suite 1700, Saskatoon, Saskatchewan, S7K 5R6, Canada</t>
  </si>
  <si>
    <t>Nutrien Ltd. (TSX:NTR) &gt;  Quick Comparable Analysis &gt; Implied Valuation</t>
  </si>
  <si>
    <t>Template:</t>
  </si>
  <si>
    <t>Currency:</t>
  </si>
  <si>
    <t>As-Of Date:</t>
  </si>
  <si>
    <t xml:space="preserve">LTM Basic EPS </t>
  </si>
  <si>
    <t xml:space="preserve"> </t>
  </si>
  <si>
    <t>Total Enterprise Value Multiples</t>
  </si>
  <si>
    <t>Pricing Multiples</t>
  </si>
  <si>
    <t xml:space="preserve">NTM TEV/Forward Total Revenue </t>
  </si>
  <si>
    <t xml:space="preserve">NTM TEV/Forward EBITDA </t>
  </si>
  <si>
    <t xml:space="preserve">NTM Forward P/E </t>
  </si>
  <si>
    <t>Implied Enterprise Value</t>
  </si>
  <si>
    <t>NA</t>
  </si>
  <si>
    <t>+ Total Cash &amp; ST Investments</t>
  </si>
  <si>
    <t>- Total Debt</t>
  </si>
  <si>
    <t>- Total Pref. Equity</t>
  </si>
  <si>
    <t>- Minority Interest</t>
  </si>
  <si>
    <t>= Implied Equity Value</t>
  </si>
  <si>
    <t>/ Shares Outstanding</t>
  </si>
  <si>
    <t>= Implied Price per Share</t>
  </si>
  <si>
    <t>Mean Equity Value Across Multiples</t>
  </si>
  <si>
    <t>Equity Value</t>
  </si>
  <si>
    <t>Price Per Share</t>
  </si>
  <si>
    <t>Nutrien Ltd. (TSX:NTR) &gt;  Quick Comparable Analysis &gt; Valuation Chart</t>
  </si>
  <si>
    <t>Template:</t>
  </si>
  <si>
    <t>Currency:</t>
  </si>
  <si>
    <t>As-Of Date:</t>
  </si>
  <si>
    <t>Nutrien Ltd. (TSX:NTR) &gt;  Quick Comparable Analysis &gt; Credit Health Panel</t>
  </si>
  <si>
    <t>Template:</t>
  </si>
  <si>
    <t>Currency:</t>
  </si>
  <si>
    <t>As-Of Date:</t>
  </si>
  <si>
    <t>Overall</t>
  </si>
  <si>
    <t>Operational</t>
  </si>
  <si>
    <t>Solvency</t>
  </si>
  <si>
    <t>Liquidity</t>
  </si>
  <si>
    <t>LTM Period Ending</t>
  </si>
  <si>
    <t>Financials Updated</t>
  </si>
  <si>
    <t>S&amp;P Issuer Credit Rating Foreign Currency LT Rating</t>
  </si>
  <si>
    <t>CreditModel Score</t>
  </si>
  <si>
    <t>Market Signal Probability of Default %</t>
  </si>
  <si>
    <t>Country/Region</t>
  </si>
  <si>
    <t>Primary Industry Classification</t>
  </si>
  <si>
    <t>BBB+</t>
  </si>
  <si>
    <t>a-</t>
  </si>
  <si>
    <t>0.5576%</t>
  </si>
  <si>
    <t>Chile</t>
  </si>
  <si>
    <t>Fertilizers and Agricultural Chemicals</t>
  </si>
  <si>
    <t>BBB</t>
  </si>
  <si>
    <t>0.6099%</t>
  </si>
  <si>
    <t>United States</t>
  </si>
  <si>
    <t>BB+</t>
  </si>
  <si>
    <t>0.9295%</t>
  </si>
  <si>
    <t>Germany</t>
  </si>
  <si>
    <t>BBB-</t>
  </si>
  <si>
    <t>bbb+</t>
  </si>
  <si>
    <t>1.1912%</t>
  </si>
  <si>
    <t>Netherlands</t>
  </si>
  <si>
    <t>0.3580%</t>
  </si>
  <si>
    <t>Norway</t>
  </si>
  <si>
    <t>a</t>
  </si>
  <si>
    <t>0.6629%</t>
  </si>
  <si>
    <t>A-</t>
  </si>
  <si>
    <t>0.1236%</t>
  </si>
  <si>
    <t>0.5395%</t>
  </si>
  <si>
    <t>Israel</t>
  </si>
  <si>
    <t>bbb</t>
  </si>
  <si>
    <t>0.1887%</t>
  </si>
  <si>
    <t>0.5400%</t>
  </si>
  <si>
    <t>Canada</t>
  </si>
  <si>
    <t>Displaying 10 Companies.</t>
  </si>
  <si>
    <t>Credit Health Panel metric values are calculated by converting all currencies to USD based on yesterday’s spot rate. Currencies displayed on the page are converted at today’s spot rate from yesterday’s USD value.</t>
  </si>
  <si>
    <t>S&amp;P Credit Ratings and Research provided by</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</si>
  <si>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S&amp;P Global Market Intelligence or its affiliates (collectively, S&amp;P Global). The Content shall not be used for any unlawful or unauthorized purposes. S&amp;P Global and any third-party providers, as well as their directors, officers, shareholders, employees or agents (collectively S&amp;P Global Parties) do not guarantee the accuracy, completeness, timeliness or availability of the Content. S&amp;P Global Parties are not responsible for any errors or omissions (negligent or otherwise), regardless of the cause, for the results obtained from the use of the Content, or for the security or maintenance of any data input by the user. The Content is provided on an "as is" basis. S&amp;P GLOBAL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Global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damages.Credit-related and other analyses, including ratings, and statements in the Content are statements of opinion as of the date they are expressed and not statements of fact. S&amp;P Global Market Intelligence’s opinions, analyses and rating acknowledgment decisions (described below) are not recommendations to purchase, hold, or sell any securities or to make any investment decisions, and do not address the suitability of any security. S&amp;P Global Market Intelligence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Global Market Intelligence does not act as a fiduciary or an investment advisor except where registered as such. While S&amp;P Global Market Intelligence has obtained information from sources it believes to be reliable, S&amp;P Global Market Intelligence does not perform an audit and undertakes no duty of due diligence or independent verification of any information it receives.S&amp;P Global keeps certain activities of its divisions separate from each other in order to preserve the independence and objectivity of their respective activities. As a result, certain divisions of S&amp;P Global may have information that is not available to other S&amp;P Global divisions. S&amp;P Global has established policies and procedures to maintain the confidentiality of certain non-public information received in connection with each analytical process.S&amp;P Global Ratings does not contribute to or participate in the creation of credit scores generated by S&amp;P Global Market Intelligence. Lowercase nomenclature is used to differentiate S&amp;P Global Market Intelligence PD credit model scores from the credit ratings issued by S&amp;P Global Ratings.S&amp;P Global may receive compensation for its ratings and certain analyses, normally from issuers or underwriters of securities or from obligors. S&amp;P Global reserves the right to disseminate its opinions and analyses. S&amp;P Global's public ratings and analyses are made available on its Web sites, http://www.standardandpoors.com (free of charge), and http://www.capitaliq.com (subscription), and may be distributed through other means, including via S&amp;P Global publications and third-party redistributors. Additional information about our ratings fees is available at http://www.standardandpoors.com/usratingsfees..</t>
  </si>
  <si>
    <t>Nutrien Ltd. (TSX:NTR) &gt; Credit Health Panel &gt; Disclaimer</t>
  </si>
  <si>
    <t>Copyright © 2023 by Standard &amp; Poor’s Financial Services LLC. All rights reserved.</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</si>
  <si>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Standard &amp; Poor’s Financial Services LLC or its affiliates (collectively, S&amp;P). The Content shall not be used for any unlawful or unauthorized purposes. S&amp;P and any third-party providers, as well as their directors, officers, shareholders, employees or agents (collectively S&amp;P Parties) do not guarantee the accuracy, completeness, timeliness or availability of the Content. S&amp;P Parties are not responsible for any errors or omissions (negligent or otherwise), regardless of the cause, for the results obtained from the use of the Content, or for the security or maintenance of any data input by the user. The Content is provided on an “as is” basis. S&amp;P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t>
  </si>
  <si>
    <t>Credit-related and other analyses, including ratings, and statements in the Content are statements of opinion as of the date they are expressed and not statements of fact. S&amp;P’s opinions, analyses and rating acknowledgment decisions (described below) are not recommendations to purchase, hold, or sell any securities or to make any investment decisions, and do not address the suitability of any security. S&amp;P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does not act as a fiduciary or an investment advisor except where registered as such.  While S&amp;P has obtained information from sources it believes to be reliable, S&amp;P does not perform an audit and undertakes no duty of due diligence or independent verification of any information it receives.</t>
  </si>
  <si>
    <t>To the extent that regulatory authorities allow a rating agency to acknowledge in one jurisdiction a rating issued in another jurisdiction for certain regulatory purposes, S&amp;P reserves the right to assign, withdraw or suspend such acknowledgement at any time and in its sole discretion. S&amp;P Parties disclaim any duty whatsoever arising out of the assignment, withdrawal or suspension of an acknowledgment as well as any liability for any damage alleged to have been suffered on account thereof.</t>
  </si>
  <si>
    <t>S&amp;P keeps certain activities of its business units separate from each other in order to preserve the independence and objectivity of their respective activities. As a result, certain business units of S&amp;P may have information that is not available to other S&amp;P business units. S&amp;P has established policies and procedures to maintain the confidentiality of certain non-public information received in connection with each analytical process.</t>
  </si>
  <si>
    <t>S&amp;P may receive compensation for its ratings and certain analyses, normally from issuers or underwriters of securities or from obligors. S&amp;P reserves the right to disseminate its opinions and analyses. S&amp;P’s public ratings and analyses are made available on its Web sites, www.standardandpoors.com (free of charge), and www.ratingsdirect.com and www.globalcreditportal.com (subscription), and may be distributed through other means, including via S&amp;P publications and third-party redistributors. Additional information about our ratings fees is available at www.standardandpoors.com/usratingsfees.</t>
  </si>
  <si>
    <t>You are using a functionality that permits you to export content from the S&amp;P Capital IQ Platform. You are permitted to provide limited excerpts of information from this export to others provided you: (1) do so solely in the ordinary course of your internal business; (2) do not provide S&amp;P Capital IQ information in any manner that may obviate the need for the individuals who receive such excerpts to obtain their own S&amp;P Capital IQ Platform password/license; and, (3) provide S&amp;P with appropriate attribution and a disclaimer on S&amp;P’s behalf.</t>
  </si>
  <si>
    <t>To reprint, translate, or use the data or information other than as provided herein, contact Client Services, 55 Water Street, New York, NY 10041; (1) 877-773-4732 or by e-mail to: research_request@standardandpoors.com.</t>
  </si>
  <si>
    <t>Any Passwords/user IDs issued by S&amp;P Capital IQ to users are single user dedicated and may ONLY be used by the individual to whom they have been assigned. No sharing of passwords/user IDs and no simultaneous access via the same password/user ID is permitted.</t>
  </si>
  <si>
    <t>Standard &amp; Poor’s, S&amp;P, and Credit Health Panel are registered trademarks of Standard &amp; Poor’s Financial Services LLC.  Capital IQ is a registered trademark of Capital IQ, Excel is a registered trademark of Microsoft.</t>
  </si>
  <si>
    <t>Evaluation Only. Created with Aspose.Cells for .NET.Copyright 2003 - 2023 Aspose Pty Ltd.</t>
  </si>
  <si>
    <t>Percentile Average</t>
  </si>
  <si>
    <t>Company vs Peers</t>
  </si>
  <si>
    <t>Percentiles</t>
  </si>
  <si>
    <t>Applied Percentile</t>
  </si>
  <si>
    <t>NTM EV/REV</t>
  </si>
  <si>
    <t>NTM EV/EBITDA</t>
  </si>
  <si>
    <t>NTM P/E</t>
  </si>
  <si>
    <t>Weighting %</t>
  </si>
  <si>
    <t>Applied Multiple</t>
  </si>
  <si>
    <t>Company Metric</t>
  </si>
  <si>
    <t>EV</t>
  </si>
  <si>
    <t>Net Debt</t>
  </si>
  <si>
    <t>Shares Outstanding</t>
  </si>
  <si>
    <t>Implied Price / Share</t>
  </si>
  <si>
    <t>Weighted Price</t>
  </si>
  <si>
    <t>Current Price</t>
  </si>
  <si>
    <t>Implied Market Upside(Downside)</t>
  </si>
  <si>
    <t>Based on Benchmarking Analysis the Target Company Vs its Comps is Under(Overvalued) by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</si>
</sst>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43" formatCode="_(* #,##0.00_);_(* \(#,##0.00\);_(* &quot;-&quot;??_);_(@_)"/>
    <numFmt numFmtId="164" formatCode="mmm\-dd\-yyyy"/>
    <numFmt numFmtId="165" formatCode="_(\ #,##0.0#_);_(\(\ #,##0.0#\)_);_(\ &quot; - &quot;_)"/>
    <numFmt numFmtId="166" formatCode="_(\ #,##0.0_);_(\ \(#,##0.0\)_);_(\ &quot; - &quot;_)"/>
    <numFmt numFmtId="167" formatCode="#,##0.0\x"/>
    <numFmt numFmtId="168" formatCode="#,##0.00\x"/>
    <numFmt numFmtId="169" formatCode="_(#,##0.0%_);_(\(#,##0.0%\)_);_(#,##0.0%_)"/>
    <numFmt numFmtId="170" formatCode="_(#,##0.00%_);_(\(#,##0.00%\)_);_(#,##0.00%_)"/>
    <numFmt numFmtId="171" formatCode="_(\ #,##0_);_(\ \(#,##0\)_);_(\ &quot; - &quot;_)"/>
  </numFmts>
  <fonts count="22" x14ac:knownFonts="1">
    <font>
      <sz val="10"/>
      <name val="Arial"/>
    </font>
    <font>
      <sz val="8"/>
      <name val="Arial"/>
    </font>
    <font>
      <b/>
      <sz val="13"/>
      <color indexed="8"/>
      <name val="Verdana"/>
    </font>
    <font>
      <b/>
      <sz val="12"/>
      <color indexed="8"/>
      <name val="Verdana"/>
    </font>
    <font>
      <b/>
      <sz val="10"/>
      <color indexed="9"/>
      <name val="Arial"/>
    </font>
    <font>
      <b/>
      <u val="singleAccounting"/>
      <sz val="8"/>
      <color indexed="8"/>
      <name val="Verdana"/>
    </font>
    <font>
      <b/>
      <sz val="8"/>
      <color indexed="9"/>
      <name val="Verdana"/>
    </font>
    <font>
      <b/>
      <u val="singleAccounting"/>
      <sz val="8"/>
      <color indexed="8"/>
      <name val="Arial"/>
    </font>
    <font>
      <sz val="8"/>
      <color indexed="8"/>
      <name val="Arial"/>
    </font>
    <font>
      <vertAlign val="superscript"/>
      <sz val="8"/>
      <color indexed="8"/>
      <name val="Arial"/>
    </font>
    <font>
      <vertAlign val="subscript"/>
      <sz val="8"/>
      <color indexed="8"/>
      <name val="Arial"/>
    </font>
    <font>
      <b/>
      <sz val="8"/>
      <color indexed="8"/>
      <name val="Arial"/>
    </font>
    <font>
      <i/>
      <sz val="8"/>
      <color indexed="8"/>
      <name val="Arial"/>
    </font>
    <font>
      <sz val="1"/>
      <color indexed="9"/>
      <name val="Symbol"/>
    </font>
    <font>
      <sz val="10"/>
      <color indexed="8"/>
      <name val="Arial"/>
    </font>
    <font>
      <b/>
      <sz val="8"/>
      <color indexed="8"/>
      <name val="Verdana"/>
    </font>
    <font>
      <b/>
      <sz val="8"/>
      <name val="Arial"/>
    </font>
    <font>
      <b/>
      <sz val="8"/>
      <color indexed="9"/>
      <name val="Arial"/>
    </font>
    <font>
      <b/>
      <i/>
      <sz val="18"/>
      <color rgb="FF0000FF"/>
      <name val="Arial"/>
    </font>
    <font>
      <sz val="10"/>
      <name val="Arial"/>
    </font>
    <font>
      <sz val="8"/>
      <color rgb="FFFF0000"/>
      <name val="Arial"/>
    </font>
    <font>
      <sz val="10"/>
      <color rgb="FFFF0000"/>
      <name val="Arial"/>
    </font>
  </fonts>
  <fills count="10">
    <fill>
      <patternFill patternType="none"/>
    </fill>
    <fill>
      <patternFill patternType="gray125"/>
    </fill>
    <fill>
      <patternFill patternType="solid">
        <fgColor indexed="63"/>
        <bgColor indexed="64"/>
      </patternFill>
    </fill>
    <fill>
      <patternFill patternType="solid">
        <fgColor indexed="62"/>
        <bgColor indexed="64"/>
      </patternFill>
    </fill>
    <fill>
      <patternFill patternType="solid">
        <fgColor indexed="56"/>
        <bgColor indexed="64"/>
      </patternFill>
    </fill>
    <fill>
      <patternFill patternType="solid">
        <fgColor indexed="60"/>
        <bgColor indexed="64"/>
      </patternFill>
    </fill>
    <fill>
      <patternFill patternType="solid">
        <fgColor indexed="55"/>
        <bgColor indexed="64"/>
      </patternFill>
    </fill>
    <fill>
      <patternFill patternType="solid">
        <fgColor indexed="54"/>
        <bgColor indexed="64"/>
      </patternFill>
    </fill>
    <fill>
      <patternFill patternType="solid">
        <fgColor indexed="53"/>
        <bgColor indexed="64"/>
      </patternFill>
    </fill>
    <fill>
      <patternFill patternType="solid">
        <fgColor indexed="52"/>
        <bgColor indexed="64"/>
      </patternFill>
    </fill>
  </fills>
  <borders count="23">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diagonal/>
    </border>
  </borders>
  <cellStyleXfs count="19">
    <xf numFmtId="0" fontId="0" fillId="0" borderId="0"/>
    <xf numFmtId="43" fontId="19" fillId="0" borderId="0" applyFont="0" applyFill="0" applyBorder="0" applyAlignment="0" applyProtection="0"/>
    <xf numFmtId="44" fontId="19" fillId="0" borderId="0" applyFont="0" applyFill="0" applyBorder="0" applyAlignment="0" applyProtection="0"/>
    <xf numFmtId="9" fontId="19" fillId="0" borderId="0" applyFont="0" applyFill="0" applyBorder="0" applyAlignment="0" applyProtection="0"/>
    <xf numFmtId="0" fontId="2" fillId="0" borderId="0" applyAlignment="0"/>
    <xf numFmtId="0" fontId="3" fillId="0" borderId="0" applyAlignment="0"/>
    <xf numFmtId="0" fontId="4" fillId="2" borderId="0" applyAlignment="0"/>
    <xf numFmtId="0" fontId="5" fillId="3" borderId="0" applyAlignment="0"/>
    <xf numFmtId="0" fontId="6" fillId="4" borderId="0" applyAlignment="0"/>
    <xf numFmtId="0" fontId="7" fillId="5" borderId="0" applyAlignment="0"/>
    <xf numFmtId="0" fontId="8" fillId="0" borderId="0" applyAlignment="0"/>
    <xf numFmtId="0" fontId="9" fillId="0" borderId="0" applyAlignment="0"/>
    <xf numFmtId="0" fontId="10" fillId="0" borderId="0" applyAlignment="0"/>
    <xf numFmtId="0" fontId="11" fillId="0" borderId="0" applyAlignment="0"/>
    <xf numFmtId="0" fontId="12" fillId="0" borderId="0" applyAlignment="0"/>
    <xf numFmtId="0" fontId="11" fillId="0" borderId="0" applyAlignment="0"/>
    <xf numFmtId="0" fontId="13" fillId="0" borderId="0" applyAlignment="0"/>
    <xf numFmtId="0" fontId="14" fillId="0" borderId="0" applyAlignment="0"/>
    <xf numFmtId="0" fontId="15" fillId="0" borderId="0" applyAlignment="0"/>
  </cellStyleXfs>
  <cellXfs count="133">
    <xf numFmtId="0" fontId="1" fillId="0" borderId="0" xfId="0" applyFont="1" applyAlignment="1"/>
    <xf numFmtId="0" fontId="2" fillId="0" borderId="0" xfId="0" applyNumberFormat="1" applyFont="1" applyAlignment="1"/>
    <xf numFmtId="0" fontId="6" fillId="4" borderId="0" xfId="0" applyFont="1" applyFill="1" applyAlignment="1"/>
    <xf numFmtId="0" fontId="16" fillId="0" borderId="0" xfId="0" applyFont="1" applyAlignment="1"/>
    <xf numFmtId="0" fontId="1" fillId="0" borderId="0" xfId="0" applyFont="1" applyAlignment="1">
      <alignment horizontal="left"/>
    </xf>
    <xf numFmtId="164" fontId="1" fillId="0" borderId="0" xfId="0" applyNumberFormat="1" applyFont="1" applyAlignment="1">
      <alignment horizontal="left"/>
    </xf>
    <xf numFmtId="0" fontId="8" fillId="0" borderId="0" xfId="0" applyNumberFormat="1" applyFont="1" applyAlignment="1">
      <alignment horizontal="left" vertical="top"/>
    </xf>
    <xf numFmtId="0" fontId="11" fillId="5" borderId="0" xfId="0" applyFont="1" applyFill="1" applyAlignment="1">
      <alignment horizontal="left" vertical="top" wrapText="1"/>
    </xf>
    <xf numFmtId="0" fontId="11" fillId="0" borderId="0" xfId="0" applyFont="1" applyAlignment="1">
      <alignment vertical="top" wrapText="1"/>
    </xf>
    <xf numFmtId="0" fontId="11" fillId="5" borderId="0" xfId="0" applyFont="1" applyFill="1" applyAlignment="1">
      <alignment vertical="top" wrapText="1"/>
    </xf>
    <xf numFmtId="0" fontId="1" fillId="0" borderId="0" xfId="0" applyFont="1" applyAlignment="1">
      <alignment vertical="top" wrapText="1"/>
    </xf>
    <xf numFmtId="0" fontId="11" fillId="5" borderId="0" xfId="0" applyFont="1" applyFill="1" applyAlignment="1">
      <alignment horizontal="right" vertical="top" wrapText="1"/>
    </xf>
    <xf numFmtId="165" fontId="8" fillId="0" borderId="0" xfId="0" applyNumberFormat="1" applyFont="1" applyAlignment="1">
      <alignment horizontal="right" vertical="top" wrapText="1"/>
    </xf>
    <xf numFmtId="166" fontId="8" fillId="0" borderId="0" xfId="0" applyNumberFormat="1" applyFont="1" applyAlignment="1">
      <alignment horizontal="right" vertical="top" wrapText="1"/>
    </xf>
    <xf numFmtId="0" fontId="8" fillId="0" borderId="0" xfId="0" applyNumberFormat="1" applyFont="1" applyAlignment="1">
      <alignment horizontal="right" vertical="top" wrapText="1"/>
    </xf>
    <xf numFmtId="0" fontId="11" fillId="5" borderId="0" xfId="0" applyFont="1" applyFill="1" applyAlignment="1">
      <alignment horizontal="center" vertical="top" wrapText="1"/>
    </xf>
    <xf numFmtId="164" fontId="8" fillId="0" borderId="0" xfId="0" applyNumberFormat="1" applyFont="1" applyAlignment="1">
      <alignment horizontal="center" vertical="top" wrapText="1"/>
    </xf>
    <xf numFmtId="0" fontId="8" fillId="0" borderId="0" xfId="0" applyNumberFormat="1" applyFont="1" applyAlignment="1">
      <alignment horizontal="center" vertical="top" wrapText="1"/>
    </xf>
    <xf numFmtId="0" fontId="1" fillId="0" borderId="0" xfId="0" applyFont="1" applyAlignment="1">
      <alignment horizontal="right" wrapText="1"/>
    </xf>
    <xf numFmtId="168" fontId="8" fillId="0" borderId="0" xfId="0" applyNumberFormat="1" applyFont="1" applyAlignment="1">
      <alignment horizontal="right" vertical="top" wrapText="1"/>
    </xf>
    <xf numFmtId="169" fontId="8" fillId="0" borderId="0" xfId="0" applyNumberFormat="1" applyFont="1" applyAlignment="1">
      <alignment horizontal="right" vertical="top" wrapText="1"/>
    </xf>
    <xf numFmtId="170" fontId="8" fillId="0" borderId="0" xfId="0" applyNumberFormat="1" applyFont="1" applyAlignment="1">
      <alignment horizontal="right" vertical="top" wrapText="1"/>
    </xf>
    <xf numFmtId="167" fontId="8" fillId="0" borderId="0" xfId="0" applyNumberFormat="1" applyFont="1" applyAlignment="1">
      <alignment horizontal="right" vertical="top" wrapText="1"/>
    </xf>
    <xf numFmtId="0" fontId="8" fillId="0" borderId="0" xfId="0" applyNumberFormat="1" applyFont="1" applyAlignment="1">
      <alignment horizontal="left" vertical="top" wrapText="1"/>
    </xf>
    <xf numFmtId="165" fontId="8" fillId="0" borderId="0" xfId="0" applyNumberFormat="1" applyFont="1" applyAlignment="1">
      <alignment vertical="top" wrapText="1"/>
    </xf>
    <xf numFmtId="0" fontId="11" fillId="0" borderId="0" xfId="0" applyNumberFormat="1" applyFont="1" applyAlignment="1">
      <alignment vertical="top" wrapText="1"/>
    </xf>
    <xf numFmtId="0" fontId="1" fillId="0" borderId="0" xfId="0" applyFont="1" applyAlignment="1">
      <alignment horizontal="center" vertical="top" wrapText="1"/>
    </xf>
    <xf numFmtId="0" fontId="8" fillId="0" borderId="0" xfId="0" applyNumberFormat="1" applyFont="1" applyAlignment="1">
      <alignment vertical="top" wrapText="1"/>
    </xf>
    <xf numFmtId="0" fontId="11" fillId="5" borderId="1" xfId="0" applyFont="1" applyFill="1" applyBorder="1" applyAlignment="1">
      <alignment horizontal="left" vertical="top" wrapText="1"/>
    </xf>
    <xf numFmtId="0" fontId="11" fillId="5" borderId="1" xfId="0" applyFont="1" applyFill="1" applyBorder="1" applyAlignment="1">
      <alignment horizontal="center" vertical="center" wrapText="1"/>
    </xf>
    <xf numFmtId="171" fontId="17" fillId="6" borderId="1" xfId="0" applyNumberFormat="1" applyFont="1" applyFill="1" applyBorder="1" applyAlignment="1">
      <alignment horizontal="center" vertical="top" wrapText="1"/>
    </xf>
    <xf numFmtId="171" fontId="17" fillId="7" borderId="1" xfId="0" applyNumberFormat="1" applyFont="1" applyFill="1" applyBorder="1" applyAlignment="1">
      <alignment horizontal="center" vertical="top" wrapText="1"/>
    </xf>
    <xf numFmtId="171" fontId="17" fillId="8" borderId="1" xfId="0" applyNumberFormat="1" applyFont="1" applyFill="1" applyBorder="1" applyAlignment="1">
      <alignment horizontal="center" vertical="top" wrapText="1"/>
    </xf>
    <xf numFmtId="171" fontId="17" fillId="9" borderId="1" xfId="0" applyNumberFormat="1" applyFont="1" applyFill="1" applyBorder="1" applyAlignment="1">
      <alignment horizontal="center" vertical="top" wrapText="1"/>
    </xf>
    <xf numFmtId="0" fontId="11" fillId="5" borderId="1" xfId="0" applyFont="1" applyFill="1" applyBorder="1" applyAlignment="1">
      <alignment horizontal="center" vertical="top" wrapText="1"/>
    </xf>
    <xf numFmtId="164" fontId="8" fillId="0" borderId="1" xfId="0" applyNumberFormat="1" applyFont="1" applyBorder="1" applyAlignment="1">
      <alignment horizontal="center" vertical="top" wrapText="1"/>
    </xf>
    <xf numFmtId="0" fontId="8" fillId="0" borderId="1" xfId="0" applyNumberFormat="1" applyFont="1" applyBorder="1" applyAlignment="1">
      <alignment horizontal="center" vertical="top" wrapText="1"/>
    </xf>
    <xf numFmtId="0" fontId="8" fillId="0" borderId="1" xfId="0" applyNumberFormat="1" applyFont="1" applyBorder="1" applyAlignment="1">
      <alignment horizontal="left" vertical="top" wrapText="1"/>
    </xf>
    <xf numFmtId="0" fontId="1" fillId="0" borderId="0" xfId="0" applyFont="1" applyAlignment="1">
      <alignment horizontal="left" wrapText="1"/>
    </xf>
    <xf numFmtId="0" fontId="1" fillId="0" borderId="0" xfId="0" applyFont="1" applyAlignment="1">
      <alignment vertical="center" wrapText="1"/>
    </xf>
    <xf numFmtId="0" fontId="1" fillId="0" borderId="0" xfId="0" applyFont="1" applyAlignment="1">
      <alignment wrapText="1"/>
    </xf>
    <xf numFmtId="0" fontId="13" fillId="0" borderId="0" xfId="16" applyFont="1" applyAlignment="1"/>
    <xf numFmtId="0" fontId="18" fillId="0" borderId="0" xfId="0" applyNumberFormat="1" applyFont="1" applyFill="1" applyBorder="1" applyAlignment="1" applyProtection="1"/>
    <xf numFmtId="0" fontId="1" fillId="0" borderId="0" xfId="0" applyFont="1" applyFill="1" applyBorder="1" applyAlignment="1"/>
    <xf numFmtId="9" fontId="1" fillId="0" borderId="4" xfId="0" applyNumberFormat="1" applyFont="1" applyFill="1" applyBorder="1" applyAlignment="1"/>
    <xf numFmtId="9" fontId="1" fillId="0" borderId="5" xfId="0" applyNumberFormat="1" applyFont="1" applyFill="1" applyBorder="1" applyAlignment="1"/>
    <xf numFmtId="9" fontId="1" fillId="0" borderId="8" xfId="0" applyNumberFormat="1" applyFont="1" applyFill="1" applyBorder="1" applyAlignment="1"/>
    <xf numFmtId="9" fontId="1" fillId="0" borderId="14" xfId="0" applyNumberFormat="1" applyFont="1" applyFill="1" applyBorder="1" applyAlignment="1"/>
    <xf numFmtId="9" fontId="1" fillId="0" borderId="15" xfId="0" applyNumberFormat="1" applyFont="1" applyFill="1" applyBorder="1" applyAlignment="1"/>
    <xf numFmtId="9" fontId="20" fillId="0" borderId="15" xfId="0" applyNumberFormat="1" applyFont="1" applyFill="1" applyBorder="1" applyAlignment="1"/>
    <xf numFmtId="9" fontId="1" fillId="0" borderId="17" xfId="0" applyNumberFormat="1" applyFont="1" applyFill="1" applyBorder="1" applyAlignment="1"/>
    <xf numFmtId="0" fontId="1" fillId="0" borderId="18" xfId="0" applyFont="1" applyFill="1" applyBorder="1" applyAlignment="1"/>
    <xf numFmtId="0" fontId="1" fillId="0" borderId="10" xfId="0" applyFont="1" applyFill="1" applyBorder="1" applyAlignment="1"/>
    <xf numFmtId="169" fontId="1" fillId="0" borderId="2" xfId="0" applyNumberFormat="1" applyFont="1" applyFill="1" applyBorder="1" applyAlignment="1">
      <alignment horizontal="right" vertical="top" wrapText="1"/>
    </xf>
    <xf numFmtId="170" fontId="1" fillId="0" borderId="2" xfId="0" applyNumberFormat="1" applyFont="1" applyFill="1" applyBorder="1" applyAlignment="1">
      <alignment horizontal="right" vertical="top" wrapText="1"/>
    </xf>
    <xf numFmtId="167" fontId="1" fillId="0" borderId="2" xfId="0" applyNumberFormat="1" applyFont="1" applyFill="1" applyBorder="1" applyAlignment="1">
      <alignment horizontal="right" vertical="top" wrapText="1"/>
    </xf>
    <xf numFmtId="0" fontId="1" fillId="0" borderId="2" xfId="0" applyNumberFormat="1" applyFont="1" applyFill="1" applyBorder="1" applyAlignment="1">
      <alignment horizontal="right" vertical="top" wrapText="1"/>
    </xf>
    <xf numFmtId="0" fontId="16" fillId="0" borderId="5" xfId="0" applyFont="1" applyFill="1" applyBorder="1" applyAlignment="1">
      <alignment horizontal="left" vertical="top" wrapText="1"/>
    </xf>
    <xf numFmtId="169" fontId="1" fillId="0" borderId="9" xfId="0" applyNumberFormat="1" applyFont="1" applyFill="1" applyBorder="1" applyAlignment="1">
      <alignment horizontal="right" vertical="top" wrapText="1"/>
    </xf>
    <xf numFmtId="170" fontId="1" fillId="0" borderId="9" xfId="0" applyNumberFormat="1" applyFont="1" applyFill="1" applyBorder="1" applyAlignment="1">
      <alignment horizontal="right" vertical="top" wrapText="1"/>
    </xf>
    <xf numFmtId="167" fontId="1" fillId="0" borderId="9" xfId="0" applyNumberFormat="1" applyFont="1" applyFill="1" applyBorder="1" applyAlignment="1">
      <alignment horizontal="right" vertical="top" wrapText="1"/>
    </xf>
    <xf numFmtId="0" fontId="1" fillId="0" borderId="9" xfId="0" applyNumberFormat="1" applyFont="1" applyFill="1" applyBorder="1" applyAlignment="1">
      <alignment horizontal="right" vertical="top" wrapText="1"/>
    </xf>
    <xf numFmtId="165" fontId="1" fillId="0" borderId="12" xfId="0" applyNumberFormat="1" applyFont="1" applyFill="1" applyBorder="1" applyAlignment="1">
      <alignment horizontal="right" vertical="top" wrapText="1"/>
    </xf>
    <xf numFmtId="165" fontId="1" fillId="0" borderId="13" xfId="0" applyNumberFormat="1" applyFont="1" applyFill="1" applyBorder="1" applyAlignment="1">
      <alignment horizontal="right" vertical="top" wrapText="1"/>
    </xf>
    <xf numFmtId="0" fontId="16" fillId="0" borderId="19" xfId="0" applyFont="1" applyFill="1" applyBorder="1" applyAlignment="1">
      <alignment horizontal="left" vertical="top" wrapText="1"/>
    </xf>
    <xf numFmtId="0" fontId="16" fillId="0" borderId="20" xfId="0" applyFont="1" applyFill="1" applyBorder="1" applyAlignment="1">
      <alignment horizontal="left" vertical="top" wrapText="1"/>
    </xf>
    <xf numFmtId="0" fontId="16" fillId="0" borderId="21" xfId="0" applyFont="1" applyFill="1" applyBorder="1" applyAlignment="1">
      <alignment horizontal="right" vertical="top" wrapText="1"/>
    </xf>
    <xf numFmtId="0" fontId="16" fillId="0" borderId="16" xfId="0" applyFont="1" applyFill="1" applyBorder="1" applyAlignment="1">
      <alignment horizontal="right" vertical="top" wrapText="1"/>
    </xf>
    <xf numFmtId="169" fontId="1" fillId="0" borderId="4" xfId="0" applyNumberFormat="1" applyFont="1" applyFill="1" applyBorder="1" applyAlignment="1">
      <alignment horizontal="right" vertical="top" wrapText="1"/>
    </xf>
    <xf numFmtId="0" fontId="1" fillId="0" borderId="4" xfId="0" applyNumberFormat="1" applyFont="1" applyFill="1" applyBorder="1" applyAlignment="1">
      <alignment horizontal="right" vertical="top" wrapText="1"/>
    </xf>
    <xf numFmtId="169" fontId="1" fillId="0" borderId="8" xfId="0" applyNumberFormat="1" applyFont="1" applyFill="1" applyBorder="1" applyAlignment="1">
      <alignment horizontal="right" vertical="top" wrapText="1"/>
    </xf>
    <xf numFmtId="169" fontId="1" fillId="0" borderId="5" xfId="0" applyNumberFormat="1" applyFont="1" applyFill="1" applyBorder="1" applyAlignment="1">
      <alignment horizontal="right" vertical="top" wrapText="1"/>
    </xf>
    <xf numFmtId="169" fontId="1" fillId="0" borderId="6" xfId="0" applyNumberFormat="1" applyFont="1" applyFill="1" applyBorder="1" applyAlignment="1">
      <alignment horizontal="right" vertical="top" wrapText="1"/>
    </xf>
    <xf numFmtId="170" fontId="1" fillId="0" borderId="6" xfId="0" applyNumberFormat="1" applyFont="1" applyFill="1" applyBorder="1" applyAlignment="1">
      <alignment horizontal="right" vertical="top" wrapText="1"/>
    </xf>
    <xf numFmtId="167" fontId="1" fillId="0" borderId="6" xfId="0" applyNumberFormat="1" applyFont="1" applyFill="1" applyBorder="1" applyAlignment="1">
      <alignment horizontal="right" vertical="top" wrapText="1"/>
    </xf>
    <xf numFmtId="0" fontId="1" fillId="0" borderId="6" xfId="0" applyNumberFormat="1" applyFont="1" applyFill="1" applyBorder="1" applyAlignment="1">
      <alignment horizontal="right" vertical="top" wrapText="1"/>
    </xf>
    <xf numFmtId="165" fontId="1" fillId="0" borderId="11" xfId="0" applyNumberFormat="1" applyFont="1" applyFill="1" applyBorder="1" applyAlignment="1">
      <alignment horizontal="right" vertical="top" wrapText="1"/>
    </xf>
    <xf numFmtId="9" fontId="1" fillId="0" borderId="6" xfId="3" applyFont="1" applyFill="1" applyBorder="1" applyAlignment="1"/>
    <xf numFmtId="9" fontId="1" fillId="0" borderId="2" xfId="3" applyFont="1" applyFill="1" applyBorder="1" applyAlignment="1"/>
    <xf numFmtId="9" fontId="1" fillId="0" borderId="9" xfId="3" applyFont="1" applyFill="1" applyBorder="1" applyAlignment="1"/>
    <xf numFmtId="168" fontId="1" fillId="0" borderId="6" xfId="3" applyNumberFormat="1" applyFont="1" applyFill="1" applyBorder="1" applyAlignment="1"/>
    <xf numFmtId="168" fontId="1" fillId="0" borderId="2" xfId="3" applyNumberFormat="1" applyFont="1" applyFill="1" applyBorder="1" applyAlignment="1"/>
    <xf numFmtId="168" fontId="1" fillId="0" borderId="9" xfId="3" applyNumberFormat="1" applyFont="1" applyFill="1" applyBorder="1" applyAlignment="1"/>
    <xf numFmtId="43" fontId="1" fillId="0" borderId="11" xfId="1" applyFont="1" applyFill="1" applyBorder="1" applyAlignment="1"/>
    <xf numFmtId="43" fontId="1" fillId="0" borderId="12" xfId="1" applyFont="1" applyFill="1" applyBorder="1" applyAlignment="1"/>
    <xf numFmtId="43" fontId="1" fillId="0" borderId="13" xfId="1" applyFont="1" applyFill="1" applyBorder="1" applyAlignment="1"/>
    <xf numFmtId="0" fontId="0" fillId="0" borderId="0" xfId="0"/>
    <xf numFmtId="0" fontId="0" fillId="0" borderId="4" xfId="0" applyBorder="1"/>
    <xf numFmtId="0" fontId="0" fillId="0" borderId="5" xfId="0" applyBorder="1"/>
    <xf numFmtId="0" fontId="0" fillId="0" borderId="6" xfId="0" applyBorder="1"/>
    <xf numFmtId="0" fontId="0" fillId="0" borderId="8" xfId="0" applyBorder="1"/>
    <xf numFmtId="0" fontId="0" fillId="0" borderId="11" xfId="0" applyBorder="1"/>
    <xf numFmtId="0" fontId="0" fillId="0" borderId="5" xfId="0" applyBorder="1" applyAlignment="1">
      <alignment wrapText="1"/>
    </xf>
    <xf numFmtId="0" fontId="0" fillId="0" borderId="6" xfId="0" applyBorder="1" applyAlignment="1">
      <alignment wrapText="1"/>
    </xf>
    <xf numFmtId="0" fontId="0" fillId="0" borderId="11" xfId="0" applyBorder="1" applyAlignment="1">
      <alignment wrapText="1"/>
    </xf>
    <xf numFmtId="0" fontId="0" fillId="0" borderId="4" xfId="0" applyBorder="1" applyAlignment="1">
      <alignment wrapText="1"/>
    </xf>
    <xf numFmtId="0" fontId="0" fillId="0" borderId="8" xfId="0" applyBorder="1" applyAlignment="1">
      <alignment wrapText="1"/>
    </xf>
    <xf numFmtId="168" fontId="0" fillId="0" borderId="6" xfId="0" applyNumberFormat="1" applyBorder="1"/>
    <xf numFmtId="168" fontId="0" fillId="0" borderId="11" xfId="0" applyNumberFormat="1" applyBorder="1"/>
    <xf numFmtId="168" fontId="0" fillId="0" borderId="2" xfId="0" applyNumberFormat="1" applyBorder="1"/>
    <xf numFmtId="168" fontId="0" fillId="0" borderId="12" xfId="0" applyNumberFormat="1" applyBorder="1"/>
    <xf numFmtId="168" fontId="0" fillId="0" borderId="9" xfId="0" applyNumberFormat="1" applyBorder="1"/>
    <xf numFmtId="168" fontId="0" fillId="0" borderId="13" xfId="0" applyNumberFormat="1" applyBorder="1"/>
    <xf numFmtId="0" fontId="0" fillId="0" borderId="7" xfId="0" applyBorder="1"/>
    <xf numFmtId="0" fontId="0" fillId="0" borderId="22" xfId="0" applyBorder="1"/>
    <xf numFmtId="0" fontId="0" fillId="0" borderId="0" xfId="0" applyBorder="1" applyAlignment="1">
      <alignment wrapText="1"/>
    </xf>
    <xf numFmtId="9" fontId="21" fillId="0" borderId="0" xfId="3" applyFont="1"/>
    <xf numFmtId="44" fontId="0" fillId="0" borderId="2" xfId="2" applyFont="1" applyBorder="1" applyAlignment="1">
      <alignment wrapText="1"/>
    </xf>
    <xf numFmtId="44" fontId="0" fillId="0" borderId="9" xfId="2" applyFont="1" applyBorder="1" applyAlignment="1">
      <alignment wrapText="1"/>
    </xf>
    <xf numFmtId="43" fontId="0" fillId="0" borderId="2" xfId="1" applyFont="1" applyBorder="1" applyAlignment="1">
      <alignment wrapText="1"/>
    </xf>
    <xf numFmtId="43" fontId="0" fillId="0" borderId="9" xfId="1" applyFont="1" applyBorder="1" applyAlignment="1">
      <alignment wrapText="1"/>
    </xf>
    <xf numFmtId="168" fontId="0" fillId="0" borderId="2" xfId="2" applyNumberFormat="1" applyFont="1" applyBorder="1" applyAlignment="1">
      <alignment wrapText="1"/>
    </xf>
    <xf numFmtId="168" fontId="0" fillId="0" borderId="12" xfId="2" applyNumberFormat="1" applyFont="1" applyBorder="1" applyAlignment="1">
      <alignment wrapText="1"/>
    </xf>
    <xf numFmtId="168" fontId="0" fillId="0" borderId="9" xfId="2" applyNumberFormat="1" applyFont="1" applyBorder="1" applyAlignment="1">
      <alignment wrapText="1"/>
    </xf>
    <xf numFmtId="168" fontId="0" fillId="0" borderId="13" xfId="2" applyNumberFormat="1" applyFont="1" applyBorder="1" applyAlignment="1">
      <alignment wrapText="1"/>
    </xf>
    <xf numFmtId="9" fontId="0" fillId="0" borderId="5" xfId="3" applyFont="1" applyBorder="1"/>
    <xf numFmtId="9" fontId="0" fillId="0" borderId="4" xfId="3" applyFont="1" applyBorder="1"/>
    <xf numFmtId="9" fontId="0" fillId="0" borderId="8" xfId="3" applyFont="1" applyBorder="1"/>
    <xf numFmtId="44" fontId="0" fillId="0" borderId="2" xfId="2" applyFont="1" applyBorder="1"/>
    <xf numFmtId="44" fontId="0" fillId="0" borderId="12" xfId="2" applyFont="1" applyBorder="1"/>
    <xf numFmtId="44" fontId="0" fillId="0" borderId="3" xfId="2" applyFont="1" applyBorder="1"/>
    <xf numFmtId="44" fontId="0" fillId="0" borderId="9" xfId="2" applyFont="1" applyBorder="1"/>
    <xf numFmtId="44" fontId="0" fillId="0" borderId="13" xfId="2" applyFont="1" applyBorder="1"/>
    <xf numFmtId="44" fontId="0" fillId="0" borderId="11" xfId="2" applyFont="1" applyBorder="1"/>
    <xf numFmtId="44" fontId="0" fillId="0" borderId="0" xfId="2" applyFont="1"/>
    <xf numFmtId="9" fontId="0" fillId="0" borderId="2" xfId="3" applyFont="1" applyBorder="1"/>
    <xf numFmtId="9" fontId="0" fillId="0" borderId="12" xfId="3" applyFont="1" applyBorder="1"/>
    <xf numFmtId="168" fontId="0" fillId="0" borderId="2" xfId="2" applyNumberFormat="1" applyFont="1" applyBorder="1"/>
    <xf numFmtId="168" fontId="0" fillId="0" borderId="12" xfId="2" applyNumberFormat="1" applyFont="1" applyBorder="1"/>
    <xf numFmtId="43" fontId="0" fillId="0" borderId="2" xfId="1" applyFont="1" applyBorder="1"/>
    <xf numFmtId="43" fontId="0" fillId="0" borderId="12" xfId="1" applyFont="1" applyBorder="1"/>
    <xf numFmtId="9" fontId="0" fillId="0" borderId="13" xfId="3" applyFont="1" applyBorder="1"/>
    <xf numFmtId="9" fontId="21" fillId="0" borderId="15" xfId="3" applyFont="1" applyBorder="1"/>
  </cellXfs>
  <cellStyles count="19">
    <cellStyle name="ChartingText" xfId="17" xr:uid="{00000000-0005-0000-0000-000013000000}"/>
    <cellStyle name="CHPTop" xfId="18" xr:uid="{00000000-0005-0000-0000-000014000000}"/>
    <cellStyle name="ColumnHeaderNormal" xfId="9" xr:uid="{00000000-0005-0000-0000-00000B000000}"/>
    <cellStyle name="Comma" xfId="1" builtinId="3"/>
    <cellStyle name="Currency" xfId="2" builtinId="4"/>
    <cellStyle name="Invisible" xfId="16" xr:uid="{00000000-0005-0000-0000-000012000000}"/>
    <cellStyle name="NewColumnHeaderNormal" xfId="7" xr:uid="{00000000-0005-0000-0000-000009000000}"/>
    <cellStyle name="NewSectionHeaderNormal" xfId="6" xr:uid="{00000000-0005-0000-0000-000008000000}"/>
    <cellStyle name="NewTitleNormal" xfId="5" xr:uid="{00000000-0005-0000-0000-000007000000}"/>
    <cellStyle name="Normal" xfId="0" builtinId="0"/>
    <cellStyle name="Percent" xfId="3" builtinId="5"/>
    <cellStyle name="SectionHeaderNormal" xfId="8" xr:uid="{00000000-0005-0000-0000-00000A000000}"/>
    <cellStyle name="SubScript" xfId="12" xr:uid="{00000000-0005-0000-0000-00000E000000}"/>
    <cellStyle name="SuperScript" xfId="11" xr:uid="{00000000-0005-0000-0000-00000D000000}"/>
    <cellStyle name="TextBold" xfId="13" xr:uid="{00000000-0005-0000-0000-00000F000000}"/>
    <cellStyle name="TextItalic" xfId="14" xr:uid="{00000000-0005-0000-0000-000010000000}"/>
    <cellStyle name="TextNormal" xfId="10" xr:uid="{00000000-0005-0000-0000-00000C000000}"/>
    <cellStyle name="TitleNormal" xfId="4" xr:uid="{00000000-0005-0000-0000-000006000000}"/>
    <cellStyle name="Total" xfId="15" xr:uid="{00000000-0005-0000-0000-000011000000}"/>
  </cellStyles>
  <dxfs count="4">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C1302E"/>
      <rgbColor rgb="00F1C671"/>
      <rgbColor rgb="008AC37F"/>
      <rgbColor rgb="00009933"/>
      <rgbColor rgb="00002060"/>
      <rgbColor rgb="00FA4040"/>
      <rgbColor rgb="00FFFFEB"/>
      <rgbColor rgb="00EEEEEE"/>
      <rgbColor rgb="00F0F0DC"/>
      <rgbColor rgb="00993366"/>
      <rgbColor rgb="00F5F5E1"/>
      <rgbColor rgb="0000408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C5CF9E14-4C37-4F05-BB6D-F0F158CCACEB}"/>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47</xdr:row>
      <xdr:rowOff>0</xdr:rowOff>
    </xdr:from>
    <xdr:to>
      <xdr:col>3</xdr:col>
      <xdr:colOff>764586</xdr:colOff>
      <xdr:row>49</xdr:row>
      <xdr:rowOff>122709</xdr:rowOff>
    </xdr:to>
    <xdr:pic>
      <xdr:nvPicPr>
        <xdr:cNvPr id="3" name="Picture 3">
          <a:extLst>
            <a:ext uri="{FF2B5EF4-FFF2-40B4-BE49-F238E27FC236}">
              <a16:creationId xmlns:a16="http://schemas.microsoft.com/office/drawing/2014/main" id="{9FF096E7-588E-4E63-BF62-969EB6666715}"/>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940A5541-35A7-4200-BD6C-C75F701E8F57}"/>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D658D633-DAEB-4D86-9BC7-8ECBE8FAA2A3}"/>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4EED2442-940B-4CA4-AC4F-66252F9A8576}"/>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E33EDB22-C0E2-412F-94D8-1D271C301532}"/>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D30146E9-6FB3-475D-80EC-127703A0B383}"/>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43</xdr:row>
      <xdr:rowOff>0</xdr:rowOff>
    </xdr:from>
    <xdr:to>
      <xdr:col>4</xdr:col>
      <xdr:colOff>146921</xdr:colOff>
      <xdr:row>45</xdr:row>
      <xdr:rowOff>122709</xdr:rowOff>
    </xdr:to>
    <xdr:pic>
      <xdr:nvPicPr>
        <xdr:cNvPr id="3" name="Picture 3">
          <a:extLst>
            <a:ext uri="{FF2B5EF4-FFF2-40B4-BE49-F238E27FC236}">
              <a16:creationId xmlns:a16="http://schemas.microsoft.com/office/drawing/2014/main" id="{1B02B472-1254-4BE4-838E-DE63EB0CCE94}"/>
            </a:ext>
          </a:extLst>
        </xdr:cNvPr>
        <xdr:cNvPicPr>
          <a:picLocks noChangeAspect="1"/>
        </xdr:cNvPicPr>
      </xdr:nvPicPr>
      <xdr:blipFill>
        <a:blip xmlns:r="http://schemas.openxmlformats.org/officeDocument/2006/relationships" r:embed="rId2"/>
        <a:stretch>
          <a:fillRect/>
        </a:stretch>
      </xdr:blipFill>
      <xdr:spPr>
        <a:xfrm>
          <a:off x="6638925" y="6858000"/>
          <a:ext cx="762000" cy="6000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D6D74A00-D457-4D59-8651-AD640578E2FF}"/>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68</xdr:row>
      <xdr:rowOff>0</xdr:rowOff>
    </xdr:from>
    <xdr:to>
      <xdr:col>3</xdr:col>
      <xdr:colOff>764363</xdr:colOff>
      <xdr:row>70</xdr:row>
      <xdr:rowOff>122709</xdr:rowOff>
    </xdr:to>
    <xdr:pic>
      <xdr:nvPicPr>
        <xdr:cNvPr id="3" name="Picture 3">
          <a:extLst>
            <a:ext uri="{FF2B5EF4-FFF2-40B4-BE49-F238E27FC236}">
              <a16:creationId xmlns:a16="http://schemas.microsoft.com/office/drawing/2014/main" id="{5FDA9551-8705-4F46-8DD6-0AF89CA93656}"/>
            </a:ext>
          </a:extLst>
        </xdr:cNvPr>
        <xdr:cNvPicPr>
          <a:picLocks noChangeAspect="1"/>
        </xdr:cNvPicPr>
      </xdr:nvPicPr>
      <xdr:blipFill>
        <a:blip xmlns:r="http://schemas.openxmlformats.org/officeDocument/2006/relationships" r:embed="rId2"/>
        <a:stretch>
          <a:fillRect/>
        </a:stretch>
      </xdr:blipFill>
      <xdr:spPr>
        <a:xfrm>
          <a:off x="4505325" y="10953750"/>
          <a:ext cx="762000" cy="6000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1EA476BA-A439-4AFD-B0D9-37E0B697D659}"/>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0</xdr:col>
      <xdr:colOff>8418</xdr:colOff>
      <xdr:row>14</xdr:row>
      <xdr:rowOff>0</xdr:rowOff>
    </xdr:from>
    <xdr:to>
      <xdr:col>3</xdr:col>
      <xdr:colOff>218266</xdr:colOff>
      <xdr:row>14</xdr:row>
      <xdr:rowOff>3807619</xdr:rowOff>
    </xdr:to>
    <xdr:pic>
      <xdr:nvPicPr>
        <xdr:cNvPr id="3" name="Picture 3">
          <a:extLst>
            <a:ext uri="{FF2B5EF4-FFF2-40B4-BE49-F238E27FC236}">
              <a16:creationId xmlns:a16="http://schemas.microsoft.com/office/drawing/2014/main" id="{D446C1B6-246E-4700-B2C1-862AF3CC8FC6}"/>
            </a:ext>
          </a:extLst>
        </xdr:cNvPr>
        <xdr:cNvPicPr>
          <a:picLocks noChangeAspect="1"/>
        </xdr:cNvPicPr>
      </xdr:nvPicPr>
      <xdr:blipFill>
        <a:blip xmlns:r="http://schemas.openxmlformats.org/officeDocument/2006/relationships" r:embed="rId2"/>
        <a:stretch>
          <a:fillRect/>
        </a:stretch>
      </xdr:blipFill>
      <xdr:spPr>
        <a:xfrm>
          <a:off x="9525" y="2266950"/>
          <a:ext cx="7610475" cy="3810000"/>
        </a:xfrm>
        <a:prstGeom prst="rect">
          <a:avLst/>
        </a:prstGeom>
      </xdr:spPr>
    </xdr:pic>
    <xdr:clientData/>
  </xdr:twoCellAnchor>
  <xdr:twoCellAnchor>
    <xdr:from>
      <xdr:col>3</xdr:col>
      <xdr:colOff>0</xdr:colOff>
      <xdr:row>31</xdr:row>
      <xdr:rowOff>0</xdr:rowOff>
    </xdr:from>
    <xdr:to>
      <xdr:col>4</xdr:col>
      <xdr:colOff>146921</xdr:colOff>
      <xdr:row>33</xdr:row>
      <xdr:rowOff>122709</xdr:rowOff>
    </xdr:to>
    <xdr:pic>
      <xdr:nvPicPr>
        <xdr:cNvPr id="4" name="Picture 4">
          <a:extLst>
            <a:ext uri="{FF2B5EF4-FFF2-40B4-BE49-F238E27FC236}">
              <a16:creationId xmlns:a16="http://schemas.microsoft.com/office/drawing/2014/main" id="{8CA8968A-E3EC-4DA4-BB0F-7BC7859D0ADD}"/>
            </a:ext>
          </a:extLst>
        </xdr:cNvPr>
        <xdr:cNvPicPr>
          <a:picLocks noChangeAspect="1"/>
        </xdr:cNvPicPr>
      </xdr:nvPicPr>
      <xdr:blipFill>
        <a:blip xmlns:r="http://schemas.openxmlformats.org/officeDocument/2006/relationships" r:embed="rId3"/>
        <a:stretch>
          <a:fillRect/>
        </a:stretch>
      </xdr:blipFill>
      <xdr:spPr>
        <a:xfrm>
          <a:off x="7400925" y="9934575"/>
          <a:ext cx="762000" cy="6000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3BE87FF5-E7D7-425B-B5E2-FC1A82DE2D1C}"/>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43</xdr:row>
      <xdr:rowOff>0</xdr:rowOff>
    </xdr:from>
    <xdr:to>
      <xdr:col>4</xdr:col>
      <xdr:colOff>49625</xdr:colOff>
      <xdr:row>45</xdr:row>
      <xdr:rowOff>151172</xdr:rowOff>
    </xdr:to>
    <xdr:pic>
      <xdr:nvPicPr>
        <xdr:cNvPr id="3" name="Picture 3">
          <a:extLst>
            <a:ext uri="{FF2B5EF4-FFF2-40B4-BE49-F238E27FC236}">
              <a16:creationId xmlns:a16="http://schemas.microsoft.com/office/drawing/2014/main" id="{9F346A00-C82B-49C1-AED8-531C44FE79C5}"/>
            </a:ext>
          </a:extLst>
        </xdr:cNvPr>
        <xdr:cNvPicPr>
          <a:picLocks noChangeAspect="1"/>
        </xdr:cNvPicPr>
      </xdr:nvPicPr>
      <xdr:blipFill>
        <a:blip xmlns:r="http://schemas.openxmlformats.org/officeDocument/2006/relationships" r:embed="rId2"/>
        <a:stretch>
          <a:fillRect/>
        </a:stretch>
      </xdr:blipFill>
      <xdr:spPr>
        <a:xfrm>
          <a:off x="5038725" y="6867525"/>
          <a:ext cx="971550" cy="628650"/>
        </a:xfrm>
        <a:prstGeom prst="rect">
          <a:avLst/>
        </a:prstGeom>
      </xdr:spPr>
    </xdr:pic>
    <xdr:clientData/>
  </xdr:twoCellAnchor>
  <xdr:twoCellAnchor>
    <xdr:from>
      <xdr:col>0</xdr:col>
      <xdr:colOff>0</xdr:colOff>
      <xdr:row>10</xdr:row>
      <xdr:rowOff>0</xdr:rowOff>
    </xdr:from>
    <xdr:to>
      <xdr:col>1</xdr:col>
      <xdr:colOff>761516</xdr:colOff>
      <xdr:row>11</xdr:row>
      <xdr:rowOff>71475</xdr:rowOff>
    </xdr:to>
    <xdr:pic>
      <xdr:nvPicPr>
        <xdr:cNvPr id="4" name="Picture 4">
          <a:extLst>
            <a:ext uri="{FF2B5EF4-FFF2-40B4-BE49-F238E27FC236}">
              <a16:creationId xmlns:a16="http://schemas.microsoft.com/office/drawing/2014/main" id="{7C4D4EAE-642B-4FA3-B6DA-58BE6D343FDD}"/>
            </a:ext>
          </a:extLst>
        </xdr:cNvPr>
        <xdr:cNvPicPr>
          <a:picLocks noChangeAspect="1"/>
        </xdr:cNvPicPr>
      </xdr:nvPicPr>
      <xdr:blipFill>
        <a:blip xmlns:r="http://schemas.openxmlformats.org/officeDocument/2006/relationships" r:embed="rId3"/>
        <a:stretch>
          <a:fillRect/>
        </a:stretch>
      </xdr:blipFill>
      <xdr:spPr>
        <a:xfrm>
          <a:off x="0" y="1619250"/>
          <a:ext cx="3952875" cy="2381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913507</xdr:colOff>
      <xdr:row>2</xdr:row>
      <xdr:rowOff>113854</xdr:rowOff>
    </xdr:to>
    <xdr:pic>
      <xdr:nvPicPr>
        <xdr:cNvPr id="2" name="Picture 2">
          <a:extLst>
            <a:ext uri="{FF2B5EF4-FFF2-40B4-BE49-F238E27FC236}">
              <a16:creationId xmlns:a16="http://schemas.microsoft.com/office/drawing/2014/main" id="{96DEBB38-76A4-4AEE-9F4E-E54E90DA7527}"/>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6E6EF-5B6A-4CB5-87FD-AEB2119975F7}">
  <sheetPr codeName="Sheet1"/>
  <dimension ref="C5:S44"/>
  <sheetViews>
    <sheetView showGridLines="0" tabSelected="1" workbookViewId="0"/>
  </sheetViews>
  <sheetFormatPr defaultRowHeight="13.2" x14ac:dyDescent="0.25"/>
  <cols>
    <col min="1" max="2" width="8.88671875" style="86"/>
    <col min="3" max="3" width="47.33203125" style="86" bestFit="1" customWidth="1"/>
    <col min="4" max="4" width="19.88671875" style="86" bestFit="1" customWidth="1"/>
    <col min="5" max="5" width="22.5546875" style="86" bestFit="1" customWidth="1"/>
    <col min="6" max="6" width="23.44140625" style="86" bestFit="1" customWidth="1"/>
    <col min="7" max="7" width="12.5546875" style="86" bestFit="1" customWidth="1"/>
    <col min="8" max="8" width="24.44140625" style="86" bestFit="1" customWidth="1"/>
    <col min="9" max="9" width="23" style="86" bestFit="1" customWidth="1"/>
    <col min="10" max="10" width="22.5546875" style="86" bestFit="1" customWidth="1"/>
    <col min="11" max="11" width="19.5546875" style="86" bestFit="1" customWidth="1"/>
    <col min="12" max="12" width="39" style="86" bestFit="1" customWidth="1"/>
    <col min="13" max="13" width="34.109375" style="86" bestFit="1" customWidth="1"/>
    <col min="14" max="14" width="26.33203125" style="86" bestFit="1" customWidth="1"/>
    <col min="15" max="15" width="8.88671875" style="86"/>
    <col min="16" max="16" width="28.5546875" style="86" bestFit="1" customWidth="1"/>
    <col min="17" max="19" width="11.44140625" style="86" bestFit="1" customWidth="1"/>
    <col min="20" max="16384" width="8.88671875" style="86"/>
  </cols>
  <sheetData>
    <row r="5" spans="3:19" ht="13.8" thickBot="1" x14ac:dyDescent="0.3"/>
    <row r="6" spans="3:19" x14ac:dyDescent="0.25">
      <c r="C6" s="92" t="s">
        <v>8</v>
      </c>
      <c r="D6" s="93" t="s">
        <v>9</v>
      </c>
      <c r="E6" s="93" t="s">
        <v>10</v>
      </c>
      <c r="F6" s="93" t="s">
        <v>11</v>
      </c>
      <c r="G6" s="93" t="s">
        <v>12</v>
      </c>
      <c r="H6" s="93" t="s">
        <v>15</v>
      </c>
      <c r="I6" s="93" t="s">
        <v>22</v>
      </c>
      <c r="J6" s="93" t="s">
        <v>23</v>
      </c>
      <c r="K6" s="93" t="s">
        <v>24</v>
      </c>
      <c r="L6" s="93" t="s">
        <v>55</v>
      </c>
      <c r="M6" s="93" t="s">
        <v>56</v>
      </c>
      <c r="N6" s="94" t="s">
        <v>57</v>
      </c>
      <c r="P6" s="88"/>
      <c r="Q6" s="89" t="s">
        <v>192</v>
      </c>
      <c r="R6" s="89" t="s">
        <v>193</v>
      </c>
      <c r="S6" s="91" t="s">
        <v>194</v>
      </c>
    </row>
    <row r="7" spans="3:19" x14ac:dyDescent="0.25">
      <c r="C7" s="95" t="s">
        <v>25</v>
      </c>
      <c r="D7" s="107">
        <v>42.08</v>
      </c>
      <c r="E7" s="109">
        <v>332.1</v>
      </c>
      <c r="F7" s="107">
        <v>13974.7</v>
      </c>
      <c r="G7" s="107">
        <v>3072.6</v>
      </c>
      <c r="H7" s="107">
        <v>17186.900000000001</v>
      </c>
      <c r="I7" s="107">
        <v>14592.27</v>
      </c>
      <c r="J7" s="107">
        <v>3844.1</v>
      </c>
      <c r="K7" s="107">
        <v>6.58</v>
      </c>
      <c r="L7" s="111">
        <v>1.18</v>
      </c>
      <c r="M7" s="111">
        <v>4.47</v>
      </c>
      <c r="N7" s="112">
        <v>6.4</v>
      </c>
      <c r="P7" s="87" t="s">
        <v>195</v>
      </c>
      <c r="Q7" s="125">
        <v>0.33333333333333331</v>
      </c>
      <c r="R7" s="125">
        <v>0.33333333333333331</v>
      </c>
      <c r="S7" s="126">
        <v>0.33333333333333331</v>
      </c>
    </row>
    <row r="8" spans="3:19" x14ac:dyDescent="0.25">
      <c r="C8" s="95" t="s">
        <v>27</v>
      </c>
      <c r="D8" s="107">
        <v>70.11</v>
      </c>
      <c r="E8" s="109">
        <v>196</v>
      </c>
      <c r="F8" s="107">
        <v>13739.8</v>
      </c>
      <c r="G8" s="107">
        <v>902</v>
      </c>
      <c r="H8" s="107">
        <v>17443.8</v>
      </c>
      <c r="I8" s="107">
        <v>7319.05</v>
      </c>
      <c r="J8" s="107">
        <v>3419.2</v>
      </c>
      <c r="K8" s="107">
        <v>9.91</v>
      </c>
      <c r="L8" s="111">
        <v>2.38</v>
      </c>
      <c r="M8" s="111">
        <v>5.0999999999999996</v>
      </c>
      <c r="N8" s="112">
        <v>7.07</v>
      </c>
      <c r="P8" s="87" t="s">
        <v>196</v>
      </c>
      <c r="Q8" s="127">
        <f>INDEX(L24:L44,MATCH($L$22,$K$24:$K$44))</f>
        <v>1.4425000000000003</v>
      </c>
      <c r="R8" s="127">
        <f>INDEX(M24:M44,MATCH($L$22,$K$24:$K$44))</f>
        <v>4.4849999999999994</v>
      </c>
      <c r="S8" s="128">
        <f>INDEX(N24:N44,MATCH($L$22,$K$24:$K$44))</f>
        <v>6.8319999999999999</v>
      </c>
    </row>
    <row r="9" spans="3:19" x14ac:dyDescent="0.25">
      <c r="C9" s="95" t="s">
        <v>28</v>
      </c>
      <c r="D9" s="107">
        <v>60.67</v>
      </c>
      <c r="E9" s="109">
        <v>712.6</v>
      </c>
      <c r="F9" s="107">
        <v>43233.8</v>
      </c>
      <c r="G9" s="107">
        <v>-1558</v>
      </c>
      <c r="H9" s="107">
        <v>41914.800000000003</v>
      </c>
      <c r="I9" s="107">
        <v>18485.28</v>
      </c>
      <c r="J9" s="107">
        <v>3572.92</v>
      </c>
      <c r="K9" s="107">
        <v>2.88</v>
      </c>
      <c r="L9" s="111">
        <v>2.27</v>
      </c>
      <c r="M9" s="111">
        <v>11.73</v>
      </c>
      <c r="N9" s="112">
        <v>21.1</v>
      </c>
      <c r="P9" s="87" t="s">
        <v>197</v>
      </c>
      <c r="Q9" s="118">
        <v>31483.41</v>
      </c>
      <c r="R9" s="118">
        <v>8506.11</v>
      </c>
      <c r="S9" s="119">
        <v>8.81</v>
      </c>
    </row>
    <row r="10" spans="3:19" x14ac:dyDescent="0.25">
      <c r="C10" s="95" t="s">
        <v>29</v>
      </c>
      <c r="D10" s="107">
        <v>40.229999999999997</v>
      </c>
      <c r="E10" s="109">
        <v>254.7</v>
      </c>
      <c r="F10" s="107">
        <v>10245.1</v>
      </c>
      <c r="G10" s="107">
        <v>3028</v>
      </c>
      <c r="H10" s="107">
        <v>13229.4</v>
      </c>
      <c r="I10" s="107" t="s">
        <v>26</v>
      </c>
      <c r="J10" s="107" t="s">
        <v>26</v>
      </c>
      <c r="K10" s="107" t="s">
        <v>26</v>
      </c>
      <c r="L10" s="111" t="s">
        <v>26</v>
      </c>
      <c r="M10" s="111" t="s">
        <v>26</v>
      </c>
      <c r="N10" s="112" t="s">
        <v>26</v>
      </c>
      <c r="P10" s="87" t="s">
        <v>198</v>
      </c>
      <c r="Q10" s="118">
        <f>Q9*Q8</f>
        <v>45414.818925000007</v>
      </c>
      <c r="R10" s="118">
        <f>R9*R8</f>
        <v>38149.903350000001</v>
      </c>
      <c r="S10" s="119">
        <f>S12+S11</f>
        <v>41049.732096</v>
      </c>
    </row>
    <row r="11" spans="3:19" x14ac:dyDescent="0.25">
      <c r="C11" s="95" t="s">
        <v>30</v>
      </c>
      <c r="D11" s="107">
        <v>26.37</v>
      </c>
      <c r="E11" s="109">
        <v>210.7</v>
      </c>
      <c r="F11" s="107">
        <v>5554.1</v>
      </c>
      <c r="G11" s="107">
        <v>1434.8</v>
      </c>
      <c r="H11" s="107">
        <v>9117.7000000000007</v>
      </c>
      <c r="I11" s="107">
        <v>6681.11</v>
      </c>
      <c r="J11" s="107">
        <v>2414.94</v>
      </c>
      <c r="K11" s="107">
        <v>3.24</v>
      </c>
      <c r="L11" s="111">
        <v>1.36</v>
      </c>
      <c r="M11" s="111">
        <v>3.78</v>
      </c>
      <c r="N11" s="112">
        <v>8.14</v>
      </c>
      <c r="P11" s="87" t="s">
        <v>199</v>
      </c>
      <c r="Q11" s="118">
        <v>11027</v>
      </c>
      <c r="R11" s="118">
        <v>11027</v>
      </c>
      <c r="S11" s="119">
        <v>11027</v>
      </c>
    </row>
    <row r="12" spans="3:19" x14ac:dyDescent="0.25">
      <c r="C12" s="95" t="s">
        <v>31</v>
      </c>
      <c r="D12" s="107">
        <v>121.78</v>
      </c>
      <c r="E12" s="109">
        <v>125.1</v>
      </c>
      <c r="F12" s="107">
        <v>15239.8</v>
      </c>
      <c r="G12" s="107">
        <v>2840.2</v>
      </c>
      <c r="H12" s="107">
        <v>18103</v>
      </c>
      <c r="I12" s="107">
        <v>6150.92</v>
      </c>
      <c r="J12" s="107">
        <v>1541.56</v>
      </c>
      <c r="K12" s="107">
        <v>7.83</v>
      </c>
      <c r="L12" s="111">
        <v>2.94</v>
      </c>
      <c r="M12" s="111">
        <v>11.74</v>
      </c>
      <c r="N12" s="112">
        <v>15.55</v>
      </c>
      <c r="P12" s="87" t="s">
        <v>124</v>
      </c>
      <c r="Q12" s="118">
        <f>Q10-Q11</f>
        <v>34387.818925000007</v>
      </c>
      <c r="R12" s="118">
        <f>R10-R11</f>
        <v>27122.903350000001</v>
      </c>
      <c r="S12" s="119">
        <f>S13*S14</f>
        <v>30022.732096</v>
      </c>
    </row>
    <row r="13" spans="3:19" x14ac:dyDescent="0.25">
      <c r="C13" s="95" t="s">
        <v>32</v>
      </c>
      <c r="D13" s="107">
        <v>6.13</v>
      </c>
      <c r="E13" s="109">
        <v>1289.3</v>
      </c>
      <c r="F13" s="107">
        <v>7900.1</v>
      </c>
      <c r="G13" s="107">
        <v>2344</v>
      </c>
      <c r="H13" s="107">
        <v>10411.1</v>
      </c>
      <c r="I13" s="107">
        <v>8448.9599999999991</v>
      </c>
      <c r="J13" s="107">
        <v>2279.63</v>
      </c>
      <c r="K13" s="107">
        <v>0.9</v>
      </c>
      <c r="L13" s="111">
        <v>1.23</v>
      </c>
      <c r="M13" s="111">
        <v>4.57</v>
      </c>
      <c r="N13" s="112">
        <v>6.79</v>
      </c>
      <c r="P13" s="87" t="s">
        <v>200</v>
      </c>
      <c r="Q13" s="129">
        <v>498.8</v>
      </c>
      <c r="R13" s="129">
        <v>498.8</v>
      </c>
      <c r="S13" s="130">
        <v>498.8</v>
      </c>
    </row>
    <row r="14" spans="3:19" ht="13.8" thickBot="1" x14ac:dyDescent="0.3">
      <c r="C14" s="95" t="s">
        <v>33</v>
      </c>
      <c r="D14" s="107">
        <v>0</v>
      </c>
      <c r="E14" s="109">
        <v>97.3</v>
      </c>
      <c r="F14" s="107">
        <v>0.4</v>
      </c>
      <c r="G14" s="107">
        <v>1.1000000000000001</v>
      </c>
      <c r="H14" s="107">
        <v>1.5</v>
      </c>
      <c r="I14" s="107" t="s">
        <v>26</v>
      </c>
      <c r="J14" s="107" t="s">
        <v>26</v>
      </c>
      <c r="K14" s="107" t="s">
        <v>26</v>
      </c>
      <c r="L14" s="111" t="s">
        <v>26</v>
      </c>
      <c r="M14" s="111" t="s">
        <v>26</v>
      </c>
      <c r="N14" s="112" t="s">
        <v>26</v>
      </c>
      <c r="P14" s="104" t="s">
        <v>201</v>
      </c>
      <c r="Q14" s="120">
        <f>Q12/Q13</f>
        <v>68.941096481555746</v>
      </c>
      <c r="R14" s="121">
        <f>R12/R13</f>
        <v>54.376309843624696</v>
      </c>
      <c r="S14" s="122">
        <f>S8*S9</f>
        <v>60.189920000000001</v>
      </c>
    </row>
    <row r="15" spans="3:19" x14ac:dyDescent="0.25">
      <c r="C15" s="95" t="s">
        <v>34</v>
      </c>
      <c r="D15" s="107">
        <v>19.96</v>
      </c>
      <c r="E15" s="109">
        <v>191.4</v>
      </c>
      <c r="F15" s="107">
        <v>3821.2</v>
      </c>
      <c r="G15" s="107">
        <v>-94.9</v>
      </c>
      <c r="H15" s="107">
        <v>3726.3</v>
      </c>
      <c r="I15" s="107">
        <v>5199.76</v>
      </c>
      <c r="J15" s="107">
        <v>1533.15</v>
      </c>
      <c r="K15" s="107">
        <v>3.98</v>
      </c>
      <c r="L15" s="111">
        <v>0.72</v>
      </c>
      <c r="M15" s="111">
        <v>2.4300000000000002</v>
      </c>
      <c r="N15" s="112">
        <v>5.01</v>
      </c>
      <c r="P15" s="88" t="s">
        <v>202</v>
      </c>
      <c r="Q15" s="123">
        <f>SUMPRODUCT(Q14:S14,Q7:S7)</f>
        <v>61.169108775060138</v>
      </c>
      <c r="R15" s="124"/>
      <c r="S15" s="124"/>
    </row>
    <row r="16" spans="3:19" x14ac:dyDescent="0.25">
      <c r="C16" s="95" t="s">
        <v>35</v>
      </c>
      <c r="D16" s="107">
        <v>67.02</v>
      </c>
      <c r="E16" s="109">
        <v>285.60000000000002</v>
      </c>
      <c r="F16" s="107">
        <v>19143.400000000001</v>
      </c>
      <c r="G16" s="107">
        <v>-626.5</v>
      </c>
      <c r="H16" s="107">
        <v>18552.400000000001</v>
      </c>
      <c r="I16" s="107">
        <v>9699.7199999999993</v>
      </c>
      <c r="J16" s="107">
        <v>4924.05</v>
      </c>
      <c r="K16" s="107">
        <v>11.8</v>
      </c>
      <c r="L16" s="111">
        <v>1.91</v>
      </c>
      <c r="M16" s="111">
        <v>3.77</v>
      </c>
      <c r="N16" s="112">
        <v>5.68</v>
      </c>
      <c r="P16" s="87" t="s">
        <v>203</v>
      </c>
      <c r="Q16" s="119">
        <v>69.13</v>
      </c>
      <c r="R16" s="124"/>
      <c r="S16" s="124"/>
    </row>
    <row r="17" spans="3:19" ht="13.8" thickBot="1" x14ac:dyDescent="0.3">
      <c r="C17" s="96" t="s">
        <v>36</v>
      </c>
      <c r="D17" s="108">
        <v>69.13</v>
      </c>
      <c r="E17" s="110">
        <v>498.8</v>
      </c>
      <c r="F17" s="108">
        <v>34482.6</v>
      </c>
      <c r="G17" s="108">
        <v>11027</v>
      </c>
      <c r="H17" s="108">
        <v>45532.6</v>
      </c>
      <c r="I17" s="108">
        <v>31483.41</v>
      </c>
      <c r="J17" s="108">
        <v>8506.11</v>
      </c>
      <c r="K17" s="108">
        <v>8.81</v>
      </c>
      <c r="L17" s="113">
        <v>1.45</v>
      </c>
      <c r="M17" s="113">
        <v>5.35</v>
      </c>
      <c r="N17" s="114">
        <v>7.85</v>
      </c>
      <c r="P17" s="90" t="s">
        <v>204</v>
      </c>
      <c r="Q17" s="131">
        <f>Q15/Q16-1</f>
        <v>-0.11515827028699344</v>
      </c>
      <c r="R17" s="124"/>
      <c r="S17" s="124"/>
    </row>
    <row r="20" spans="3:19" ht="26.4" x14ac:dyDescent="0.25">
      <c r="C20" s="105" t="s">
        <v>205</v>
      </c>
      <c r="D20" s="106">
        <f>Q17</f>
        <v>-0.11515827028699344</v>
      </c>
    </row>
    <row r="21" spans="3:19" ht="13.8" thickBot="1" x14ac:dyDescent="0.3"/>
    <row r="22" spans="3:19" ht="13.8" thickBot="1" x14ac:dyDescent="0.3">
      <c r="K22" s="103" t="s">
        <v>191</v>
      </c>
      <c r="L22" s="132">
        <f>BENCHMARKING!D28</f>
        <v>0.45909090909090916</v>
      </c>
    </row>
    <row r="23" spans="3:19" ht="13.8" thickBot="1" x14ac:dyDescent="0.3">
      <c r="K23" s="86" t="s">
        <v>190</v>
      </c>
    </row>
    <row r="24" spans="3:19" x14ac:dyDescent="0.25">
      <c r="K24" s="115">
        <v>0</v>
      </c>
      <c r="L24" s="97">
        <f>PERCENTILE(L7:L16,K24)</f>
        <v>0.72</v>
      </c>
      <c r="M24" s="97">
        <f>PERCENTILE(M7:M16,K24)</f>
        <v>2.4300000000000002</v>
      </c>
      <c r="N24" s="98">
        <f>PERCENTILE(N7:N16,K24)</f>
        <v>5.01</v>
      </c>
    </row>
    <row r="25" spans="3:19" x14ac:dyDescent="0.25">
      <c r="K25" s="116">
        <v>0.05</v>
      </c>
      <c r="L25" s="99">
        <f>PERCENTILE(L7:L16,K25)</f>
        <v>0.88100000000000001</v>
      </c>
      <c r="M25" s="99">
        <f>PERCENTILE(M7:M16,K25)</f>
        <v>2.899</v>
      </c>
      <c r="N25" s="100">
        <f>PERCENTILE(N7:N16,K25)</f>
        <v>5.2444999999999995</v>
      </c>
    </row>
    <row r="26" spans="3:19" x14ac:dyDescent="0.25">
      <c r="K26" s="116">
        <v>0.1</v>
      </c>
      <c r="L26" s="99">
        <f>PERCENTILE(L7:L16,K26)</f>
        <v>1.042</v>
      </c>
      <c r="M26" s="99">
        <f>PERCENTILE(M7:M16,K26)</f>
        <v>3.3680000000000003</v>
      </c>
      <c r="N26" s="100">
        <f>PERCENTILE(N7:N16,K26)</f>
        <v>5.4790000000000001</v>
      </c>
    </row>
    <row r="27" spans="3:19" x14ac:dyDescent="0.25">
      <c r="K27" s="116">
        <v>0.15</v>
      </c>
      <c r="L27" s="99">
        <f>PERCENTILE(L7:L16,K27)</f>
        <v>1.1824999999999999</v>
      </c>
      <c r="M27" s="99">
        <f>PERCENTILE(M7:M16,K27)</f>
        <v>3.7705000000000002</v>
      </c>
      <c r="N27" s="100">
        <f>PERCENTILE(N7:N16,K27)</f>
        <v>5.7159999999999993</v>
      </c>
    </row>
    <row r="28" spans="3:19" x14ac:dyDescent="0.25">
      <c r="K28" s="116">
        <v>0.2</v>
      </c>
      <c r="L28" s="99">
        <f>PERCENTILE(L7:L16,K28)</f>
        <v>1.2</v>
      </c>
      <c r="M28" s="99">
        <f>PERCENTILE(M7:M16,K28)</f>
        <v>3.774</v>
      </c>
      <c r="N28" s="100">
        <f>PERCENTILE(N7:N16,K28)</f>
        <v>5.968</v>
      </c>
    </row>
    <row r="29" spans="3:19" x14ac:dyDescent="0.25">
      <c r="K29" s="116">
        <v>0.25</v>
      </c>
      <c r="L29" s="99">
        <f>PERCENTILE(L7:L16,K29)</f>
        <v>1.2175</v>
      </c>
      <c r="M29" s="99">
        <f>PERCENTILE(M7:M16,K29)</f>
        <v>3.7774999999999999</v>
      </c>
      <c r="N29" s="100">
        <f>PERCENTILE(N7:N16,K29)</f>
        <v>6.2200000000000006</v>
      </c>
    </row>
    <row r="30" spans="3:19" x14ac:dyDescent="0.25">
      <c r="K30" s="116">
        <v>0.3</v>
      </c>
      <c r="L30" s="99">
        <f>PERCENTILE(L7:L16,K30)</f>
        <v>1.2430000000000001</v>
      </c>
      <c r="M30" s="99">
        <f>PERCENTILE(M7:M16,K30)</f>
        <v>3.8489999999999998</v>
      </c>
      <c r="N30" s="100">
        <f>PERCENTILE(N7:N16,K30)</f>
        <v>6.4390000000000001</v>
      </c>
    </row>
    <row r="31" spans="3:19" x14ac:dyDescent="0.25">
      <c r="K31" s="116">
        <v>0.35</v>
      </c>
      <c r="L31" s="99">
        <f>PERCENTILE(L7:L16,K31)</f>
        <v>1.2885</v>
      </c>
      <c r="M31" s="99">
        <f>PERCENTILE(M7:M16,K31)</f>
        <v>4.0904999999999996</v>
      </c>
      <c r="N31" s="100">
        <f>PERCENTILE(N7:N16,K31)</f>
        <v>6.5754999999999999</v>
      </c>
    </row>
    <row r="32" spans="3:19" x14ac:dyDescent="0.25">
      <c r="K32" s="116">
        <v>0.4</v>
      </c>
      <c r="L32" s="99">
        <f>PERCENTILE(L7:L16,K32)</f>
        <v>1.3340000000000001</v>
      </c>
      <c r="M32" s="99">
        <f>PERCENTILE(M7:M16,K32)</f>
        <v>4.3319999999999999</v>
      </c>
      <c r="N32" s="100">
        <f>PERCENTILE(N7:N16,K32)</f>
        <v>6.7119999999999997</v>
      </c>
    </row>
    <row r="33" spans="11:14" x14ac:dyDescent="0.25">
      <c r="K33" s="116">
        <v>0.45</v>
      </c>
      <c r="L33" s="99">
        <f>PERCENTILE(L7:L16,K33)</f>
        <v>1.4425000000000003</v>
      </c>
      <c r="M33" s="99">
        <f>PERCENTILE(M7:M16,K33)</f>
        <v>4.4849999999999994</v>
      </c>
      <c r="N33" s="100">
        <f>PERCENTILE(N7:N16,K33)</f>
        <v>6.8319999999999999</v>
      </c>
    </row>
    <row r="34" spans="11:14" x14ac:dyDescent="0.25">
      <c r="K34" s="116">
        <v>0.5</v>
      </c>
      <c r="L34" s="99">
        <f>PERCENTILE(L7:L16,K34)</f>
        <v>1.635</v>
      </c>
      <c r="M34" s="99">
        <f>PERCENTILE(M7:M16,K34)</f>
        <v>4.5199999999999996</v>
      </c>
      <c r="N34" s="100">
        <f>PERCENTILE(N7:N16,K34)</f>
        <v>6.93</v>
      </c>
    </row>
    <row r="35" spans="11:14" x14ac:dyDescent="0.25">
      <c r="K35" s="116">
        <v>0.55000000000000004</v>
      </c>
      <c r="L35" s="99">
        <f>PERCENTILE(L7:L16,K35)</f>
        <v>1.8275000000000001</v>
      </c>
      <c r="M35" s="99">
        <f>PERCENTILE(M7:M16,K35)</f>
        <v>4.5550000000000006</v>
      </c>
      <c r="N35" s="100">
        <f>PERCENTILE(N7:N16,K35)</f>
        <v>7.0280000000000005</v>
      </c>
    </row>
    <row r="36" spans="11:14" x14ac:dyDescent="0.25">
      <c r="K36" s="116">
        <v>0.6</v>
      </c>
      <c r="L36" s="99">
        <f>PERCENTILE(L7:L16,K36)</f>
        <v>1.982</v>
      </c>
      <c r="M36" s="99">
        <f>PERCENTILE(M7:M16,K36)</f>
        <v>4.6760000000000002</v>
      </c>
      <c r="N36" s="100">
        <f>PERCENTILE(N7:N16,K36)</f>
        <v>7.2840000000000007</v>
      </c>
    </row>
    <row r="37" spans="11:14" x14ac:dyDescent="0.25">
      <c r="K37" s="116">
        <v>0.65</v>
      </c>
      <c r="L37" s="99">
        <f>PERCENTILE(L7:L16,K37)</f>
        <v>2.1080000000000001</v>
      </c>
      <c r="M37" s="99">
        <f>PERCENTILE(M7:M16,K37)</f>
        <v>4.8614999999999995</v>
      </c>
      <c r="N37" s="100">
        <f>PERCENTILE(N7:N16,K37)</f>
        <v>7.6585000000000001</v>
      </c>
    </row>
    <row r="38" spans="11:14" x14ac:dyDescent="0.25">
      <c r="K38" s="116">
        <v>0.7</v>
      </c>
      <c r="L38" s="99">
        <f>PERCENTILE(L7:L16,K38)</f>
        <v>2.234</v>
      </c>
      <c r="M38" s="99">
        <f>PERCENTILE(M7:M16,K38)</f>
        <v>5.0469999999999997</v>
      </c>
      <c r="N38" s="100">
        <f>PERCENTILE(N7:N16,K38)</f>
        <v>8.0329999999999995</v>
      </c>
    </row>
    <row r="39" spans="11:14" x14ac:dyDescent="0.25">
      <c r="K39" s="116">
        <v>0.75</v>
      </c>
      <c r="L39" s="99">
        <f>PERCENTILE(L7:L16,K39)</f>
        <v>2.2974999999999999</v>
      </c>
      <c r="M39" s="99">
        <f>PERCENTILE(M7:M16,K39)</f>
        <v>6.7575000000000003</v>
      </c>
      <c r="N39" s="100">
        <f>PERCENTILE(N7:N16,K39)</f>
        <v>9.9924999999999997</v>
      </c>
    </row>
    <row r="40" spans="11:14" x14ac:dyDescent="0.25">
      <c r="K40" s="116">
        <v>0.8</v>
      </c>
      <c r="L40" s="99">
        <f>PERCENTILE(L7:L16,K40)</f>
        <v>2.3359999999999999</v>
      </c>
      <c r="M40" s="99">
        <f>PERCENTILE(M7:M16,K40)</f>
        <v>9.078000000000003</v>
      </c>
      <c r="N40" s="100">
        <f>PERCENTILE(N7:N16,K40)</f>
        <v>12.586000000000006</v>
      </c>
    </row>
    <row r="41" spans="11:14" x14ac:dyDescent="0.25">
      <c r="K41" s="116">
        <v>0.85</v>
      </c>
      <c r="L41" s="99">
        <f>PERCENTILE(L7:L16,K41)</f>
        <v>2.3744999999999998</v>
      </c>
      <c r="M41" s="99">
        <f>PERCENTILE(M7:M16,K41)</f>
        <v>11.398500000000002</v>
      </c>
      <c r="N41" s="100">
        <f>PERCENTILE(N7:N16,K41)</f>
        <v>15.179500000000001</v>
      </c>
    </row>
    <row r="42" spans="11:14" x14ac:dyDescent="0.25">
      <c r="K42" s="116">
        <v>0.9</v>
      </c>
      <c r="L42" s="99">
        <f>PERCENTILE(L7:L16,K42)</f>
        <v>2.548</v>
      </c>
      <c r="M42" s="99">
        <f>PERCENTILE(M7:M16,K42)</f>
        <v>11.733000000000001</v>
      </c>
      <c r="N42" s="100">
        <f>PERCENTILE(N7:N16,K42)</f>
        <v>17.215</v>
      </c>
    </row>
    <row r="43" spans="11:14" x14ac:dyDescent="0.25">
      <c r="K43" s="116">
        <v>0.95</v>
      </c>
      <c r="L43" s="99">
        <f>PERCENTILE(L7:L16,K43)</f>
        <v>2.7439999999999998</v>
      </c>
      <c r="M43" s="99">
        <f>PERCENTILE(M7:M16,K43)</f>
        <v>11.736499999999999</v>
      </c>
      <c r="N43" s="100">
        <f>PERCENTILE(N7:N16,K43)</f>
        <v>19.157499999999999</v>
      </c>
    </row>
    <row r="44" spans="11:14" ht="13.8" thickBot="1" x14ac:dyDescent="0.3">
      <c r="K44" s="117">
        <v>1</v>
      </c>
      <c r="L44" s="101">
        <f>PERCENTILE(L7:L16,K44)</f>
        <v>2.94</v>
      </c>
      <c r="M44" s="101">
        <f>PERCENTILE(M7:M16,K44)</f>
        <v>11.74</v>
      </c>
      <c r="N44" s="102">
        <f>PERCENTILE(N7:N16,K44)</f>
        <v>21.1</v>
      </c>
    </row>
  </sheetData>
  <conditionalFormatting sqref="Q17">
    <cfRule type="cellIs" dxfId="3" priority="4" operator="greaterThan">
      <formula>0</formula>
    </cfRule>
    <cfRule type="cellIs" dxfId="2" priority="3" operator="lessThan">
      <formula>0</formula>
    </cfRule>
    <cfRule type="cellIs" dxfId="1" priority="2" operator="greaterThan">
      <formula>0</formula>
    </cfRule>
    <cfRule type="cellIs" dxfId="0" priority="1" operator="less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A60C9-4C8B-45C0-9F61-D18CEA27D808}">
  <sheetPr codeName="Sheet2"/>
  <dimension ref="C5:O51"/>
  <sheetViews>
    <sheetView showGridLines="0" workbookViewId="0"/>
  </sheetViews>
  <sheetFormatPr defaultRowHeight="10.199999999999999" x14ac:dyDescent="0.2"/>
  <cols>
    <col min="1" max="2" width="8.88671875" style="43"/>
    <col min="3" max="3" width="13" style="43" bestFit="1" customWidth="1"/>
    <col min="4" max="4" width="8.109375" style="43" bestFit="1" customWidth="1"/>
    <col min="5" max="5" width="7.21875" style="43" bestFit="1" customWidth="1"/>
    <col min="6" max="6" width="7.44140625" style="43" bestFit="1" customWidth="1"/>
    <col min="7" max="7" width="7.21875" style="43" bestFit="1" customWidth="1"/>
    <col min="8" max="8" width="8.109375" style="43" bestFit="1" customWidth="1"/>
    <col min="9" max="9" width="7.77734375" style="43" bestFit="1" customWidth="1"/>
    <col min="10" max="10" width="7.88671875" style="43" bestFit="1" customWidth="1"/>
    <col min="11" max="11" width="7.77734375" style="43" bestFit="1" customWidth="1"/>
    <col min="12" max="12" width="8.109375" style="43" bestFit="1" customWidth="1"/>
    <col min="13" max="14" width="8.6640625" style="43" bestFit="1" customWidth="1"/>
    <col min="15" max="16384" width="8.88671875" style="43"/>
  </cols>
  <sheetData>
    <row r="5" spans="3:15" ht="10.8" thickBot="1" x14ac:dyDescent="0.25"/>
    <row r="6" spans="3:15" ht="51.6" thickBot="1" x14ac:dyDescent="0.25">
      <c r="C6" s="57" t="s">
        <v>8</v>
      </c>
      <c r="D6" s="66" t="s">
        <v>62</v>
      </c>
      <c r="E6" s="66" t="s">
        <v>63</v>
      </c>
      <c r="F6" s="66" t="s">
        <v>64</v>
      </c>
      <c r="G6" s="66" t="s">
        <v>65</v>
      </c>
      <c r="H6" s="66" t="s">
        <v>66</v>
      </c>
      <c r="I6" s="66" t="s">
        <v>67</v>
      </c>
      <c r="J6" s="66" t="s">
        <v>68</v>
      </c>
      <c r="K6" s="66" t="s">
        <v>69</v>
      </c>
      <c r="L6" s="66" t="s">
        <v>70</v>
      </c>
      <c r="M6" s="66" t="s">
        <v>71</v>
      </c>
      <c r="N6" s="66" t="s">
        <v>72</v>
      </c>
      <c r="O6" s="67" t="s">
        <v>73</v>
      </c>
    </row>
    <row r="7" spans="3:15" ht="30.6" x14ac:dyDescent="0.2">
      <c r="C7" s="64" t="s">
        <v>25</v>
      </c>
      <c r="D7" s="71">
        <v>0.30199999999999999</v>
      </c>
      <c r="E7" s="72">
        <v>0.307</v>
      </c>
      <c r="F7" s="72">
        <v>0.253</v>
      </c>
      <c r="G7" s="73">
        <v>0.18729999999999999</v>
      </c>
      <c r="H7" s="73">
        <v>0.54769999999999996</v>
      </c>
      <c r="I7" s="73">
        <v>0.65390000000000004</v>
      </c>
      <c r="J7" s="73">
        <v>0.79730000000000001</v>
      </c>
      <c r="K7" s="73">
        <v>1.1972</v>
      </c>
      <c r="L7" s="73">
        <v>0.23799999999999999</v>
      </c>
      <c r="M7" s="74">
        <v>0.6</v>
      </c>
      <c r="N7" s="75" t="s">
        <v>26</v>
      </c>
      <c r="O7" s="76">
        <v>1.5</v>
      </c>
    </row>
    <row r="8" spans="3:15" ht="30.6" x14ac:dyDescent="0.2">
      <c r="C8" s="64" t="s">
        <v>27</v>
      </c>
      <c r="D8" s="68">
        <v>0.52400000000000002</v>
      </c>
      <c r="E8" s="53">
        <v>0.57399999999999995</v>
      </c>
      <c r="F8" s="53">
        <v>0.498</v>
      </c>
      <c r="G8" s="54">
        <v>0.29909999999999998</v>
      </c>
      <c r="H8" s="54">
        <v>0.71089999999999998</v>
      </c>
      <c r="I8" s="54">
        <v>1.0929</v>
      </c>
      <c r="J8" s="54">
        <v>1.5555000000000001</v>
      </c>
      <c r="K8" s="54">
        <v>2.6488999999999998</v>
      </c>
      <c r="L8" s="54">
        <v>0.29110000000000003</v>
      </c>
      <c r="M8" s="55">
        <v>0.5</v>
      </c>
      <c r="N8" s="54">
        <v>0.06</v>
      </c>
      <c r="O8" s="62">
        <v>1</v>
      </c>
    </row>
    <row r="9" spans="3:15" ht="20.399999999999999" x14ac:dyDescent="0.2">
      <c r="C9" s="64" t="s">
        <v>28</v>
      </c>
      <c r="D9" s="68">
        <v>0.40300000000000002</v>
      </c>
      <c r="E9" s="53">
        <v>0.19</v>
      </c>
      <c r="F9" s="53">
        <v>0.12</v>
      </c>
      <c r="G9" s="54">
        <v>6.5699999999999995E-2</v>
      </c>
      <c r="H9" s="54">
        <v>0.115</v>
      </c>
      <c r="I9" s="54">
        <v>-0.14360000000000001</v>
      </c>
      <c r="J9" s="54">
        <v>-0.20380000000000001</v>
      </c>
      <c r="K9" s="54">
        <v>-0.34789999999999999</v>
      </c>
      <c r="L9" s="54">
        <v>6.4399999999999999E-2</v>
      </c>
      <c r="M9" s="55">
        <v>0.5</v>
      </c>
      <c r="N9" s="54">
        <v>0.16569999999999999</v>
      </c>
      <c r="O9" s="62">
        <v>0.78</v>
      </c>
    </row>
    <row r="10" spans="3:15" ht="30.6" x14ac:dyDescent="0.2">
      <c r="C10" s="64" t="s">
        <v>29</v>
      </c>
      <c r="D10" s="68">
        <v>0.25700000000000001</v>
      </c>
      <c r="E10" s="53">
        <v>0.16500000000000001</v>
      </c>
      <c r="F10" s="53">
        <v>0.129</v>
      </c>
      <c r="G10" s="54">
        <v>8.7400000000000005E-2</v>
      </c>
      <c r="H10" s="54">
        <v>0.1421</v>
      </c>
      <c r="I10" s="54">
        <v>9.8000000000000004E-2</v>
      </c>
      <c r="J10" s="54">
        <v>0.156</v>
      </c>
      <c r="K10" s="54">
        <v>0.40360000000000001</v>
      </c>
      <c r="L10" s="54">
        <v>0.32519999999999999</v>
      </c>
      <c r="M10" s="55">
        <v>1.1000000000000001</v>
      </c>
      <c r="N10" s="54">
        <v>0.1656</v>
      </c>
      <c r="O10" s="62">
        <v>0.43</v>
      </c>
    </row>
    <row r="11" spans="3:15" ht="20.399999999999999" x14ac:dyDescent="0.2">
      <c r="C11" s="64" t="s">
        <v>30</v>
      </c>
      <c r="D11" s="68">
        <v>0.34699999999999998</v>
      </c>
      <c r="E11" s="53">
        <v>0.36299999999999999</v>
      </c>
      <c r="F11" s="53">
        <v>0.308</v>
      </c>
      <c r="G11" s="54">
        <v>0.12740000000000001</v>
      </c>
      <c r="H11" s="54">
        <v>0.53720000000000001</v>
      </c>
      <c r="I11" s="54">
        <v>0.4677</v>
      </c>
      <c r="J11" s="54">
        <v>0.62609999999999999</v>
      </c>
      <c r="K11" s="54">
        <v>1.169</v>
      </c>
      <c r="L11" s="54">
        <v>0.42070000000000002</v>
      </c>
      <c r="M11" s="55">
        <v>0.9</v>
      </c>
      <c r="N11" s="54">
        <v>-0.16</v>
      </c>
      <c r="O11" s="62">
        <v>0.96</v>
      </c>
    </row>
    <row r="12" spans="3:15" ht="20.399999999999999" x14ac:dyDescent="0.2">
      <c r="C12" s="64" t="s">
        <v>31</v>
      </c>
      <c r="D12" s="68">
        <v>0.40100000000000002</v>
      </c>
      <c r="E12" s="53">
        <v>0.24199999999999999</v>
      </c>
      <c r="F12" s="53">
        <v>0.21299999999999999</v>
      </c>
      <c r="G12" s="54">
        <v>0.12690000000000001</v>
      </c>
      <c r="H12" s="54">
        <v>0.15010000000000001</v>
      </c>
      <c r="I12" s="54">
        <v>7.0800000000000002E-2</v>
      </c>
      <c r="J12" s="54">
        <v>8.2699999999999996E-2</v>
      </c>
      <c r="K12" s="54">
        <v>-4.1999999999999997E-3</v>
      </c>
      <c r="L12" s="54">
        <v>0.50170000000000003</v>
      </c>
      <c r="M12" s="55">
        <v>2.4</v>
      </c>
      <c r="N12" s="54">
        <v>7.0000000000000007E-2</v>
      </c>
      <c r="O12" s="62">
        <v>0.83</v>
      </c>
    </row>
    <row r="13" spans="3:15" ht="20.399999999999999" x14ac:dyDescent="0.2">
      <c r="C13" s="64" t="s">
        <v>32</v>
      </c>
      <c r="D13" s="68">
        <v>0.502</v>
      </c>
      <c r="E13" s="53">
        <v>0.39300000000000002</v>
      </c>
      <c r="F13" s="53">
        <v>0.35199999999999998</v>
      </c>
      <c r="G13" s="54">
        <v>0.21560000000000001</v>
      </c>
      <c r="H13" s="54">
        <v>0.44</v>
      </c>
      <c r="I13" s="54">
        <v>1.4883</v>
      </c>
      <c r="J13" s="54">
        <v>2.0093999999999999</v>
      </c>
      <c r="K13" s="54">
        <v>1.7573000000000001</v>
      </c>
      <c r="L13" s="54">
        <v>0.33300000000000002</v>
      </c>
      <c r="M13" s="55">
        <v>0.7</v>
      </c>
      <c r="N13" s="54">
        <v>-0.26169999999999999</v>
      </c>
      <c r="O13" s="62">
        <v>0.41</v>
      </c>
    </row>
    <row r="14" spans="3:15" ht="30.6" x14ac:dyDescent="0.2">
      <c r="C14" s="64" t="s">
        <v>33</v>
      </c>
      <c r="D14" s="69" t="s">
        <v>26</v>
      </c>
      <c r="E14" s="56" t="s">
        <v>26</v>
      </c>
      <c r="F14" s="56" t="s">
        <v>26</v>
      </c>
      <c r="G14" s="56" t="s">
        <v>26</v>
      </c>
      <c r="H14" s="56" t="s">
        <v>26</v>
      </c>
      <c r="I14" s="56" t="s">
        <v>26</v>
      </c>
      <c r="J14" s="56" t="s">
        <v>26</v>
      </c>
      <c r="K14" s="56" t="s">
        <v>26</v>
      </c>
      <c r="L14" s="54">
        <v>0.51259999999999994</v>
      </c>
      <c r="M14" s="56" t="s">
        <v>74</v>
      </c>
      <c r="N14" s="56" t="s">
        <v>26</v>
      </c>
      <c r="O14" s="62">
        <v>3.91</v>
      </c>
    </row>
    <row r="15" spans="3:15" ht="30.6" x14ac:dyDescent="0.2">
      <c r="C15" s="64" t="s">
        <v>34</v>
      </c>
      <c r="D15" s="68">
        <v>0.433</v>
      </c>
      <c r="E15" s="53">
        <v>0.432</v>
      </c>
      <c r="F15" s="53">
        <v>0.36099999999999999</v>
      </c>
      <c r="G15" s="54">
        <v>0.26569999999999999</v>
      </c>
      <c r="H15" s="54">
        <v>0.76670000000000005</v>
      </c>
      <c r="I15" s="54">
        <v>2.2593999999999999</v>
      </c>
      <c r="J15" s="54">
        <v>3.1573000000000002</v>
      </c>
      <c r="K15" s="54">
        <v>-0.48780000000000001</v>
      </c>
      <c r="L15" s="54">
        <v>0.1181</v>
      </c>
      <c r="M15" s="55">
        <v>0.4</v>
      </c>
      <c r="N15" s="54">
        <v>-0.33050000000000002</v>
      </c>
      <c r="O15" s="62">
        <v>1.01</v>
      </c>
    </row>
    <row r="16" spans="3:15" ht="40.799999999999997" x14ac:dyDescent="0.2">
      <c r="C16" s="64" t="s">
        <v>35</v>
      </c>
      <c r="D16" s="68">
        <v>0.53600000000000003</v>
      </c>
      <c r="E16" s="53">
        <v>0.54300000000000004</v>
      </c>
      <c r="F16" s="53">
        <v>0.52100000000000002</v>
      </c>
      <c r="G16" s="54">
        <v>0.36470000000000002</v>
      </c>
      <c r="H16" s="54">
        <v>2.7418999999999998</v>
      </c>
      <c r="I16" s="54">
        <v>4.1174999999999997</v>
      </c>
      <c r="J16" s="54">
        <v>4.9852999999999996</v>
      </c>
      <c r="K16" s="54">
        <v>5.6722999999999999</v>
      </c>
      <c r="L16" s="54">
        <v>0.37659999999999999</v>
      </c>
      <c r="M16" s="55">
        <v>0.5</v>
      </c>
      <c r="N16" s="54">
        <v>-0.12670000000000001</v>
      </c>
      <c r="O16" s="62">
        <v>0.98</v>
      </c>
    </row>
    <row r="17" spans="3:15" ht="21" thickBot="1" x14ac:dyDescent="0.25">
      <c r="C17" s="65" t="s">
        <v>36</v>
      </c>
      <c r="D17" s="70">
        <v>0.41699999999999998</v>
      </c>
      <c r="E17" s="58">
        <v>0.311</v>
      </c>
      <c r="F17" s="58">
        <v>0.26600000000000001</v>
      </c>
      <c r="G17" s="59">
        <v>0.20699999999999999</v>
      </c>
      <c r="H17" s="59">
        <v>0.37790000000000001</v>
      </c>
      <c r="I17" s="59">
        <v>0.77400000000000002</v>
      </c>
      <c r="J17" s="59">
        <v>1.0305</v>
      </c>
      <c r="K17" s="59">
        <v>1.4294</v>
      </c>
      <c r="L17" s="59">
        <v>0.31559999999999999</v>
      </c>
      <c r="M17" s="60">
        <v>1</v>
      </c>
      <c r="N17" s="61" t="s">
        <v>26</v>
      </c>
      <c r="O17" s="63">
        <v>0.89</v>
      </c>
    </row>
    <row r="27" spans="3:15" ht="10.8" thickBot="1" x14ac:dyDescent="0.25"/>
    <row r="28" spans="3:15" ht="10.8" thickBot="1" x14ac:dyDescent="0.25">
      <c r="C28" s="51" t="s">
        <v>188</v>
      </c>
      <c r="D28" s="49">
        <f>AVERAGE(D29:O29)</f>
        <v>0.45909090909090916</v>
      </c>
    </row>
    <row r="29" spans="3:15" ht="10.8" thickBot="1" x14ac:dyDescent="0.25">
      <c r="C29" s="52" t="s">
        <v>189</v>
      </c>
      <c r="D29" s="50">
        <f>IFERROR(INDEX(C31:C51,MATCH(D17,D31:D51)),"NA")</f>
        <v>0.55000000000000004</v>
      </c>
      <c r="E29" s="47">
        <f>IFERROR(INDEX(C31:C51,MATCH(E17,E31:E51)),"NA")</f>
        <v>0.35</v>
      </c>
      <c r="F29" s="47">
        <f>IFERROR(INDEX(C31:C51,MATCH(F17,F31:F51)),"NA")</f>
        <v>0.4</v>
      </c>
      <c r="G29" s="47">
        <f>IFERROR(INDEX(C31:C51,MATCH(G17,G31:G51)),"NA")</f>
        <v>0.55000000000000004</v>
      </c>
      <c r="H29" s="47">
        <f>IFERROR(INDEX(C31:C51,MATCH(H17,H31:H51)),"NA")</f>
        <v>0.3</v>
      </c>
      <c r="I29" s="47">
        <f>IFERROR(INDEX(C31:C51,MATCH(I17,I31:I51)),"NA")</f>
        <v>0.5</v>
      </c>
      <c r="J29" s="47">
        <f>IFERROR(INDEX(C31:C51,MATCH(J17,J31:J51)),"NA")</f>
        <v>0.5</v>
      </c>
      <c r="K29" s="47">
        <f>IFERROR(INDEX(C31:C51,MATCH(K17,K31:K51)),"NA")</f>
        <v>0.65</v>
      </c>
      <c r="L29" s="47">
        <f>IFERROR(INDEX(C31:C51,MATCH(L17,L31:L51)),"NA")</f>
        <v>0.4</v>
      </c>
      <c r="M29" s="47">
        <f>IFERROR((1-INDEX(C31:C51,MATCH(M17,M31:M51))),"NA")</f>
        <v>0.19999999999999996</v>
      </c>
      <c r="N29" s="47" t="str">
        <f>IFERROR(INDEX(C31:C51,MATCH(N17,N31:N51)),"NA")</f>
        <v>NA</v>
      </c>
      <c r="O29" s="48">
        <f>IFERROR((1-INDEX(C31:C51,MATCH(O17,O31:O51))),"NA")</f>
        <v>0.65</v>
      </c>
    </row>
    <row r="30" spans="3:15" ht="10.8" thickBot="1" x14ac:dyDescent="0.25">
      <c r="C30" s="43" t="s">
        <v>190</v>
      </c>
    </row>
    <row r="31" spans="3:15" x14ac:dyDescent="0.2">
      <c r="C31" s="45">
        <v>0</v>
      </c>
      <c r="D31" s="77">
        <f>PERCENTILE(D7:D16,C31)</f>
        <v>0.25700000000000001</v>
      </c>
      <c r="E31" s="77">
        <f>PERCENTILE(E7:E16,C31)</f>
        <v>0.16500000000000001</v>
      </c>
      <c r="F31" s="77">
        <f>PERCENTILE(F7:F16,C31)</f>
        <v>0.12</v>
      </c>
      <c r="G31" s="77">
        <f>PERCENTILE(G7:G16,C31)</f>
        <v>6.5699999999999995E-2</v>
      </c>
      <c r="H31" s="77">
        <f>PERCENTILE(H7:H16,C31)</f>
        <v>0.115</v>
      </c>
      <c r="I31" s="77">
        <f>PERCENTILE(I7:I16,C31)</f>
        <v>-0.14360000000000001</v>
      </c>
      <c r="J31" s="77">
        <f>PERCENTILE(J7:J16,C31)</f>
        <v>-0.20380000000000001</v>
      </c>
      <c r="K31" s="77">
        <f>PERCENTILE(K7:K16,C31)</f>
        <v>-0.48780000000000001</v>
      </c>
      <c r="L31" s="77">
        <f>PERCENTILE(L7:L16,C31)</f>
        <v>6.4399999999999999E-2</v>
      </c>
      <c r="M31" s="80">
        <f>PERCENTILE(M7:M16,C31)</f>
        <v>0.4</v>
      </c>
      <c r="N31" s="77">
        <f>PERCENTILE(N7:N16,C31)</f>
        <v>-0.33050000000000002</v>
      </c>
      <c r="O31" s="83">
        <f>PERCENTILE(O7:O16,C31)</f>
        <v>0.41</v>
      </c>
    </row>
    <row r="32" spans="3:15" x14ac:dyDescent="0.2">
      <c r="C32" s="44">
        <v>0.05</v>
      </c>
      <c r="D32" s="78">
        <f>PERCENTILE(D7:D16,C32)</f>
        <v>0.27500000000000002</v>
      </c>
      <c r="E32" s="78">
        <f>PERCENTILE(E7:E16,C32)</f>
        <v>0.17499999999999999</v>
      </c>
      <c r="F32" s="78">
        <f>PERCENTILE(F7:F16,C32)</f>
        <v>0.1236</v>
      </c>
      <c r="G32" s="78">
        <f>PERCENTILE(G7:G16,C32)</f>
        <v>7.4380000000000002E-2</v>
      </c>
      <c r="H32" s="78">
        <f>PERCENTILE(H7:H16,C32)</f>
        <v>0.12584000000000001</v>
      </c>
      <c r="I32" s="78">
        <f>PERCENTILE(I7:I16,C32)</f>
        <v>-5.7840000000000016E-2</v>
      </c>
      <c r="J32" s="78">
        <f>PERCENTILE(J7:J16,C32)</f>
        <v>-8.9200000000000043E-2</v>
      </c>
      <c r="K32" s="78">
        <f>PERCENTILE(K7:K16,C32)</f>
        <v>-0.43184</v>
      </c>
      <c r="L32" s="78">
        <f>PERCENTILE(L7:L16,C32)</f>
        <v>8.8564999999999991E-2</v>
      </c>
      <c r="M32" s="81">
        <f>PERCENTILE(M7:M16,C32)</f>
        <v>0.44</v>
      </c>
      <c r="N32" s="78">
        <f>PERCENTILE(N7:N16,C32)</f>
        <v>-0.30642000000000003</v>
      </c>
      <c r="O32" s="84">
        <f>PERCENTILE(O7:O16,C32)</f>
        <v>0.41899999999999998</v>
      </c>
    </row>
    <row r="33" spans="3:15" x14ac:dyDescent="0.2">
      <c r="C33" s="44">
        <v>0.1</v>
      </c>
      <c r="D33" s="78">
        <f>PERCENTILE(D7:D16,C33)</f>
        <v>0.29299999999999998</v>
      </c>
      <c r="E33" s="78">
        <f>PERCENTILE(E7:E16,C33)</f>
        <v>0.185</v>
      </c>
      <c r="F33" s="78">
        <f>PERCENTILE(F7:F16,C33)</f>
        <v>0.12720000000000001</v>
      </c>
      <c r="G33" s="78">
        <f>PERCENTILE(G7:G16,C33)</f>
        <v>8.3060000000000009E-2</v>
      </c>
      <c r="H33" s="78">
        <f>PERCENTILE(H7:H16,C33)</f>
        <v>0.13668</v>
      </c>
      <c r="I33" s="78">
        <f>PERCENTILE(I7:I16,C33)</f>
        <v>2.792E-2</v>
      </c>
      <c r="J33" s="78">
        <f>PERCENTILE(J7:J16,C33)</f>
        <v>2.5399999999999978E-2</v>
      </c>
      <c r="K33" s="78">
        <f>PERCENTILE(K7:K16,C33)</f>
        <v>-0.37587999999999999</v>
      </c>
      <c r="L33" s="78">
        <f>PERCENTILE(L7:L16,C33)</f>
        <v>0.11273</v>
      </c>
      <c r="M33" s="81">
        <f>PERCENTILE(M7:M16,C33)</f>
        <v>0.48</v>
      </c>
      <c r="N33" s="78">
        <f>PERCENTILE(N7:N16,C33)</f>
        <v>-0.28233999999999998</v>
      </c>
      <c r="O33" s="84">
        <f>PERCENTILE(O7:O16,C33)</f>
        <v>0.42799999999999999</v>
      </c>
    </row>
    <row r="34" spans="3:15" x14ac:dyDescent="0.2">
      <c r="C34" s="44">
        <v>0.15</v>
      </c>
      <c r="D34" s="78">
        <f>PERCENTILE(D7:D16,C34)</f>
        <v>0.311</v>
      </c>
      <c r="E34" s="78">
        <f>PERCENTILE(E7:E16,C34)</f>
        <v>0.20040000000000002</v>
      </c>
      <c r="F34" s="78">
        <f>PERCENTILE(F7:F16,C34)</f>
        <v>0.14580000000000001</v>
      </c>
      <c r="G34" s="78">
        <f>PERCENTILE(G7:G16,C34)</f>
        <v>9.530000000000001E-2</v>
      </c>
      <c r="H34" s="78">
        <f>PERCENTILE(H7:H16,C34)</f>
        <v>0.14369999999999999</v>
      </c>
      <c r="I34" s="78">
        <f>PERCENTILE(I7:I16,C34)</f>
        <v>7.6240000000000002E-2</v>
      </c>
      <c r="J34" s="78">
        <f>PERCENTILE(J7:J16,C34)</f>
        <v>9.7360000000000002E-2</v>
      </c>
      <c r="K34" s="78">
        <f>PERCENTILE(K7:K16,C34)</f>
        <v>-0.27915999999999991</v>
      </c>
      <c r="L34" s="78">
        <f>PERCENTILE(L7:L16,C34)</f>
        <v>0.16006499999999996</v>
      </c>
      <c r="M34" s="81">
        <f>PERCENTILE(M7:M16,C34)</f>
        <v>0.5</v>
      </c>
      <c r="N34" s="78">
        <f>PERCENTILE(N7:N16,C34)</f>
        <v>-0.25661499999999998</v>
      </c>
      <c r="O34" s="84">
        <f>PERCENTILE(O7:O16,C34)</f>
        <v>0.55249999999999988</v>
      </c>
    </row>
    <row r="35" spans="3:15" x14ac:dyDescent="0.2">
      <c r="C35" s="44">
        <v>0.2</v>
      </c>
      <c r="D35" s="78">
        <f>PERCENTILE(D7:D16,C35)</f>
        <v>0.32899999999999996</v>
      </c>
      <c r="E35" s="78">
        <f>PERCENTILE(E7:E16,C35)</f>
        <v>0.22120000000000001</v>
      </c>
      <c r="F35" s="78">
        <f>PERCENTILE(F7:F16,C35)</f>
        <v>0.1794</v>
      </c>
      <c r="G35" s="78">
        <f>PERCENTILE(G7:G16,C35)</f>
        <v>0.11110000000000002</v>
      </c>
      <c r="H35" s="78">
        <f>PERCENTILE(H7:H16,C35)</f>
        <v>0.1469</v>
      </c>
      <c r="I35" s="78">
        <f>PERCENTILE(I7:I16,C35)</f>
        <v>8.7120000000000003E-2</v>
      </c>
      <c r="J35" s="78">
        <f>PERCENTILE(J7:J16,C35)</f>
        <v>0.12668000000000001</v>
      </c>
      <c r="K35" s="78">
        <f>PERCENTILE(K7:K16,C35)</f>
        <v>-0.14167999999999994</v>
      </c>
      <c r="L35" s="78">
        <f>PERCENTILE(L7:L16,C35)</f>
        <v>0.21401999999999999</v>
      </c>
      <c r="M35" s="81">
        <f>PERCENTILE(M7:M16,C35)</f>
        <v>0.5</v>
      </c>
      <c r="N35" s="78">
        <f>PERCENTILE(N7:N16,C35)</f>
        <v>-0.22101999999999997</v>
      </c>
      <c r="O35" s="84">
        <f>PERCENTILE(O7:O16,C35)</f>
        <v>0.71</v>
      </c>
    </row>
    <row r="36" spans="3:15" x14ac:dyDescent="0.2">
      <c r="C36" s="44">
        <v>0.25</v>
      </c>
      <c r="D36" s="78">
        <f>PERCENTILE(D7:D16,C36)</f>
        <v>0.34699999999999998</v>
      </c>
      <c r="E36" s="78">
        <f>PERCENTILE(E7:E16,C36)</f>
        <v>0.24199999999999999</v>
      </c>
      <c r="F36" s="78">
        <f>PERCENTILE(F7:F16,C36)</f>
        <v>0.21299999999999999</v>
      </c>
      <c r="G36" s="78">
        <f>PERCENTILE(G7:G16,C36)</f>
        <v>0.12690000000000001</v>
      </c>
      <c r="H36" s="78">
        <f>PERCENTILE(H7:H16,C36)</f>
        <v>0.15010000000000001</v>
      </c>
      <c r="I36" s="78">
        <f>PERCENTILE(I7:I16,C36)</f>
        <v>9.8000000000000004E-2</v>
      </c>
      <c r="J36" s="78">
        <f>PERCENTILE(J7:J16,C36)</f>
        <v>0.156</v>
      </c>
      <c r="K36" s="78">
        <f>PERCENTILE(K7:K16,C36)</f>
        <v>-4.1999999999999997E-3</v>
      </c>
      <c r="L36" s="78">
        <f>PERCENTILE(L7:L16,C36)</f>
        <v>0.25127500000000003</v>
      </c>
      <c r="M36" s="81">
        <f>PERCENTILE(M7:M16,C36)</f>
        <v>0.5</v>
      </c>
      <c r="N36" s="78">
        <f>PERCENTILE(N7:N16,C36)</f>
        <v>-0.18542500000000001</v>
      </c>
      <c r="O36" s="84">
        <f>PERCENTILE(O7:O16,C36)</f>
        <v>0.79249999999999998</v>
      </c>
    </row>
    <row r="37" spans="3:15" x14ac:dyDescent="0.2">
      <c r="C37" s="44">
        <v>0.3</v>
      </c>
      <c r="D37" s="78">
        <f>PERCENTILE(D7:D16,C37)</f>
        <v>0.36859999999999998</v>
      </c>
      <c r="E37" s="78">
        <f>PERCENTILE(E7:E16,C37)</f>
        <v>0.26800000000000002</v>
      </c>
      <c r="F37" s="78">
        <f>PERCENTILE(F7:F16,C37)</f>
        <v>0.22899999999999998</v>
      </c>
      <c r="G37" s="78">
        <f>PERCENTILE(G7:G16,C37)</f>
        <v>0.12710000000000002</v>
      </c>
      <c r="H37" s="78">
        <f>PERCENTILE(H7:H16,C37)</f>
        <v>0.26605999999999996</v>
      </c>
      <c r="I37" s="78">
        <f>PERCENTILE(I7:I16,C37)</f>
        <v>0.24587999999999999</v>
      </c>
      <c r="J37" s="78">
        <f>PERCENTILE(J7:J16,C37)</f>
        <v>0.3440399999999999</v>
      </c>
      <c r="K37" s="78">
        <f>PERCENTILE(K7:K16,C37)</f>
        <v>0.15891999999999995</v>
      </c>
      <c r="L37" s="78">
        <f>PERCENTILE(L7:L16,C37)</f>
        <v>0.27517000000000003</v>
      </c>
      <c r="M37" s="81">
        <f>PERCENTILE(M7:M16,C37)</f>
        <v>0.5</v>
      </c>
      <c r="N37" s="78">
        <f>PERCENTILE(N7:N16,C37)</f>
        <v>-0.15667</v>
      </c>
      <c r="O37" s="84">
        <f>PERCENTILE(O7:O16,C37)</f>
        <v>0.81499999999999995</v>
      </c>
    </row>
    <row r="38" spans="3:15" x14ac:dyDescent="0.2">
      <c r="C38" s="44">
        <v>0.35</v>
      </c>
      <c r="D38" s="78">
        <f>PERCENTILE(D7:D16,C38)</f>
        <v>0.39019999999999999</v>
      </c>
      <c r="E38" s="78">
        <f>PERCENTILE(E7:E16,C38)</f>
        <v>0.29399999999999998</v>
      </c>
      <c r="F38" s="78">
        <f>PERCENTILE(F7:F16,C38)</f>
        <v>0.245</v>
      </c>
      <c r="G38" s="78">
        <f>PERCENTILE(G7:G16,C38)</f>
        <v>0.12730000000000002</v>
      </c>
      <c r="H38" s="78">
        <f>PERCENTILE(H7:H16,C38)</f>
        <v>0.38201999999999992</v>
      </c>
      <c r="I38" s="78">
        <f>PERCENTILE(I7:I16,C38)</f>
        <v>0.39376</v>
      </c>
      <c r="J38" s="78">
        <f>PERCENTILE(J7:J16,C38)</f>
        <v>0.53207999999999989</v>
      </c>
      <c r="K38" s="78">
        <f>PERCENTILE(K7:K16,C38)</f>
        <v>0.32203999999999994</v>
      </c>
      <c r="L38" s="78">
        <f>PERCENTILE(L7:L16,C38)</f>
        <v>0.29621500000000001</v>
      </c>
      <c r="M38" s="81">
        <f>PERCENTILE(M7:M16,C38)</f>
        <v>0.5</v>
      </c>
      <c r="N38" s="78">
        <f>PERCENTILE(N7:N16,C38)</f>
        <v>-0.14501500000000001</v>
      </c>
      <c r="O38" s="84">
        <f>PERCENTILE(O7:O16,C38)</f>
        <v>0.84950000000000003</v>
      </c>
    </row>
    <row r="39" spans="3:15" x14ac:dyDescent="0.2">
      <c r="C39" s="44">
        <v>0.4</v>
      </c>
      <c r="D39" s="78">
        <f>PERCENTILE(D7:D16,C39)</f>
        <v>0.40140000000000003</v>
      </c>
      <c r="E39" s="78">
        <f>PERCENTILE(E7:E16,C39)</f>
        <v>0.31819999999999998</v>
      </c>
      <c r="F39" s="78">
        <f>PERCENTILE(F7:F16,C39)</f>
        <v>0.26400000000000001</v>
      </c>
      <c r="G39" s="78">
        <f>PERCENTILE(G7:G16,C39)</f>
        <v>0.13938000000000003</v>
      </c>
      <c r="H39" s="78">
        <f>PERCENTILE(H7:H16,C39)</f>
        <v>0.45944000000000002</v>
      </c>
      <c r="I39" s="78">
        <f>PERCENTILE(I7:I16,C39)</f>
        <v>0.50494000000000006</v>
      </c>
      <c r="J39" s="78">
        <f>PERCENTILE(J7:J16,C39)</f>
        <v>0.66034000000000004</v>
      </c>
      <c r="K39" s="78">
        <f>PERCENTILE(K7:K16,C39)</f>
        <v>0.55668000000000017</v>
      </c>
      <c r="L39" s="78">
        <f>PERCENTILE(L7:L16,C39)</f>
        <v>0.31156</v>
      </c>
      <c r="M39" s="81">
        <f>PERCENTILE(M7:M16,C39)</f>
        <v>0.52</v>
      </c>
      <c r="N39" s="78">
        <f>PERCENTILE(N7:N16,C39)</f>
        <v>-0.13336000000000001</v>
      </c>
      <c r="O39" s="84">
        <f>PERCENTILE(O7:O16,C39)</f>
        <v>0.90799999999999992</v>
      </c>
    </row>
    <row r="40" spans="3:15" x14ac:dyDescent="0.2">
      <c r="C40" s="44">
        <v>0.45</v>
      </c>
      <c r="D40" s="78">
        <f>PERCENTILE(D7:D16,C40)</f>
        <v>0.4022</v>
      </c>
      <c r="E40" s="78">
        <f>PERCENTILE(E7:E16,C40)</f>
        <v>0.34059999999999996</v>
      </c>
      <c r="F40" s="78">
        <f>PERCENTILE(F7:F16,C40)</f>
        <v>0.28599999999999998</v>
      </c>
      <c r="G40" s="78">
        <f>PERCENTILE(G7:G16,C40)</f>
        <v>0.16333999999999999</v>
      </c>
      <c r="H40" s="78">
        <f>PERCENTILE(H7:H16,C40)</f>
        <v>0.49831999999999999</v>
      </c>
      <c r="I40" s="78">
        <f>PERCENTILE(I7:I16,C40)</f>
        <v>0.57941999999999994</v>
      </c>
      <c r="J40" s="78">
        <f>PERCENTILE(J7:J16,C40)</f>
        <v>0.72881999999999991</v>
      </c>
      <c r="K40" s="78">
        <f>PERCENTILE(K7:K16,C40)</f>
        <v>0.86283999999999983</v>
      </c>
      <c r="L40" s="78">
        <f>PERCENTILE(L7:L16,C40)</f>
        <v>0.32558999999999999</v>
      </c>
      <c r="M40" s="81">
        <f>PERCENTILE(M7:M16,C40)</f>
        <v>0.55999999999999994</v>
      </c>
      <c r="N40" s="78">
        <f>PERCENTILE(N7:N16,C40)</f>
        <v>-9.8694999999999936E-2</v>
      </c>
      <c r="O40" s="84">
        <f>PERCENTILE(O7:O16,C40)</f>
        <v>0.96099999999999997</v>
      </c>
    </row>
    <row r="41" spans="3:15" x14ac:dyDescent="0.2">
      <c r="C41" s="44">
        <v>0.5</v>
      </c>
      <c r="D41" s="78">
        <f>PERCENTILE(D7:D16,C41)</f>
        <v>0.40300000000000002</v>
      </c>
      <c r="E41" s="78">
        <f>PERCENTILE(E7:E16,C41)</f>
        <v>0.36299999999999999</v>
      </c>
      <c r="F41" s="78">
        <f>PERCENTILE(F7:F16,C41)</f>
        <v>0.308</v>
      </c>
      <c r="G41" s="78">
        <f>PERCENTILE(G7:G16,C41)</f>
        <v>0.18729999999999999</v>
      </c>
      <c r="H41" s="78">
        <f>PERCENTILE(H7:H16,C41)</f>
        <v>0.53720000000000001</v>
      </c>
      <c r="I41" s="78">
        <f>PERCENTILE(I7:I16,C41)</f>
        <v>0.65390000000000004</v>
      </c>
      <c r="J41" s="78">
        <f>PERCENTILE(J7:J16,C41)</f>
        <v>0.79730000000000001</v>
      </c>
      <c r="K41" s="78">
        <f>PERCENTILE(K7:K16,C41)</f>
        <v>1.169</v>
      </c>
      <c r="L41" s="78">
        <f>PERCENTILE(L7:L16,C41)</f>
        <v>0.3291</v>
      </c>
      <c r="M41" s="81">
        <f>PERCENTILE(M7:M16,C41)</f>
        <v>0.6</v>
      </c>
      <c r="N41" s="78">
        <f>PERCENTILE(N7:N16,C41)</f>
        <v>-3.3350000000000005E-2</v>
      </c>
      <c r="O41" s="84">
        <f>PERCENTILE(O7:O16,C41)</f>
        <v>0.97</v>
      </c>
    </row>
    <row r="42" spans="3:15" x14ac:dyDescent="0.2">
      <c r="C42" s="44">
        <v>0.55000000000000004</v>
      </c>
      <c r="D42" s="78">
        <f>PERCENTILE(D7:D16,C42)</f>
        <v>0.41500000000000004</v>
      </c>
      <c r="E42" s="78">
        <f>PERCENTILE(E7:E16,C42)</f>
        <v>0.375</v>
      </c>
      <c r="F42" s="78">
        <f>PERCENTILE(F7:F16,C42)</f>
        <v>0.3256</v>
      </c>
      <c r="G42" s="78">
        <f>PERCENTILE(G7:G16,C42)</f>
        <v>0.19862000000000002</v>
      </c>
      <c r="H42" s="78">
        <f>PERCENTILE(H7:H16,C42)</f>
        <v>0.54139999999999999</v>
      </c>
      <c r="I42" s="78">
        <f>PERCENTILE(I7:I16,C42)</f>
        <v>0.82950000000000013</v>
      </c>
      <c r="J42" s="78">
        <f>PERCENTILE(J7:J16,C42)</f>
        <v>1.1005800000000003</v>
      </c>
      <c r="K42" s="78">
        <f>PERCENTILE(K7:K16,C42)</f>
        <v>1.18028</v>
      </c>
      <c r="L42" s="78">
        <f>PERCENTILE(L7:L16,C42)</f>
        <v>0.33261000000000002</v>
      </c>
      <c r="M42" s="81">
        <f>PERCENTILE(M7:M16,C42)</f>
        <v>0.64</v>
      </c>
      <c r="N42" s="78">
        <f>PERCENTILE(N7:N16,C42)</f>
        <v>3.1995000000000107E-2</v>
      </c>
      <c r="O42" s="84">
        <f>PERCENTILE(O7:O16,C42)</f>
        <v>0.97899999999999998</v>
      </c>
    </row>
    <row r="43" spans="3:15" x14ac:dyDescent="0.2">
      <c r="C43" s="44">
        <v>0.6</v>
      </c>
      <c r="D43" s="78">
        <f>PERCENTILE(D7:D16,C43)</f>
        <v>0.42699999999999999</v>
      </c>
      <c r="E43" s="78">
        <f>PERCENTILE(E7:E16,C43)</f>
        <v>0.38700000000000001</v>
      </c>
      <c r="F43" s="78">
        <f>PERCENTILE(F7:F16,C43)</f>
        <v>0.34319999999999995</v>
      </c>
      <c r="G43" s="78">
        <f>PERCENTILE(G7:G16,C43)</f>
        <v>0.20994000000000002</v>
      </c>
      <c r="H43" s="78">
        <f>PERCENTILE(H7:H16,C43)</f>
        <v>0.54559999999999997</v>
      </c>
      <c r="I43" s="78">
        <f>PERCENTILE(I7:I16,C43)</f>
        <v>1.0050999999999999</v>
      </c>
      <c r="J43" s="78">
        <f>PERCENTILE(J7:J16,C43)</f>
        <v>1.4038599999999999</v>
      </c>
      <c r="K43" s="78">
        <f>PERCENTILE(K7:K16,C43)</f>
        <v>1.19156</v>
      </c>
      <c r="L43" s="78">
        <f>PERCENTILE(L7:L16,C43)</f>
        <v>0.35043999999999997</v>
      </c>
      <c r="M43" s="81">
        <f>PERCENTILE(M7:M16,C43)</f>
        <v>0.67999999999999994</v>
      </c>
      <c r="N43" s="78">
        <f>PERCENTILE(N7:N16,C43)</f>
        <v>6.2E-2</v>
      </c>
      <c r="O43" s="84">
        <f>PERCENTILE(O7:O16,C43)</f>
        <v>0.98799999999999999</v>
      </c>
    </row>
    <row r="44" spans="3:15" x14ac:dyDescent="0.2">
      <c r="C44" s="44">
        <v>0.65</v>
      </c>
      <c r="D44" s="78">
        <f>PERCENTILE(D7:D16,C44)</f>
        <v>0.44680000000000003</v>
      </c>
      <c r="E44" s="78">
        <f>PERCENTILE(E7:E16,C44)</f>
        <v>0.40080000000000005</v>
      </c>
      <c r="F44" s="78">
        <f>PERCENTILE(F7:F16,C44)</f>
        <v>0.3538</v>
      </c>
      <c r="G44" s="78">
        <f>PERCENTILE(G7:G16,C44)</f>
        <v>0.22562000000000001</v>
      </c>
      <c r="H44" s="78">
        <f>PERCENTILE(H7:H16,C44)</f>
        <v>0.58033999999999997</v>
      </c>
      <c r="I44" s="78">
        <f>PERCENTILE(I7:I16,C44)</f>
        <v>1.17198</v>
      </c>
      <c r="J44" s="78">
        <f>PERCENTILE(J7:J16,C44)</f>
        <v>1.6462800000000002</v>
      </c>
      <c r="K44" s="78">
        <f>PERCENTILE(K7:K16,C44)</f>
        <v>1.3092200000000001</v>
      </c>
      <c r="L44" s="78">
        <f>PERCENTILE(L7:L16,C44)</f>
        <v>0.37006</v>
      </c>
      <c r="M44" s="81">
        <f>PERCENTILE(M7:M16,C44)</f>
        <v>0.74</v>
      </c>
      <c r="N44" s="78">
        <f>PERCENTILE(N7:N16,C44)</f>
        <v>6.5500000000000003E-2</v>
      </c>
      <c r="O44" s="84">
        <f>PERCENTILE(O7:O16,C44)</f>
        <v>0.997</v>
      </c>
    </row>
    <row r="45" spans="3:15" x14ac:dyDescent="0.2">
      <c r="C45" s="44">
        <v>0.7</v>
      </c>
      <c r="D45" s="78">
        <f>PERCENTILE(D7:D16,C45)</f>
        <v>0.47439999999999999</v>
      </c>
      <c r="E45" s="78">
        <f>PERCENTILE(E7:E16,C45)</f>
        <v>0.41639999999999999</v>
      </c>
      <c r="F45" s="78">
        <f>PERCENTILE(F7:F16,C45)</f>
        <v>0.3574</v>
      </c>
      <c r="G45" s="78">
        <f>PERCENTILE(G7:G16,C45)</f>
        <v>0.24565999999999999</v>
      </c>
      <c r="H45" s="78">
        <f>PERCENTILE(H7:H16,C45)</f>
        <v>0.64561999999999986</v>
      </c>
      <c r="I45" s="78">
        <f>PERCENTILE(I7:I16,C45)</f>
        <v>1.3301399999999999</v>
      </c>
      <c r="J45" s="78">
        <f>PERCENTILE(J7:J16,C45)</f>
        <v>1.8278399999999997</v>
      </c>
      <c r="K45" s="78">
        <f>PERCENTILE(K7:K16,C45)</f>
        <v>1.5332599999999998</v>
      </c>
      <c r="L45" s="78">
        <f>PERCENTILE(L7:L16,C45)</f>
        <v>0.38983000000000001</v>
      </c>
      <c r="M45" s="81">
        <f>PERCENTILE(M7:M16,C45)</f>
        <v>0.82</v>
      </c>
      <c r="N45" s="78">
        <f>PERCENTILE(N7:N16,C45)</f>
        <v>6.9000000000000006E-2</v>
      </c>
      <c r="O45" s="84">
        <f>PERCENTILE(O7:O16,C45)</f>
        <v>1.0029999999999999</v>
      </c>
    </row>
    <row r="46" spans="3:15" x14ac:dyDescent="0.2">
      <c r="C46" s="44">
        <v>0.75</v>
      </c>
      <c r="D46" s="78">
        <f>PERCENTILE(D7:D16,C46)</f>
        <v>0.502</v>
      </c>
      <c r="E46" s="78">
        <f>PERCENTILE(E7:E16,C46)</f>
        <v>0.432</v>
      </c>
      <c r="F46" s="78">
        <f>PERCENTILE(F7:F16,C46)</f>
        <v>0.36099999999999999</v>
      </c>
      <c r="G46" s="78">
        <f>PERCENTILE(G7:G16,C46)</f>
        <v>0.26569999999999999</v>
      </c>
      <c r="H46" s="78">
        <f>PERCENTILE(H7:H16,C46)</f>
        <v>0.71089999999999998</v>
      </c>
      <c r="I46" s="78">
        <f>PERCENTILE(I7:I16,C46)</f>
        <v>1.4883</v>
      </c>
      <c r="J46" s="78">
        <f>PERCENTILE(J7:J16,C46)</f>
        <v>2.0093999999999999</v>
      </c>
      <c r="K46" s="78">
        <f>PERCENTILE(K7:K16,C46)</f>
        <v>1.7573000000000001</v>
      </c>
      <c r="L46" s="78">
        <f>PERCENTILE(L7:L16,C46)</f>
        <v>0.40967500000000001</v>
      </c>
      <c r="M46" s="81">
        <f>PERCENTILE(M7:M16,C46)</f>
        <v>0.9</v>
      </c>
      <c r="N46" s="78">
        <f>PERCENTILE(N7:N16,C46)</f>
        <v>9.3900000000000011E-2</v>
      </c>
      <c r="O46" s="84">
        <f>PERCENTILE(O7:O16,C46)</f>
        <v>1.0075000000000001</v>
      </c>
    </row>
    <row r="47" spans="3:15" x14ac:dyDescent="0.2">
      <c r="C47" s="44">
        <v>0.8</v>
      </c>
      <c r="D47" s="78">
        <f>PERCENTILE(D7:D16,C47)</f>
        <v>0.51080000000000003</v>
      </c>
      <c r="E47" s="78">
        <f>PERCENTILE(E7:E16,C47)</f>
        <v>0.47640000000000005</v>
      </c>
      <c r="F47" s="78">
        <f>PERCENTILE(F7:F16,C47)</f>
        <v>0.41580000000000006</v>
      </c>
      <c r="G47" s="78">
        <f>PERCENTILE(G7:G16,C47)</f>
        <v>0.27905999999999997</v>
      </c>
      <c r="H47" s="78">
        <f>PERCENTILE(H7:H16,C47)</f>
        <v>0.73321999999999998</v>
      </c>
      <c r="I47" s="78">
        <f>PERCENTILE(I7:I16,C47)</f>
        <v>1.7967400000000002</v>
      </c>
      <c r="J47" s="78">
        <f>PERCENTILE(J7:J16,C47)</f>
        <v>2.4685600000000005</v>
      </c>
      <c r="K47" s="78">
        <f>PERCENTILE(K7:K16,C47)</f>
        <v>2.1139400000000004</v>
      </c>
      <c r="L47" s="78">
        <f>PERCENTILE(L7:L16,C47)</f>
        <v>0.43689999999999996</v>
      </c>
      <c r="M47" s="81">
        <f>PERCENTILE(M7:M16,C47)</f>
        <v>0.98000000000000009</v>
      </c>
      <c r="N47" s="78">
        <f>PERCENTILE(N7:N16,C47)</f>
        <v>0.12736000000000006</v>
      </c>
      <c r="O47" s="84">
        <f>PERCENTILE(O7:O16,C47)</f>
        <v>1.1079999999999997</v>
      </c>
    </row>
    <row r="48" spans="3:15" x14ac:dyDescent="0.2">
      <c r="C48" s="44">
        <v>0.85</v>
      </c>
      <c r="D48" s="78">
        <f>PERCENTILE(D7:D16,C48)</f>
        <v>0.51960000000000006</v>
      </c>
      <c r="E48" s="78">
        <f>PERCENTILE(E7:E16,C48)</f>
        <v>0.52080000000000004</v>
      </c>
      <c r="F48" s="78">
        <f>PERCENTILE(F7:F16,C48)</f>
        <v>0.47059999999999996</v>
      </c>
      <c r="G48" s="78">
        <f>PERCENTILE(G7:G16,C48)</f>
        <v>0.29241999999999996</v>
      </c>
      <c r="H48" s="78">
        <f>PERCENTILE(H7:H16,C48)</f>
        <v>0.75553999999999999</v>
      </c>
      <c r="I48" s="78">
        <f>PERCENTILE(I7:I16,C48)</f>
        <v>2.1051799999999998</v>
      </c>
      <c r="J48" s="78">
        <f>PERCENTILE(J7:J16,C48)</f>
        <v>2.9277199999999999</v>
      </c>
      <c r="K48" s="78">
        <f>PERCENTILE(K7:K16,C48)</f>
        <v>2.4705799999999996</v>
      </c>
      <c r="L48" s="78">
        <f>PERCENTILE(L7:L16,C48)</f>
        <v>0.47334999999999994</v>
      </c>
      <c r="M48" s="81">
        <f>PERCENTILE(M7:M16,C48)</f>
        <v>1.06</v>
      </c>
      <c r="N48" s="78">
        <f>PERCENTILE(N7:N16,C48)</f>
        <v>0.16082000000000002</v>
      </c>
      <c r="O48" s="84">
        <f>PERCENTILE(O7:O16,C48)</f>
        <v>1.3284999999999993</v>
      </c>
    </row>
    <row r="49" spans="3:15" x14ac:dyDescent="0.2">
      <c r="C49" s="44">
        <v>0.9</v>
      </c>
      <c r="D49" s="78">
        <f>PERCENTILE(D7:D16,C49)</f>
        <v>0.52639999999999998</v>
      </c>
      <c r="E49" s="78">
        <f>PERCENTILE(E7:E16,C49)</f>
        <v>0.54920000000000002</v>
      </c>
      <c r="F49" s="78">
        <f>PERCENTILE(F7:F16,C49)</f>
        <v>0.50259999999999994</v>
      </c>
      <c r="G49" s="78">
        <f>PERCENTILE(G7:G16,C49)</f>
        <v>0.31221999999999994</v>
      </c>
      <c r="H49" s="78">
        <f>PERCENTILE(H7:H16,C49)</f>
        <v>1.1617399999999987</v>
      </c>
      <c r="I49" s="78">
        <f>PERCENTILE(I7:I16,C49)</f>
        <v>2.6310199999999986</v>
      </c>
      <c r="J49" s="78">
        <f>PERCENTILE(J7:J16,C49)</f>
        <v>3.522899999999999</v>
      </c>
      <c r="K49" s="78">
        <f>PERCENTILE(K7:K16,C49)</f>
        <v>3.2535799999999977</v>
      </c>
      <c r="L49" s="78">
        <f>PERCENTILE(L7:L16,C49)</f>
        <v>0.50279000000000007</v>
      </c>
      <c r="M49" s="81">
        <f>PERCENTILE(M7:M16,C49)</f>
        <v>1.3599999999999992</v>
      </c>
      <c r="N49" s="78">
        <f>PERCENTILE(N7:N16,C49)</f>
        <v>0.16563</v>
      </c>
      <c r="O49" s="84">
        <f>PERCENTILE(O7:O16,C49)</f>
        <v>1.7409999999999992</v>
      </c>
    </row>
    <row r="50" spans="3:15" x14ac:dyDescent="0.2">
      <c r="C50" s="44">
        <v>0.95</v>
      </c>
      <c r="D50" s="78">
        <f>PERCENTILE(D7:D16,C50)</f>
        <v>0.53120000000000001</v>
      </c>
      <c r="E50" s="78">
        <f>PERCENTILE(E7:E16,C50)</f>
        <v>0.56159999999999999</v>
      </c>
      <c r="F50" s="78">
        <f>PERCENTILE(F7:F16,C50)</f>
        <v>0.51180000000000003</v>
      </c>
      <c r="G50" s="78">
        <f>PERCENTILE(G7:G16,C50)</f>
        <v>0.33845999999999998</v>
      </c>
      <c r="H50" s="78">
        <f>PERCENTILE(H7:H16,C50)</f>
        <v>1.9518199999999992</v>
      </c>
      <c r="I50" s="78">
        <f>PERCENTILE(I7:I16,C50)</f>
        <v>3.3742599999999991</v>
      </c>
      <c r="J50" s="78">
        <f>PERCENTILE(J7:J16,C50)</f>
        <v>4.2540999999999993</v>
      </c>
      <c r="K50" s="78">
        <f>PERCENTILE(K7:K16,C50)</f>
        <v>4.4629399999999988</v>
      </c>
      <c r="L50" s="78">
        <f>PERCENTILE(L7:L16,C50)</f>
        <v>0.50769500000000001</v>
      </c>
      <c r="M50" s="81">
        <f>PERCENTILE(M7:M16,C50)</f>
        <v>1.8799999999999994</v>
      </c>
      <c r="N50" s="78">
        <f>PERCENTILE(N7:N16,C50)</f>
        <v>0.16566499999999998</v>
      </c>
      <c r="O50" s="84">
        <f>PERCENTILE(O7:O16,C50)</f>
        <v>2.8254999999999972</v>
      </c>
    </row>
    <row r="51" spans="3:15" ht="10.8" thickBot="1" x14ac:dyDescent="0.25">
      <c r="C51" s="46">
        <v>1</v>
      </c>
      <c r="D51" s="79">
        <f>PERCENTILE(D7:D16,C51)</f>
        <v>0.53600000000000003</v>
      </c>
      <c r="E51" s="79">
        <f>PERCENTILE(E7:E16,C51)</f>
        <v>0.57399999999999995</v>
      </c>
      <c r="F51" s="79">
        <f>PERCENTILE(F7:F16,C51)</f>
        <v>0.52100000000000002</v>
      </c>
      <c r="G51" s="79">
        <f>PERCENTILE(G7:G16,C51)</f>
        <v>0.36470000000000002</v>
      </c>
      <c r="H51" s="79">
        <f>PERCENTILE(H7:H16,C51)</f>
        <v>2.7418999999999998</v>
      </c>
      <c r="I51" s="79">
        <f>PERCENTILE(I7:I16,C51)</f>
        <v>4.1174999999999997</v>
      </c>
      <c r="J51" s="79">
        <f>PERCENTILE(J7:J16,C51)</f>
        <v>4.9852999999999996</v>
      </c>
      <c r="K51" s="79">
        <f>PERCENTILE(K7:K16,C51)</f>
        <v>5.6722999999999999</v>
      </c>
      <c r="L51" s="79">
        <f>PERCENTILE(L7:L16,C51)</f>
        <v>0.51259999999999994</v>
      </c>
      <c r="M51" s="82">
        <f>PERCENTILE(M7:M16,C51)</f>
        <v>2.4</v>
      </c>
      <c r="N51" s="79">
        <f>PERCENTILE(N7:N16,C51)</f>
        <v>0.16569999999999999</v>
      </c>
      <c r="O51" s="85">
        <f>PERCENTILE(O7:O16,C51)</f>
        <v>3.91</v>
      </c>
    </row>
  </sheetData>
  <conditionalFormatting sqref="D29:O2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9FAC4-CDE6-4E04-A264-DCFB28809FAE}">
  <sheetPr codeName="Sheet3">
    <outlinePr summaryBelow="0" summaryRight="0"/>
  </sheetPr>
  <dimension ref="A4:IU50"/>
  <sheetViews>
    <sheetView defaultGridColor="0" colorId="0" workbookViewId="0"/>
  </sheetViews>
  <sheetFormatPr defaultRowHeight="10.199999999999999" x14ac:dyDescent="0.2"/>
  <cols>
    <col min="1" max="1" width="47.88671875" customWidth="1"/>
    <col min="2" max="17" width="20.88671875" customWidth="1"/>
  </cols>
  <sheetData>
    <row r="4" spans="1:255" ht="16.2" x14ac:dyDescent="0.25">
      <c r="A4" s="1" t="s">
        <v>0</v>
      </c>
    </row>
    <row r="7" spans="1:255" x14ac:dyDescent="0.2">
      <c r="A7" s="2" t="s">
        <v>1</v>
      </c>
      <c r="B7" s="2"/>
      <c r="C7" s="2"/>
      <c r="D7" s="2"/>
      <c r="E7" s="2"/>
      <c r="F7" s="2"/>
      <c r="G7" s="2"/>
      <c r="H7" s="2"/>
      <c r="I7" s="2"/>
      <c r="J7" s="2"/>
      <c r="K7" s="2"/>
      <c r="L7" s="2"/>
      <c r="M7" s="2"/>
      <c r="N7" s="2"/>
      <c r="O7" s="2"/>
      <c r="P7" s="2"/>
      <c r="Q7" s="2"/>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2</v>
      </c>
      <c r="B8" s="4" t="s">
        <v>3</v>
      </c>
    </row>
    <row r="9" spans="1:255" x14ac:dyDescent="0.2">
      <c r="A9" s="3" t="s">
        <v>4</v>
      </c>
      <c r="B9" s="4" t="s">
        <v>5</v>
      </c>
    </row>
    <row r="10" spans="1:255" x14ac:dyDescent="0.2">
      <c r="A10" s="3" t="s">
        <v>6</v>
      </c>
      <c r="B10" s="5">
        <v>45044</v>
      </c>
    </row>
    <row r="11" spans="1:255" x14ac:dyDescent="0.2">
      <c r="A11" s="6"/>
    </row>
    <row r="13" spans="1:255" x14ac:dyDescent="0.2">
      <c r="A13" s="2" t="s">
        <v>7</v>
      </c>
      <c r="B13" s="2"/>
      <c r="C13" s="2"/>
      <c r="D13" s="2"/>
      <c r="E13" s="2"/>
      <c r="F13" s="2"/>
      <c r="G13" s="2"/>
      <c r="H13" s="2"/>
      <c r="I13" s="2"/>
      <c r="J13" s="2"/>
      <c r="K13" s="2"/>
      <c r="L13" s="2"/>
      <c r="M13" s="2"/>
      <c r="N13" s="2"/>
      <c r="O13" s="2"/>
      <c r="P13" s="2"/>
      <c r="Q13" s="2"/>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9</v>
      </c>
      <c r="C14" s="11" t="s">
        <v>10</v>
      </c>
      <c r="D14" s="11" t="s">
        <v>11</v>
      </c>
      <c r="E14" s="11" t="s">
        <v>12</v>
      </c>
      <c r="F14" s="11" t="s">
        <v>13</v>
      </c>
      <c r="G14" s="11" t="s">
        <v>14</v>
      </c>
      <c r="H14" s="11" t="s">
        <v>15</v>
      </c>
      <c r="I14" s="11" t="s">
        <v>16</v>
      </c>
      <c r="J14" s="15" t="s">
        <v>17</v>
      </c>
      <c r="K14" s="11" t="s">
        <v>18</v>
      </c>
      <c r="L14" s="11" t="s">
        <v>19</v>
      </c>
      <c r="M14" s="11" t="s">
        <v>20</v>
      </c>
      <c r="N14" s="11" t="s">
        <v>21</v>
      </c>
      <c r="O14" s="11" t="s">
        <v>22</v>
      </c>
      <c r="P14" s="11" t="s">
        <v>23</v>
      </c>
      <c r="Q14" s="11" t="s">
        <v>24</v>
      </c>
    </row>
    <row r="15" spans="1:255" ht="12" customHeight="1" x14ac:dyDescent="0.2">
      <c r="A15" s="7" t="s">
        <v>25</v>
      </c>
      <c r="B15" s="12">
        <v>42.08</v>
      </c>
      <c r="C15" s="13">
        <v>332.1</v>
      </c>
      <c r="D15" s="13">
        <v>13974.7</v>
      </c>
      <c r="E15" s="13">
        <v>3072.6</v>
      </c>
      <c r="F15" s="14" t="s">
        <v>26</v>
      </c>
      <c r="G15" s="12">
        <v>139.6</v>
      </c>
      <c r="H15" s="13">
        <v>17186.900000000001</v>
      </c>
      <c r="I15" s="12">
        <v>32.26</v>
      </c>
      <c r="J15" s="16">
        <v>44980</v>
      </c>
      <c r="K15" s="13">
        <v>19125.2</v>
      </c>
      <c r="L15" s="13">
        <v>5863.1</v>
      </c>
      <c r="M15" s="13">
        <v>4847.6000000000004</v>
      </c>
      <c r="N15" s="12">
        <v>10.06</v>
      </c>
      <c r="O15" s="12">
        <v>14592.27</v>
      </c>
      <c r="P15" s="12">
        <v>3844.1</v>
      </c>
      <c r="Q15" s="12">
        <v>6.58</v>
      </c>
    </row>
    <row r="16" spans="1:255" ht="12" customHeight="1" x14ac:dyDescent="0.2">
      <c r="A16" s="7" t="s">
        <v>27</v>
      </c>
      <c r="B16" s="12">
        <v>70.11</v>
      </c>
      <c r="C16" s="13">
        <v>196</v>
      </c>
      <c r="D16" s="13">
        <v>13739.8</v>
      </c>
      <c r="E16" s="13">
        <v>902</v>
      </c>
      <c r="F16" s="14" t="s">
        <v>26</v>
      </c>
      <c r="G16" s="12">
        <v>2802</v>
      </c>
      <c r="H16" s="13">
        <v>17443.8</v>
      </c>
      <c r="I16" s="12">
        <v>15.07</v>
      </c>
      <c r="J16" s="16">
        <v>44980</v>
      </c>
      <c r="K16" s="13">
        <v>11186</v>
      </c>
      <c r="L16" s="13">
        <v>6421</v>
      </c>
      <c r="M16" s="13">
        <v>5571</v>
      </c>
      <c r="N16" s="12">
        <v>16.38</v>
      </c>
      <c r="O16" s="12">
        <v>7319.05</v>
      </c>
      <c r="P16" s="12">
        <v>3419.2</v>
      </c>
      <c r="Q16" s="12">
        <v>9.91</v>
      </c>
    </row>
    <row r="17" spans="1:17" ht="12" customHeight="1" x14ac:dyDescent="0.2">
      <c r="A17" s="7" t="s">
        <v>28</v>
      </c>
      <c r="B17" s="12">
        <v>60.67</v>
      </c>
      <c r="C17" s="13">
        <v>712.6</v>
      </c>
      <c r="D17" s="13">
        <v>43233.8</v>
      </c>
      <c r="E17" s="13">
        <v>-1558</v>
      </c>
      <c r="F17" s="14" t="s">
        <v>26</v>
      </c>
      <c r="G17" s="12">
        <v>239</v>
      </c>
      <c r="H17" s="13">
        <v>41914.800000000003</v>
      </c>
      <c r="I17" s="12">
        <v>8.41</v>
      </c>
      <c r="J17" s="16">
        <v>44966</v>
      </c>
      <c r="K17" s="13">
        <v>17455</v>
      </c>
      <c r="L17" s="13">
        <v>3321</v>
      </c>
      <c r="M17" s="13">
        <v>2098</v>
      </c>
      <c r="N17" s="12">
        <v>1.66</v>
      </c>
      <c r="O17" s="12">
        <v>18485.28</v>
      </c>
      <c r="P17" s="12">
        <v>3572.92</v>
      </c>
      <c r="Q17" s="12">
        <v>2.88</v>
      </c>
    </row>
    <row r="18" spans="1:17" ht="12" customHeight="1" x14ac:dyDescent="0.2">
      <c r="A18" s="7" t="s">
        <v>29</v>
      </c>
      <c r="B18" s="12">
        <v>40.229999999999997</v>
      </c>
      <c r="C18" s="13">
        <v>254.7</v>
      </c>
      <c r="D18" s="13">
        <v>10245.1</v>
      </c>
      <c r="E18" s="13">
        <v>3028</v>
      </c>
      <c r="F18" s="14" t="s">
        <v>26</v>
      </c>
      <c r="G18" s="12">
        <v>13</v>
      </c>
      <c r="H18" s="13">
        <v>13229.4</v>
      </c>
      <c r="I18" s="12">
        <v>30.79</v>
      </c>
      <c r="J18" s="16">
        <v>45044</v>
      </c>
      <c r="K18" s="13">
        <v>22152</v>
      </c>
      <c r="L18" s="13">
        <v>3663</v>
      </c>
      <c r="M18" s="13">
        <v>2868</v>
      </c>
      <c r="N18" s="12">
        <v>7.6</v>
      </c>
      <c r="O18" s="14" t="s">
        <v>26</v>
      </c>
      <c r="P18" s="14" t="s">
        <v>26</v>
      </c>
      <c r="Q18" s="14" t="s">
        <v>26</v>
      </c>
    </row>
    <row r="19" spans="1:17" ht="12" customHeight="1" x14ac:dyDescent="0.2">
      <c r="A19" s="7" t="s">
        <v>30</v>
      </c>
      <c r="B19" s="12">
        <v>26.37</v>
      </c>
      <c r="C19" s="13">
        <v>210.7</v>
      </c>
      <c r="D19" s="13">
        <v>5554.1</v>
      </c>
      <c r="E19" s="13">
        <v>1434.8</v>
      </c>
      <c r="F19" s="14" t="s">
        <v>26</v>
      </c>
      <c r="G19" s="12">
        <v>2016</v>
      </c>
      <c r="H19" s="13">
        <v>9117.7000000000007</v>
      </c>
      <c r="I19" s="12">
        <v>8.6999999999999993</v>
      </c>
      <c r="J19" s="16">
        <v>45007</v>
      </c>
      <c r="K19" s="13">
        <v>9713.1</v>
      </c>
      <c r="L19" s="13">
        <v>3524.3</v>
      </c>
      <c r="M19" s="13">
        <v>2993.8</v>
      </c>
      <c r="N19" s="12">
        <v>5.85</v>
      </c>
      <c r="O19" s="12">
        <v>6681.11</v>
      </c>
      <c r="P19" s="12">
        <v>2414.94</v>
      </c>
      <c r="Q19" s="12">
        <v>3.24</v>
      </c>
    </row>
    <row r="20" spans="1:17" ht="12" customHeight="1" x14ac:dyDescent="0.2">
      <c r="A20" s="7" t="s">
        <v>31</v>
      </c>
      <c r="B20" s="12">
        <v>121.78</v>
      </c>
      <c r="C20" s="13">
        <v>125.1</v>
      </c>
      <c r="D20" s="13">
        <v>15239.8</v>
      </c>
      <c r="E20" s="13">
        <v>2840.2</v>
      </c>
      <c r="F20" s="14" t="s">
        <v>26</v>
      </c>
      <c r="G20" s="12">
        <v>23</v>
      </c>
      <c r="H20" s="13">
        <v>18103</v>
      </c>
      <c r="I20" s="12">
        <v>-6.81</v>
      </c>
      <c r="J20" s="16">
        <v>44981</v>
      </c>
      <c r="K20" s="13">
        <v>5802.3</v>
      </c>
      <c r="L20" s="13">
        <v>1406.8</v>
      </c>
      <c r="M20" s="13">
        <v>1237.4000000000001</v>
      </c>
      <c r="N20" s="12">
        <v>6.57</v>
      </c>
      <c r="O20" s="12">
        <v>6150.92</v>
      </c>
      <c r="P20" s="12">
        <v>1541.56</v>
      </c>
      <c r="Q20" s="12">
        <v>7.83</v>
      </c>
    </row>
    <row r="21" spans="1:17" ht="12" customHeight="1" x14ac:dyDescent="0.2">
      <c r="A21" s="7" t="s">
        <v>32</v>
      </c>
      <c r="B21" s="12">
        <v>6.13</v>
      </c>
      <c r="C21" s="13">
        <v>1289.3</v>
      </c>
      <c r="D21" s="13">
        <v>7900.1</v>
      </c>
      <c r="E21" s="13">
        <v>2344</v>
      </c>
      <c r="F21" s="14" t="s">
        <v>26</v>
      </c>
      <c r="G21" s="12">
        <v>249</v>
      </c>
      <c r="H21" s="13">
        <v>10411.1</v>
      </c>
      <c r="I21" s="12">
        <v>3.58</v>
      </c>
      <c r="J21" s="16">
        <v>44985</v>
      </c>
      <c r="K21" s="13">
        <v>10015</v>
      </c>
      <c r="L21" s="13">
        <v>3939</v>
      </c>
      <c r="M21" s="13">
        <v>3524</v>
      </c>
      <c r="N21" s="12">
        <v>1.67</v>
      </c>
      <c r="O21" s="12">
        <v>8448.9599999999991</v>
      </c>
      <c r="P21" s="12">
        <v>2279.63</v>
      </c>
      <c r="Q21" s="12">
        <v>0.9</v>
      </c>
    </row>
    <row r="22" spans="1:17" ht="12" customHeight="1" x14ac:dyDescent="0.2">
      <c r="A22" s="7" t="s">
        <v>33</v>
      </c>
      <c r="B22" s="12">
        <v>0</v>
      </c>
      <c r="C22" s="13">
        <v>97.3</v>
      </c>
      <c r="D22" s="13">
        <v>0.4</v>
      </c>
      <c r="E22" s="13">
        <v>1.1000000000000001</v>
      </c>
      <c r="F22" s="14" t="s">
        <v>26</v>
      </c>
      <c r="G22" s="14" t="s">
        <v>26</v>
      </c>
      <c r="H22" s="13">
        <v>1.5</v>
      </c>
      <c r="I22" s="12">
        <v>0.02</v>
      </c>
      <c r="J22" s="16">
        <v>44865</v>
      </c>
      <c r="K22" s="14" t="s">
        <v>26</v>
      </c>
      <c r="L22" s="13">
        <v>-1</v>
      </c>
      <c r="M22" s="13">
        <v>-1</v>
      </c>
      <c r="N22" s="12">
        <v>-0.06</v>
      </c>
      <c r="O22" s="14" t="s">
        <v>26</v>
      </c>
      <c r="P22" s="14" t="s">
        <v>26</v>
      </c>
      <c r="Q22" s="14" t="s">
        <v>26</v>
      </c>
    </row>
    <row r="23" spans="1:17" ht="12" customHeight="1" x14ac:dyDescent="0.2">
      <c r="A23" s="7" t="s">
        <v>34</v>
      </c>
      <c r="B23" s="12">
        <v>19.96</v>
      </c>
      <c r="C23" s="13">
        <v>191.4</v>
      </c>
      <c r="D23" s="13">
        <v>3821.2</v>
      </c>
      <c r="E23" s="13">
        <v>-94.9</v>
      </c>
      <c r="F23" s="14" t="s">
        <v>26</v>
      </c>
      <c r="G23" s="14" t="s">
        <v>26</v>
      </c>
      <c r="H23" s="13">
        <v>3726.3</v>
      </c>
      <c r="I23" s="12">
        <v>37.700000000000003</v>
      </c>
      <c r="J23" s="16">
        <v>45000</v>
      </c>
      <c r="K23" s="13">
        <v>6264.9</v>
      </c>
      <c r="L23" s="13">
        <v>2706.9</v>
      </c>
      <c r="M23" s="13">
        <v>2263.8000000000002</v>
      </c>
      <c r="N23" s="12">
        <v>8.6999999999999993</v>
      </c>
      <c r="O23" s="12">
        <v>5199.76</v>
      </c>
      <c r="P23" s="12">
        <v>1533.15</v>
      </c>
      <c r="Q23" s="12">
        <v>3.98</v>
      </c>
    </row>
    <row r="24" spans="1:17" ht="12" customHeight="1" x14ac:dyDescent="0.2">
      <c r="A24" s="7" t="s">
        <v>35</v>
      </c>
      <c r="B24" s="12">
        <v>67.02</v>
      </c>
      <c r="C24" s="13">
        <v>285.60000000000002</v>
      </c>
      <c r="D24" s="13">
        <v>19143.400000000001</v>
      </c>
      <c r="E24" s="13">
        <v>-626.5</v>
      </c>
      <c r="F24" s="14" t="s">
        <v>26</v>
      </c>
      <c r="G24" s="12">
        <v>35.369999999999997</v>
      </c>
      <c r="H24" s="13">
        <v>18552.400000000001</v>
      </c>
      <c r="I24" s="12">
        <v>16.559999999999999</v>
      </c>
      <c r="J24" s="16">
        <v>44988</v>
      </c>
      <c r="K24" s="13">
        <v>10710.6</v>
      </c>
      <c r="L24" s="13">
        <v>5813.8</v>
      </c>
      <c r="M24" s="13">
        <v>5579.5</v>
      </c>
      <c r="N24" s="12">
        <v>13.68</v>
      </c>
      <c r="O24" s="12">
        <v>9699.7199999999993</v>
      </c>
      <c r="P24" s="12">
        <v>4924.05</v>
      </c>
      <c r="Q24" s="12">
        <v>11.8</v>
      </c>
    </row>
    <row r="25" spans="1:17" x14ac:dyDescent="0.2">
      <c r="A25" s="7" t="s">
        <v>36</v>
      </c>
      <c r="B25" s="12">
        <v>69.13</v>
      </c>
      <c r="C25" s="13">
        <v>498.8</v>
      </c>
      <c r="D25" s="13">
        <v>34482.6</v>
      </c>
      <c r="E25" s="13">
        <v>11027</v>
      </c>
      <c r="F25" s="14" t="s">
        <v>26</v>
      </c>
      <c r="G25" s="12">
        <v>45</v>
      </c>
      <c r="H25" s="13">
        <v>45532.6</v>
      </c>
      <c r="I25" s="12">
        <v>21.99</v>
      </c>
      <c r="J25" s="16">
        <v>44981</v>
      </c>
      <c r="K25" s="13">
        <v>37012</v>
      </c>
      <c r="L25" s="13">
        <v>11513</v>
      </c>
      <c r="M25" s="13">
        <v>9840</v>
      </c>
      <c r="N25" s="12">
        <v>14.18</v>
      </c>
      <c r="O25" s="12">
        <v>31483.41</v>
      </c>
      <c r="P25" s="12">
        <v>8506.11</v>
      </c>
      <c r="Q25" s="12">
        <v>8.81</v>
      </c>
    </row>
    <row r="26" spans="1:17" x14ac:dyDescent="0.2">
      <c r="A26" s="8"/>
      <c r="B26" s="8"/>
      <c r="C26" s="8"/>
      <c r="D26" s="8"/>
      <c r="E26" s="8"/>
      <c r="F26" s="8"/>
      <c r="G26" s="8"/>
      <c r="H26" s="8"/>
      <c r="I26" s="8"/>
      <c r="J26" s="8"/>
      <c r="K26" s="8"/>
      <c r="L26" s="8"/>
      <c r="M26" s="8"/>
      <c r="N26" s="8"/>
      <c r="O26" s="8"/>
      <c r="P26" s="8"/>
      <c r="Q26" s="8"/>
    </row>
    <row r="27" spans="1:17" ht="12" customHeight="1" x14ac:dyDescent="0.2">
      <c r="A27" s="7" t="s">
        <v>37</v>
      </c>
      <c r="B27" s="11" t="s">
        <v>9</v>
      </c>
      <c r="C27" s="11" t="s">
        <v>10</v>
      </c>
      <c r="D27" s="11" t="s">
        <v>11</v>
      </c>
      <c r="E27" s="11" t="s">
        <v>12</v>
      </c>
      <c r="F27" s="11" t="s">
        <v>13</v>
      </c>
      <c r="G27" s="11" t="s">
        <v>14</v>
      </c>
      <c r="H27" s="11" t="s">
        <v>15</v>
      </c>
      <c r="I27" s="11" t="s">
        <v>16</v>
      </c>
      <c r="J27" s="15" t="s">
        <v>17</v>
      </c>
      <c r="K27" s="11" t="s">
        <v>18</v>
      </c>
      <c r="L27" s="11" t="s">
        <v>19</v>
      </c>
      <c r="M27" s="11" t="s">
        <v>20</v>
      </c>
      <c r="N27" s="11" t="s">
        <v>21</v>
      </c>
      <c r="O27" s="11" t="s">
        <v>22</v>
      </c>
      <c r="P27" s="11" t="s">
        <v>23</v>
      </c>
      <c r="Q27" s="11" t="s">
        <v>24</v>
      </c>
    </row>
    <row r="28" spans="1:17" x14ac:dyDescent="0.2">
      <c r="A28" s="7" t="s">
        <v>38</v>
      </c>
      <c r="B28" s="12">
        <v>121.78</v>
      </c>
      <c r="C28" s="13">
        <v>1289.3</v>
      </c>
      <c r="D28" s="13">
        <v>43233.8</v>
      </c>
      <c r="E28" s="13">
        <v>3072.6</v>
      </c>
      <c r="F28" s="14" t="s">
        <v>26</v>
      </c>
      <c r="G28" s="12">
        <v>2802</v>
      </c>
      <c r="H28" s="13">
        <v>41914.800000000003</v>
      </c>
      <c r="I28" s="12">
        <v>37.700000000000003</v>
      </c>
      <c r="J28" s="17" t="s">
        <v>26</v>
      </c>
      <c r="K28" s="13">
        <v>22152</v>
      </c>
      <c r="L28" s="13">
        <v>6421</v>
      </c>
      <c r="M28" s="13">
        <v>5579.5</v>
      </c>
      <c r="N28" s="12">
        <v>16.38</v>
      </c>
      <c r="O28" s="12">
        <v>18485.28</v>
      </c>
      <c r="P28" s="12">
        <v>4924.05</v>
      </c>
      <c r="Q28" s="12">
        <v>11.8</v>
      </c>
    </row>
    <row r="29" spans="1:17" x14ac:dyDescent="0.2">
      <c r="A29" s="7" t="s">
        <v>39</v>
      </c>
      <c r="B29" s="12">
        <v>0</v>
      </c>
      <c r="C29" s="13">
        <v>97.3</v>
      </c>
      <c r="D29" s="13">
        <v>0.4</v>
      </c>
      <c r="E29" s="13">
        <v>-1558</v>
      </c>
      <c r="F29" s="14" t="s">
        <v>26</v>
      </c>
      <c r="G29" s="12">
        <v>13</v>
      </c>
      <c r="H29" s="13">
        <v>1.5</v>
      </c>
      <c r="I29" s="12">
        <v>-6.81</v>
      </c>
      <c r="J29" s="17" t="s">
        <v>26</v>
      </c>
      <c r="K29" s="13">
        <v>5802.3</v>
      </c>
      <c r="L29" s="13">
        <v>-1</v>
      </c>
      <c r="M29" s="13">
        <v>-1</v>
      </c>
      <c r="N29" s="12">
        <v>-0.06</v>
      </c>
      <c r="O29" s="12">
        <v>5199.76</v>
      </c>
      <c r="P29" s="12">
        <v>1533.15</v>
      </c>
      <c r="Q29" s="12">
        <v>0.9</v>
      </c>
    </row>
    <row r="30" spans="1:17" x14ac:dyDescent="0.2">
      <c r="A30" s="7" t="s">
        <v>40</v>
      </c>
      <c r="B30" s="12">
        <v>45.44</v>
      </c>
      <c r="C30" s="13">
        <v>369.5</v>
      </c>
      <c r="D30" s="13">
        <v>13285.2</v>
      </c>
      <c r="E30" s="13">
        <v>1134.3</v>
      </c>
      <c r="F30" s="14" t="s">
        <v>26</v>
      </c>
      <c r="G30" s="12">
        <v>689.62</v>
      </c>
      <c r="H30" s="13">
        <v>14968.7</v>
      </c>
      <c r="I30" s="12">
        <v>14.63</v>
      </c>
      <c r="J30" s="17" t="s">
        <v>26</v>
      </c>
      <c r="K30" s="13">
        <v>12491.6</v>
      </c>
      <c r="L30" s="13">
        <v>3665.8</v>
      </c>
      <c r="M30" s="13">
        <v>3098.2</v>
      </c>
      <c r="N30" s="12">
        <v>7.21</v>
      </c>
      <c r="O30" s="12">
        <v>9572.1299999999992</v>
      </c>
      <c r="P30" s="12">
        <v>2941.2</v>
      </c>
      <c r="Q30" s="12">
        <v>5.89</v>
      </c>
    </row>
    <row r="31" spans="1:17" x14ac:dyDescent="0.2">
      <c r="A31" s="7" t="s">
        <v>41</v>
      </c>
      <c r="B31" s="12">
        <v>41.15</v>
      </c>
      <c r="C31" s="13">
        <v>232.7</v>
      </c>
      <c r="D31" s="13">
        <v>11992.5</v>
      </c>
      <c r="E31" s="13">
        <v>1168.4000000000001</v>
      </c>
      <c r="F31" s="14" t="s">
        <v>26</v>
      </c>
      <c r="G31" s="12">
        <v>189.3</v>
      </c>
      <c r="H31" s="13">
        <v>15208.2</v>
      </c>
      <c r="I31" s="12">
        <v>11.88</v>
      </c>
      <c r="J31" s="17" t="s">
        <v>26</v>
      </c>
      <c r="K31" s="13">
        <v>10710.6</v>
      </c>
      <c r="L31" s="13">
        <v>3593.7</v>
      </c>
      <c r="M31" s="13">
        <v>2930.9</v>
      </c>
      <c r="N31" s="12">
        <v>7.08</v>
      </c>
      <c r="O31" s="12">
        <v>7884.01</v>
      </c>
      <c r="P31" s="12">
        <v>2917.07</v>
      </c>
      <c r="Q31" s="12">
        <v>5.28</v>
      </c>
    </row>
    <row r="32" spans="1:17" x14ac:dyDescent="0.2">
      <c r="A32" s="10"/>
      <c r="B32" s="10"/>
      <c r="C32" s="10"/>
      <c r="D32" s="10"/>
      <c r="E32" s="10"/>
      <c r="F32" s="10"/>
      <c r="G32" s="10"/>
      <c r="H32" s="10"/>
      <c r="I32" s="10"/>
      <c r="J32" s="10"/>
      <c r="K32" s="10"/>
      <c r="L32" s="10"/>
      <c r="M32" s="10"/>
      <c r="N32" s="10"/>
      <c r="O32" s="10"/>
      <c r="P32" s="10"/>
      <c r="Q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972AF-2564-4FE7-899B-FDCD34B16DCC}">
  <sheetPr codeName="Sheet4">
    <outlinePr summaryBelow="0" summaryRight="0"/>
  </sheetPr>
  <dimension ref="A4:IU50"/>
  <sheetViews>
    <sheetView defaultGridColor="0" colorId="0" workbookViewId="0"/>
  </sheetViews>
  <sheetFormatPr defaultRowHeight="10.199999999999999" x14ac:dyDescent="0.2"/>
  <cols>
    <col min="1" max="1" width="47.88671875" customWidth="1"/>
    <col min="2" max="9" width="20.88671875" customWidth="1"/>
  </cols>
  <sheetData>
    <row r="4" spans="1:255" ht="16.2" x14ac:dyDescent="0.25">
      <c r="A4" s="1" t="s">
        <v>46</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47</v>
      </c>
      <c r="B8" s="4" t="s">
        <v>3</v>
      </c>
    </row>
    <row r="9" spans="1:255" x14ac:dyDescent="0.2">
      <c r="A9" s="3" t="s">
        <v>48</v>
      </c>
      <c r="B9" s="4" t="s">
        <v>5</v>
      </c>
    </row>
    <row r="10" spans="1:255" x14ac:dyDescent="0.2">
      <c r="A10" s="3" t="s">
        <v>49</v>
      </c>
      <c r="B10" s="5">
        <v>45044</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50</v>
      </c>
      <c r="C14" s="11" t="s">
        <v>51</v>
      </c>
      <c r="D14" s="11" t="s">
        <v>52</v>
      </c>
      <c r="E14" s="11" t="s">
        <v>53</v>
      </c>
      <c r="F14" s="11" t="s">
        <v>54</v>
      </c>
      <c r="G14" s="11" t="s">
        <v>55</v>
      </c>
      <c r="H14" s="11" t="s">
        <v>56</v>
      </c>
      <c r="I14" s="11" t="s">
        <v>57</v>
      </c>
    </row>
    <row r="15" spans="1:255" ht="12" customHeight="1" x14ac:dyDescent="0.2">
      <c r="A15" s="7" t="s">
        <v>25</v>
      </c>
      <c r="B15" s="14" t="s">
        <v>26</v>
      </c>
      <c r="C15" s="14" t="s">
        <v>26</v>
      </c>
      <c r="D15" s="14" t="s">
        <v>26</v>
      </c>
      <c r="E15" s="14" t="s">
        <v>26</v>
      </c>
      <c r="F15" s="14" t="s">
        <v>26</v>
      </c>
      <c r="G15" s="19">
        <v>1.18</v>
      </c>
      <c r="H15" s="19">
        <v>4.47</v>
      </c>
      <c r="I15" s="19">
        <v>6.4</v>
      </c>
    </row>
    <row r="16" spans="1:255" ht="12" customHeight="1" x14ac:dyDescent="0.2">
      <c r="A16" s="7" t="s">
        <v>27</v>
      </c>
      <c r="B16" s="14" t="s">
        <v>26</v>
      </c>
      <c r="C16" s="14" t="s">
        <v>26</v>
      </c>
      <c r="D16" s="14" t="s">
        <v>26</v>
      </c>
      <c r="E16" s="14" t="s">
        <v>26</v>
      </c>
      <c r="F16" s="14" t="s">
        <v>26</v>
      </c>
      <c r="G16" s="19">
        <v>2.38</v>
      </c>
      <c r="H16" s="19">
        <v>5.0999999999999996</v>
      </c>
      <c r="I16" s="19">
        <v>7.07</v>
      </c>
    </row>
    <row r="17" spans="1:9" ht="12" customHeight="1" x14ac:dyDescent="0.2">
      <c r="A17" s="7" t="s">
        <v>28</v>
      </c>
      <c r="B17" s="14" t="s">
        <v>26</v>
      </c>
      <c r="C17" s="14" t="s">
        <v>26</v>
      </c>
      <c r="D17" s="14" t="s">
        <v>26</v>
      </c>
      <c r="E17" s="14" t="s">
        <v>26</v>
      </c>
      <c r="F17" s="14" t="s">
        <v>26</v>
      </c>
      <c r="G17" s="19">
        <v>2.27</v>
      </c>
      <c r="H17" s="19">
        <v>11.73</v>
      </c>
      <c r="I17" s="19">
        <v>21.1</v>
      </c>
    </row>
    <row r="18" spans="1:9" ht="12" customHeight="1" x14ac:dyDescent="0.2">
      <c r="A18" s="7" t="s">
        <v>29</v>
      </c>
      <c r="B18" s="14" t="s">
        <v>26</v>
      </c>
      <c r="C18" s="14" t="s">
        <v>26</v>
      </c>
      <c r="D18" s="14" t="s">
        <v>26</v>
      </c>
      <c r="E18" s="14" t="s">
        <v>26</v>
      </c>
      <c r="F18" s="14" t="s">
        <v>26</v>
      </c>
      <c r="G18" s="14" t="s">
        <v>26</v>
      </c>
      <c r="H18" s="14" t="s">
        <v>26</v>
      </c>
      <c r="I18" s="14" t="s">
        <v>26</v>
      </c>
    </row>
    <row r="19" spans="1:9" ht="12" customHeight="1" x14ac:dyDescent="0.2">
      <c r="A19" s="7" t="s">
        <v>30</v>
      </c>
      <c r="B19" s="14" t="s">
        <v>26</v>
      </c>
      <c r="C19" s="14" t="s">
        <v>26</v>
      </c>
      <c r="D19" s="14" t="s">
        <v>26</v>
      </c>
      <c r="E19" s="14" t="s">
        <v>26</v>
      </c>
      <c r="F19" s="14" t="s">
        <v>26</v>
      </c>
      <c r="G19" s="19">
        <v>1.36</v>
      </c>
      <c r="H19" s="19">
        <v>3.78</v>
      </c>
      <c r="I19" s="19">
        <v>8.14</v>
      </c>
    </row>
    <row r="20" spans="1:9" ht="12" customHeight="1" x14ac:dyDescent="0.2">
      <c r="A20" s="7" t="s">
        <v>31</v>
      </c>
      <c r="B20" s="14" t="s">
        <v>26</v>
      </c>
      <c r="C20" s="14" t="s">
        <v>26</v>
      </c>
      <c r="D20" s="14" t="s">
        <v>26</v>
      </c>
      <c r="E20" s="14" t="s">
        <v>26</v>
      </c>
      <c r="F20" s="14" t="s">
        <v>26</v>
      </c>
      <c r="G20" s="19">
        <v>2.94</v>
      </c>
      <c r="H20" s="19">
        <v>11.74</v>
      </c>
      <c r="I20" s="19">
        <v>15.55</v>
      </c>
    </row>
    <row r="21" spans="1:9" ht="12" customHeight="1" x14ac:dyDescent="0.2">
      <c r="A21" s="7" t="s">
        <v>32</v>
      </c>
      <c r="B21" s="14" t="s">
        <v>26</v>
      </c>
      <c r="C21" s="14" t="s">
        <v>26</v>
      </c>
      <c r="D21" s="14" t="s">
        <v>26</v>
      </c>
      <c r="E21" s="14" t="s">
        <v>26</v>
      </c>
      <c r="F21" s="14" t="s">
        <v>26</v>
      </c>
      <c r="G21" s="19">
        <v>1.23</v>
      </c>
      <c r="H21" s="19">
        <v>4.57</v>
      </c>
      <c r="I21" s="19">
        <v>6.79</v>
      </c>
    </row>
    <row r="22" spans="1:9" ht="12" customHeight="1" x14ac:dyDescent="0.2">
      <c r="A22" s="7" t="s">
        <v>33</v>
      </c>
      <c r="B22" s="14" t="s">
        <v>26</v>
      </c>
      <c r="C22" s="14" t="s">
        <v>26</v>
      </c>
      <c r="D22" s="14" t="s">
        <v>26</v>
      </c>
      <c r="E22" s="14" t="s">
        <v>26</v>
      </c>
      <c r="F22" s="14" t="s">
        <v>26</v>
      </c>
      <c r="G22" s="14" t="s">
        <v>26</v>
      </c>
      <c r="H22" s="14" t="s">
        <v>26</v>
      </c>
      <c r="I22" s="14" t="s">
        <v>26</v>
      </c>
    </row>
    <row r="23" spans="1:9" ht="12" customHeight="1" x14ac:dyDescent="0.2">
      <c r="A23" s="7" t="s">
        <v>34</v>
      </c>
      <c r="B23" s="14" t="s">
        <v>26</v>
      </c>
      <c r="C23" s="14" t="s">
        <v>26</v>
      </c>
      <c r="D23" s="14" t="s">
        <v>26</v>
      </c>
      <c r="E23" s="14" t="s">
        <v>26</v>
      </c>
      <c r="F23" s="14" t="s">
        <v>26</v>
      </c>
      <c r="G23" s="19">
        <v>0.72</v>
      </c>
      <c r="H23" s="19">
        <v>2.4300000000000002</v>
      </c>
      <c r="I23" s="19">
        <v>5.01</v>
      </c>
    </row>
    <row r="24" spans="1:9" ht="12" customHeight="1" x14ac:dyDescent="0.2">
      <c r="A24" s="7" t="s">
        <v>35</v>
      </c>
      <c r="B24" s="14" t="s">
        <v>26</v>
      </c>
      <c r="C24" s="14" t="s">
        <v>26</v>
      </c>
      <c r="D24" s="14" t="s">
        <v>26</v>
      </c>
      <c r="E24" s="14" t="s">
        <v>26</v>
      </c>
      <c r="F24" s="14" t="s">
        <v>26</v>
      </c>
      <c r="G24" s="19">
        <v>1.91</v>
      </c>
      <c r="H24" s="19">
        <v>3.77</v>
      </c>
      <c r="I24" s="19">
        <v>5.68</v>
      </c>
    </row>
    <row r="25" spans="1:9" x14ac:dyDescent="0.2">
      <c r="A25" s="7" t="s">
        <v>36</v>
      </c>
      <c r="B25" s="14" t="s">
        <v>26</v>
      </c>
      <c r="C25" s="14" t="s">
        <v>26</v>
      </c>
      <c r="D25" s="14" t="s">
        <v>26</v>
      </c>
      <c r="E25" s="14" t="s">
        <v>26</v>
      </c>
      <c r="F25" s="14" t="s">
        <v>26</v>
      </c>
      <c r="G25" s="19">
        <v>1.45</v>
      </c>
      <c r="H25" s="19">
        <v>5.35</v>
      </c>
      <c r="I25" s="19">
        <v>7.85</v>
      </c>
    </row>
    <row r="26" spans="1:9" x14ac:dyDescent="0.2">
      <c r="A26" s="8"/>
      <c r="B26" s="8"/>
      <c r="C26" s="8"/>
      <c r="D26" s="8"/>
      <c r="E26" s="8"/>
      <c r="F26" s="8"/>
      <c r="G26" s="8"/>
      <c r="H26" s="8"/>
      <c r="I26" s="8"/>
    </row>
    <row r="27" spans="1:9" ht="12" customHeight="1" x14ac:dyDescent="0.2">
      <c r="A27" s="7" t="s">
        <v>37</v>
      </c>
      <c r="B27" s="11" t="s">
        <v>50</v>
      </c>
      <c r="C27" s="11" t="s">
        <v>51</v>
      </c>
      <c r="D27" s="11" t="s">
        <v>52</v>
      </c>
      <c r="E27" s="11" t="s">
        <v>53</v>
      </c>
      <c r="F27" s="11" t="s">
        <v>54</v>
      </c>
      <c r="G27" s="11" t="s">
        <v>55</v>
      </c>
      <c r="H27" s="11" t="s">
        <v>56</v>
      </c>
      <c r="I27" s="11" t="s">
        <v>57</v>
      </c>
    </row>
    <row r="28" spans="1:9" x14ac:dyDescent="0.2">
      <c r="A28" s="7" t="s">
        <v>38</v>
      </c>
      <c r="B28" s="14" t="s">
        <v>26</v>
      </c>
      <c r="C28" s="14" t="s">
        <v>26</v>
      </c>
      <c r="D28" s="14" t="s">
        <v>26</v>
      </c>
      <c r="E28" s="14" t="s">
        <v>26</v>
      </c>
      <c r="F28" s="14" t="s">
        <v>26</v>
      </c>
      <c r="G28" s="19">
        <v>2.94</v>
      </c>
      <c r="H28" s="19">
        <v>11.74</v>
      </c>
      <c r="I28" s="19">
        <v>21.1</v>
      </c>
    </row>
    <row r="29" spans="1:9" x14ac:dyDescent="0.2">
      <c r="A29" s="7" t="s">
        <v>39</v>
      </c>
      <c r="B29" s="14" t="s">
        <v>26</v>
      </c>
      <c r="C29" s="14" t="s">
        <v>26</v>
      </c>
      <c r="D29" s="14" t="s">
        <v>26</v>
      </c>
      <c r="E29" s="14" t="s">
        <v>26</v>
      </c>
      <c r="F29" s="14" t="s">
        <v>26</v>
      </c>
      <c r="G29" s="19">
        <v>0.72</v>
      </c>
      <c r="H29" s="19">
        <v>2.4300000000000002</v>
      </c>
      <c r="I29" s="19">
        <v>5.01</v>
      </c>
    </row>
    <row r="30" spans="1:9" x14ac:dyDescent="0.2">
      <c r="A30" s="7" t="s">
        <v>40</v>
      </c>
      <c r="B30" s="14" t="s">
        <v>26</v>
      </c>
      <c r="C30" s="14" t="s">
        <v>26</v>
      </c>
      <c r="D30" s="14" t="s">
        <v>26</v>
      </c>
      <c r="E30" s="14" t="s">
        <v>26</v>
      </c>
      <c r="F30" s="14" t="s">
        <v>26</v>
      </c>
      <c r="G30" s="19">
        <v>1.75</v>
      </c>
      <c r="H30" s="19">
        <v>5.95</v>
      </c>
      <c r="I30" s="19">
        <v>9.4700000000000006</v>
      </c>
    </row>
    <row r="31" spans="1:9" x14ac:dyDescent="0.2">
      <c r="A31" s="7" t="s">
        <v>41</v>
      </c>
      <c r="B31" s="14" t="s">
        <v>26</v>
      </c>
      <c r="C31" s="14" t="s">
        <v>26</v>
      </c>
      <c r="D31" s="14" t="s">
        <v>26</v>
      </c>
      <c r="E31" s="14" t="s">
        <v>26</v>
      </c>
      <c r="F31" s="14" t="s">
        <v>26</v>
      </c>
      <c r="G31" s="19">
        <v>1.64</v>
      </c>
      <c r="H31" s="19">
        <v>4.5199999999999996</v>
      </c>
      <c r="I31" s="19">
        <v>6.93</v>
      </c>
    </row>
    <row r="32" spans="1:9" x14ac:dyDescent="0.2">
      <c r="A32" s="10"/>
      <c r="B32" s="10"/>
      <c r="C32" s="10"/>
      <c r="D32" s="10"/>
      <c r="E32" s="10"/>
      <c r="F32" s="10"/>
      <c r="G32" s="10"/>
      <c r="H32" s="10"/>
      <c r="I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3B15-A601-4A26-8F11-D7864236A561}">
  <sheetPr codeName="Sheet5">
    <outlinePr summaryBelow="0" summaryRight="0"/>
  </sheetPr>
  <dimension ref="A4:IU50"/>
  <sheetViews>
    <sheetView defaultGridColor="0" colorId="0" workbookViewId="0"/>
  </sheetViews>
  <sheetFormatPr defaultRowHeight="10.199999999999999" x14ac:dyDescent="0.2"/>
  <cols>
    <col min="1" max="1" width="47.88671875" customWidth="1"/>
    <col min="2" max="13" width="20.88671875" customWidth="1"/>
  </cols>
  <sheetData>
    <row r="4" spans="1:255" ht="16.2" x14ac:dyDescent="0.25">
      <c r="A4" s="1" t="s">
        <v>58</v>
      </c>
    </row>
    <row r="7" spans="1:255" x14ac:dyDescent="0.2">
      <c r="A7" s="2" t="s">
        <v>1</v>
      </c>
      <c r="B7" s="2"/>
      <c r="C7" s="2"/>
      <c r="D7" s="2"/>
      <c r="E7" s="2"/>
      <c r="F7" s="2"/>
      <c r="G7" s="2"/>
      <c r="H7" s="2"/>
      <c r="I7" s="2"/>
      <c r="J7" s="2"/>
      <c r="K7" s="2"/>
      <c r="L7" s="2"/>
      <c r="M7" s="2"/>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59</v>
      </c>
      <c r="B8" s="4" t="s">
        <v>3</v>
      </c>
    </row>
    <row r="9" spans="1:255" x14ac:dyDescent="0.2">
      <c r="A9" s="3" t="s">
        <v>60</v>
      </c>
      <c r="B9" s="4" t="s">
        <v>5</v>
      </c>
    </row>
    <row r="10" spans="1:255" x14ac:dyDescent="0.2">
      <c r="A10" s="3" t="s">
        <v>61</v>
      </c>
      <c r="B10" s="5">
        <v>45044</v>
      </c>
    </row>
    <row r="11" spans="1:255" x14ac:dyDescent="0.2">
      <c r="A11" s="6"/>
    </row>
    <row r="13" spans="1:255" x14ac:dyDescent="0.2">
      <c r="A13" s="2" t="s">
        <v>7</v>
      </c>
      <c r="B13" s="2"/>
      <c r="C13" s="2"/>
      <c r="D13" s="2"/>
      <c r="E13" s="2"/>
      <c r="F13" s="2"/>
      <c r="G13" s="2"/>
      <c r="H13" s="2"/>
      <c r="I13" s="2"/>
      <c r="J13" s="2"/>
      <c r="K13" s="2"/>
      <c r="L13" s="2"/>
      <c r="M13" s="2"/>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62</v>
      </c>
      <c r="C14" s="11" t="s">
        <v>63</v>
      </c>
      <c r="D14" s="11" t="s">
        <v>64</v>
      </c>
      <c r="E14" s="11" t="s">
        <v>65</v>
      </c>
      <c r="F14" s="11" t="s">
        <v>66</v>
      </c>
      <c r="G14" s="11" t="s">
        <v>67</v>
      </c>
      <c r="H14" s="11" t="s">
        <v>68</v>
      </c>
      <c r="I14" s="11" t="s">
        <v>69</v>
      </c>
      <c r="J14" s="11" t="s">
        <v>70</v>
      </c>
      <c r="K14" s="11" t="s">
        <v>71</v>
      </c>
      <c r="L14" s="11" t="s">
        <v>72</v>
      </c>
      <c r="M14" s="11" t="s">
        <v>73</v>
      </c>
    </row>
    <row r="15" spans="1:255" ht="12" customHeight="1" x14ac:dyDescent="0.2">
      <c r="A15" s="7" t="s">
        <v>25</v>
      </c>
      <c r="B15" s="20">
        <v>0.30199999999999999</v>
      </c>
      <c r="C15" s="20">
        <v>0.307</v>
      </c>
      <c r="D15" s="20">
        <v>0.253</v>
      </c>
      <c r="E15" s="21">
        <v>0.18729999999999999</v>
      </c>
      <c r="F15" s="21">
        <v>0.54769999999999996</v>
      </c>
      <c r="G15" s="21">
        <v>0.65390000000000004</v>
      </c>
      <c r="H15" s="21">
        <v>0.79730000000000001</v>
      </c>
      <c r="I15" s="21">
        <v>1.1972</v>
      </c>
      <c r="J15" s="21">
        <v>0.23799999999999999</v>
      </c>
      <c r="K15" s="22">
        <v>0.6</v>
      </c>
      <c r="L15" s="14" t="s">
        <v>26</v>
      </c>
      <c r="M15" s="12">
        <v>1.5</v>
      </c>
    </row>
    <row r="16" spans="1:255" ht="12" customHeight="1" x14ac:dyDescent="0.2">
      <c r="A16" s="7" t="s">
        <v>27</v>
      </c>
      <c r="B16" s="20">
        <v>0.52400000000000002</v>
      </c>
      <c r="C16" s="20">
        <v>0.57399999999999995</v>
      </c>
      <c r="D16" s="20">
        <v>0.498</v>
      </c>
      <c r="E16" s="21">
        <v>0.29909999999999998</v>
      </c>
      <c r="F16" s="21">
        <v>0.71089999999999998</v>
      </c>
      <c r="G16" s="21">
        <v>1.0929</v>
      </c>
      <c r="H16" s="21">
        <v>1.5555000000000001</v>
      </c>
      <c r="I16" s="21">
        <v>2.6488999999999998</v>
      </c>
      <c r="J16" s="21">
        <v>0.29110000000000003</v>
      </c>
      <c r="K16" s="22">
        <v>0.5</v>
      </c>
      <c r="L16" s="21">
        <v>0.06</v>
      </c>
      <c r="M16" s="12">
        <v>1</v>
      </c>
    </row>
    <row r="17" spans="1:13" ht="12" customHeight="1" x14ac:dyDescent="0.2">
      <c r="A17" s="7" t="s">
        <v>28</v>
      </c>
      <c r="B17" s="20">
        <v>0.40300000000000002</v>
      </c>
      <c r="C17" s="20">
        <v>0.19</v>
      </c>
      <c r="D17" s="20">
        <v>0.12</v>
      </c>
      <c r="E17" s="21">
        <v>6.5699999999999995E-2</v>
      </c>
      <c r="F17" s="21">
        <v>0.115</v>
      </c>
      <c r="G17" s="21">
        <v>-0.14360000000000001</v>
      </c>
      <c r="H17" s="21">
        <v>-0.20380000000000001</v>
      </c>
      <c r="I17" s="21">
        <v>-0.34789999999999999</v>
      </c>
      <c r="J17" s="21">
        <v>6.4399999999999999E-2</v>
      </c>
      <c r="K17" s="22">
        <v>0.5</v>
      </c>
      <c r="L17" s="21">
        <v>0.16569999999999999</v>
      </c>
      <c r="M17" s="12">
        <v>0.78</v>
      </c>
    </row>
    <row r="18" spans="1:13" ht="12" customHeight="1" x14ac:dyDescent="0.2">
      <c r="A18" s="7" t="s">
        <v>29</v>
      </c>
      <c r="B18" s="20">
        <v>0.25700000000000001</v>
      </c>
      <c r="C18" s="20">
        <v>0.16500000000000001</v>
      </c>
      <c r="D18" s="20">
        <v>0.129</v>
      </c>
      <c r="E18" s="21">
        <v>8.7400000000000005E-2</v>
      </c>
      <c r="F18" s="21">
        <v>0.1421</v>
      </c>
      <c r="G18" s="21">
        <v>9.8000000000000004E-2</v>
      </c>
      <c r="H18" s="21">
        <v>0.156</v>
      </c>
      <c r="I18" s="21">
        <v>0.40360000000000001</v>
      </c>
      <c r="J18" s="21">
        <v>0.32519999999999999</v>
      </c>
      <c r="K18" s="22">
        <v>1.1000000000000001</v>
      </c>
      <c r="L18" s="21">
        <v>0.1656</v>
      </c>
      <c r="M18" s="12">
        <v>0.43</v>
      </c>
    </row>
    <row r="19" spans="1:13" ht="12" customHeight="1" x14ac:dyDescent="0.2">
      <c r="A19" s="7" t="s">
        <v>30</v>
      </c>
      <c r="B19" s="20">
        <v>0.34699999999999998</v>
      </c>
      <c r="C19" s="20">
        <v>0.36299999999999999</v>
      </c>
      <c r="D19" s="20">
        <v>0.308</v>
      </c>
      <c r="E19" s="21">
        <v>0.12740000000000001</v>
      </c>
      <c r="F19" s="21">
        <v>0.53720000000000001</v>
      </c>
      <c r="G19" s="21">
        <v>0.4677</v>
      </c>
      <c r="H19" s="21">
        <v>0.62609999999999999</v>
      </c>
      <c r="I19" s="21">
        <v>1.169</v>
      </c>
      <c r="J19" s="21">
        <v>0.42070000000000002</v>
      </c>
      <c r="K19" s="22">
        <v>0.9</v>
      </c>
      <c r="L19" s="21">
        <v>-0.16</v>
      </c>
      <c r="M19" s="12">
        <v>0.96</v>
      </c>
    </row>
    <row r="20" spans="1:13" ht="12" customHeight="1" x14ac:dyDescent="0.2">
      <c r="A20" s="7" t="s">
        <v>31</v>
      </c>
      <c r="B20" s="20">
        <v>0.40100000000000002</v>
      </c>
      <c r="C20" s="20">
        <v>0.24199999999999999</v>
      </c>
      <c r="D20" s="20">
        <v>0.21299999999999999</v>
      </c>
      <c r="E20" s="21">
        <v>0.12690000000000001</v>
      </c>
      <c r="F20" s="21">
        <v>0.15010000000000001</v>
      </c>
      <c r="G20" s="21">
        <v>7.0800000000000002E-2</v>
      </c>
      <c r="H20" s="21">
        <v>8.2699999999999996E-2</v>
      </c>
      <c r="I20" s="21">
        <v>-4.1999999999999997E-3</v>
      </c>
      <c r="J20" s="21">
        <v>0.50170000000000003</v>
      </c>
      <c r="K20" s="22">
        <v>2.4</v>
      </c>
      <c r="L20" s="21">
        <v>7.0000000000000007E-2</v>
      </c>
      <c r="M20" s="12">
        <v>0.83</v>
      </c>
    </row>
    <row r="21" spans="1:13" ht="12" customHeight="1" x14ac:dyDescent="0.2">
      <c r="A21" s="7" t="s">
        <v>32</v>
      </c>
      <c r="B21" s="20">
        <v>0.502</v>
      </c>
      <c r="C21" s="20">
        <v>0.39300000000000002</v>
      </c>
      <c r="D21" s="20">
        <v>0.35199999999999998</v>
      </c>
      <c r="E21" s="21">
        <v>0.21560000000000001</v>
      </c>
      <c r="F21" s="21">
        <v>0.44</v>
      </c>
      <c r="G21" s="21">
        <v>1.4883</v>
      </c>
      <c r="H21" s="21">
        <v>2.0093999999999999</v>
      </c>
      <c r="I21" s="21">
        <v>1.7573000000000001</v>
      </c>
      <c r="J21" s="21">
        <v>0.33300000000000002</v>
      </c>
      <c r="K21" s="22">
        <v>0.7</v>
      </c>
      <c r="L21" s="21">
        <v>-0.26169999999999999</v>
      </c>
      <c r="M21" s="12">
        <v>0.41</v>
      </c>
    </row>
    <row r="22" spans="1:13" ht="12" customHeight="1" x14ac:dyDescent="0.2">
      <c r="A22" s="7" t="s">
        <v>33</v>
      </c>
      <c r="B22" s="14" t="s">
        <v>26</v>
      </c>
      <c r="C22" s="14" t="s">
        <v>26</v>
      </c>
      <c r="D22" s="14" t="s">
        <v>26</v>
      </c>
      <c r="E22" s="14" t="s">
        <v>26</v>
      </c>
      <c r="F22" s="14" t="s">
        <v>26</v>
      </c>
      <c r="G22" s="14" t="s">
        <v>26</v>
      </c>
      <c r="H22" s="14" t="s">
        <v>26</v>
      </c>
      <c r="I22" s="14" t="s">
        <v>26</v>
      </c>
      <c r="J22" s="21">
        <v>0.51259999999999994</v>
      </c>
      <c r="K22" s="14" t="s">
        <v>74</v>
      </c>
      <c r="L22" s="14" t="s">
        <v>26</v>
      </c>
      <c r="M22" s="12">
        <v>3.91</v>
      </c>
    </row>
    <row r="23" spans="1:13" ht="12" customHeight="1" x14ac:dyDescent="0.2">
      <c r="A23" s="7" t="s">
        <v>34</v>
      </c>
      <c r="B23" s="20">
        <v>0.433</v>
      </c>
      <c r="C23" s="20">
        <v>0.432</v>
      </c>
      <c r="D23" s="20">
        <v>0.36099999999999999</v>
      </c>
      <c r="E23" s="21">
        <v>0.26569999999999999</v>
      </c>
      <c r="F23" s="21">
        <v>0.76670000000000005</v>
      </c>
      <c r="G23" s="21">
        <v>2.2593999999999999</v>
      </c>
      <c r="H23" s="21">
        <v>3.1573000000000002</v>
      </c>
      <c r="I23" s="21">
        <v>-0.48780000000000001</v>
      </c>
      <c r="J23" s="21">
        <v>0.1181</v>
      </c>
      <c r="K23" s="22">
        <v>0.4</v>
      </c>
      <c r="L23" s="21">
        <v>-0.33050000000000002</v>
      </c>
      <c r="M23" s="12">
        <v>1.01</v>
      </c>
    </row>
    <row r="24" spans="1:13" ht="12" customHeight="1" x14ac:dyDescent="0.2">
      <c r="A24" s="7" t="s">
        <v>35</v>
      </c>
      <c r="B24" s="20">
        <v>0.53600000000000003</v>
      </c>
      <c r="C24" s="20">
        <v>0.54300000000000004</v>
      </c>
      <c r="D24" s="20">
        <v>0.52100000000000002</v>
      </c>
      <c r="E24" s="21">
        <v>0.36470000000000002</v>
      </c>
      <c r="F24" s="21">
        <v>2.7418999999999998</v>
      </c>
      <c r="G24" s="21">
        <v>4.1174999999999997</v>
      </c>
      <c r="H24" s="21">
        <v>4.9852999999999996</v>
      </c>
      <c r="I24" s="21">
        <v>5.6722999999999999</v>
      </c>
      <c r="J24" s="21">
        <v>0.37659999999999999</v>
      </c>
      <c r="K24" s="22">
        <v>0.5</v>
      </c>
      <c r="L24" s="21">
        <v>-0.12670000000000001</v>
      </c>
      <c r="M24" s="12">
        <v>0.98</v>
      </c>
    </row>
    <row r="25" spans="1:13" x14ac:dyDescent="0.2">
      <c r="A25" s="7" t="s">
        <v>36</v>
      </c>
      <c r="B25" s="20">
        <v>0.41699999999999998</v>
      </c>
      <c r="C25" s="20">
        <v>0.311</v>
      </c>
      <c r="D25" s="20">
        <v>0.26600000000000001</v>
      </c>
      <c r="E25" s="21">
        <v>0.20699999999999999</v>
      </c>
      <c r="F25" s="21">
        <v>0.37790000000000001</v>
      </c>
      <c r="G25" s="21">
        <v>0.77400000000000002</v>
      </c>
      <c r="H25" s="21">
        <v>1.0305</v>
      </c>
      <c r="I25" s="21">
        <v>1.4294</v>
      </c>
      <c r="J25" s="21">
        <v>0.31559999999999999</v>
      </c>
      <c r="K25" s="22">
        <v>1</v>
      </c>
      <c r="L25" s="14" t="s">
        <v>26</v>
      </c>
      <c r="M25" s="12">
        <v>0.89</v>
      </c>
    </row>
    <row r="26" spans="1:13" x14ac:dyDescent="0.2">
      <c r="A26" s="8"/>
      <c r="B26" s="8"/>
      <c r="C26" s="8"/>
      <c r="D26" s="8"/>
      <c r="E26" s="8"/>
      <c r="F26" s="8"/>
      <c r="G26" s="8"/>
      <c r="H26" s="8"/>
      <c r="I26" s="8"/>
      <c r="J26" s="8"/>
      <c r="K26" s="8"/>
      <c r="L26" s="8"/>
      <c r="M26" s="8"/>
    </row>
    <row r="27" spans="1:13" ht="12" customHeight="1" x14ac:dyDescent="0.2">
      <c r="A27" s="7" t="s">
        <v>37</v>
      </c>
      <c r="B27" s="11" t="s">
        <v>62</v>
      </c>
      <c r="C27" s="11" t="s">
        <v>63</v>
      </c>
      <c r="D27" s="11" t="s">
        <v>64</v>
      </c>
      <c r="E27" s="11" t="s">
        <v>65</v>
      </c>
      <c r="F27" s="11" t="s">
        <v>66</v>
      </c>
      <c r="G27" s="11" t="s">
        <v>67</v>
      </c>
      <c r="H27" s="11" t="s">
        <v>68</v>
      </c>
      <c r="I27" s="11" t="s">
        <v>69</v>
      </c>
      <c r="J27" s="11" t="s">
        <v>70</v>
      </c>
      <c r="K27" s="11" t="s">
        <v>71</v>
      </c>
      <c r="L27" s="11" t="s">
        <v>72</v>
      </c>
      <c r="M27" s="11" t="s">
        <v>73</v>
      </c>
    </row>
    <row r="28" spans="1:13" x14ac:dyDescent="0.2">
      <c r="A28" s="7" t="s">
        <v>38</v>
      </c>
      <c r="B28" s="20">
        <v>0.53600000000000003</v>
      </c>
      <c r="C28" s="20">
        <v>0.57399999999999995</v>
      </c>
      <c r="D28" s="20">
        <v>0.52100000000000002</v>
      </c>
      <c r="E28" s="21">
        <v>0.36470000000000002</v>
      </c>
      <c r="F28" s="21">
        <v>2.7418999999999998</v>
      </c>
      <c r="G28" s="21">
        <v>4.1174999999999997</v>
      </c>
      <c r="H28" s="21">
        <v>4.9852999999999996</v>
      </c>
      <c r="I28" s="21">
        <v>5.6722999999999999</v>
      </c>
      <c r="J28" s="21">
        <v>0.51259999999999994</v>
      </c>
      <c r="K28" s="22">
        <v>2.4</v>
      </c>
      <c r="L28" s="21">
        <v>0.16569999999999999</v>
      </c>
      <c r="M28" s="12">
        <v>3.91</v>
      </c>
    </row>
    <row r="29" spans="1:13" x14ac:dyDescent="0.2">
      <c r="A29" s="7" t="s">
        <v>39</v>
      </c>
      <c r="B29" s="20">
        <v>0.25700000000000001</v>
      </c>
      <c r="C29" s="20">
        <v>0.16500000000000001</v>
      </c>
      <c r="D29" s="20">
        <v>0.12</v>
      </c>
      <c r="E29" s="21">
        <v>6.5699999999999995E-2</v>
      </c>
      <c r="F29" s="21">
        <v>0.115</v>
      </c>
      <c r="G29" s="21">
        <v>-0.14360000000000001</v>
      </c>
      <c r="H29" s="21">
        <v>-0.20380000000000001</v>
      </c>
      <c r="I29" s="21">
        <v>-0.48780000000000001</v>
      </c>
      <c r="J29" s="21">
        <v>6.4399999999999999E-2</v>
      </c>
      <c r="K29" s="22">
        <v>0.4</v>
      </c>
      <c r="L29" s="21">
        <v>-0.33050000000000002</v>
      </c>
      <c r="M29" s="12">
        <v>0.41</v>
      </c>
    </row>
    <row r="30" spans="1:13" x14ac:dyDescent="0.2">
      <c r="A30" s="7" t="s">
        <v>40</v>
      </c>
      <c r="B30" s="20">
        <v>0.41199999999999998</v>
      </c>
      <c r="C30" s="20">
        <v>0.35699999999999998</v>
      </c>
      <c r="D30" s="20">
        <v>0.30599999999999999</v>
      </c>
      <c r="E30" s="21">
        <v>0.1933</v>
      </c>
      <c r="F30" s="21">
        <v>0.6835</v>
      </c>
      <c r="G30" s="21">
        <v>1.1228</v>
      </c>
      <c r="H30" s="21">
        <v>1.4629000000000001</v>
      </c>
      <c r="I30" s="21">
        <v>1.3343</v>
      </c>
      <c r="J30" s="21">
        <v>0.31809999999999999</v>
      </c>
      <c r="K30" s="22">
        <v>0.8</v>
      </c>
      <c r="L30" s="21">
        <v>-5.2200000000000003E-2</v>
      </c>
      <c r="M30" s="12">
        <v>1.18</v>
      </c>
    </row>
    <row r="31" spans="1:13" x14ac:dyDescent="0.2">
      <c r="A31" s="7" t="s">
        <v>41</v>
      </c>
      <c r="B31" s="20">
        <v>0.40300000000000002</v>
      </c>
      <c r="C31" s="20">
        <v>0.36299999999999999</v>
      </c>
      <c r="D31" s="20">
        <v>0.308</v>
      </c>
      <c r="E31" s="21">
        <v>0.18729999999999999</v>
      </c>
      <c r="F31" s="21">
        <v>0.53720000000000001</v>
      </c>
      <c r="G31" s="21">
        <v>0.65390000000000004</v>
      </c>
      <c r="H31" s="21">
        <v>0.79730000000000001</v>
      </c>
      <c r="I31" s="21">
        <v>1.169</v>
      </c>
      <c r="J31" s="21">
        <v>0.3291</v>
      </c>
      <c r="K31" s="22">
        <v>0.6</v>
      </c>
      <c r="L31" s="21">
        <v>-3.3300000000000003E-2</v>
      </c>
      <c r="M31" s="12">
        <v>0.97</v>
      </c>
    </row>
    <row r="32" spans="1:13" x14ac:dyDescent="0.2">
      <c r="A32" s="10"/>
      <c r="B32" s="10"/>
      <c r="C32" s="10"/>
      <c r="D32" s="10"/>
      <c r="E32" s="10"/>
      <c r="F32" s="10"/>
      <c r="G32" s="10"/>
      <c r="H32" s="10"/>
      <c r="I32" s="10"/>
      <c r="J32" s="10"/>
      <c r="K32" s="10"/>
      <c r="L32" s="10"/>
      <c r="M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11137-3241-4744-ABB7-5DDF845EF313}">
  <sheetPr codeName="Sheet6">
    <outlinePr summaryBelow="0" summaryRight="0"/>
  </sheetPr>
  <dimension ref="A4:IU44"/>
  <sheetViews>
    <sheetView defaultGridColor="0" colorId="0" workbookViewId="0"/>
  </sheetViews>
  <sheetFormatPr defaultRowHeight="10.199999999999999" x14ac:dyDescent="0.2"/>
  <cols>
    <col min="1" max="1" width="47.88671875" customWidth="1"/>
    <col min="2" max="3" width="25.88671875" customWidth="1"/>
    <col min="4" max="9" width="9.33203125"/>
  </cols>
  <sheetData>
    <row r="4" spans="1:255" ht="16.2" x14ac:dyDescent="0.25">
      <c r="A4" s="1" t="s">
        <v>75</v>
      </c>
    </row>
    <row r="7" spans="1:255" x14ac:dyDescent="0.2">
      <c r="A7" s="2" t="s">
        <v>1</v>
      </c>
      <c r="B7" s="2"/>
      <c r="C7" s="2"/>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76</v>
      </c>
      <c r="B8" s="4" t="s">
        <v>3</v>
      </c>
    </row>
    <row r="9" spans="1:255" x14ac:dyDescent="0.2">
      <c r="A9" s="3" t="s">
        <v>77</v>
      </c>
      <c r="B9" s="4" t="s">
        <v>5</v>
      </c>
    </row>
    <row r="10" spans="1:255" x14ac:dyDescent="0.2">
      <c r="A10" s="3" t="s">
        <v>78</v>
      </c>
      <c r="B10" s="5">
        <v>45044</v>
      </c>
    </row>
    <row r="11" spans="1:255" x14ac:dyDescent="0.2">
      <c r="A11" s="6"/>
    </row>
    <row r="13" spans="1:255" x14ac:dyDescent="0.2">
      <c r="A13" s="2" t="s">
        <v>7</v>
      </c>
      <c r="B13" s="2"/>
      <c r="C13" s="2"/>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7" t="s">
        <v>8</v>
      </c>
      <c r="B14" s="7" t="s">
        <v>79</v>
      </c>
      <c r="C14" s="7" t="s">
        <v>80</v>
      </c>
    </row>
    <row r="15" spans="1:255" ht="12" customHeight="1" x14ac:dyDescent="0.2">
      <c r="A15" s="7" t="s">
        <v>25</v>
      </c>
      <c r="B15" s="23" t="s">
        <v>81</v>
      </c>
      <c r="C15" s="23" t="s">
        <v>82</v>
      </c>
    </row>
    <row r="16" spans="1:255" ht="12" customHeight="1" x14ac:dyDescent="0.2">
      <c r="A16" s="7" t="s">
        <v>27</v>
      </c>
      <c r="B16" s="23" t="s">
        <v>83</v>
      </c>
      <c r="C16" s="23" t="s">
        <v>84</v>
      </c>
    </row>
    <row r="17" spans="1:3" ht="12" customHeight="1" x14ac:dyDescent="0.2">
      <c r="A17" s="7" t="s">
        <v>28</v>
      </c>
      <c r="B17" s="23" t="s">
        <v>85</v>
      </c>
      <c r="C17" s="23" t="s">
        <v>86</v>
      </c>
    </row>
    <row r="18" spans="1:3" ht="12" customHeight="1" x14ac:dyDescent="0.2">
      <c r="A18" s="7" t="s">
        <v>29</v>
      </c>
      <c r="B18" s="23" t="s">
        <v>87</v>
      </c>
      <c r="C18" s="23" t="s">
        <v>88</v>
      </c>
    </row>
    <row r="19" spans="1:3" ht="12" customHeight="1" x14ac:dyDescent="0.2">
      <c r="A19" s="7" t="s">
        <v>30</v>
      </c>
      <c r="B19" s="23" t="s">
        <v>89</v>
      </c>
      <c r="C19" s="23" t="s">
        <v>90</v>
      </c>
    </row>
    <row r="20" spans="1:3" ht="12" customHeight="1" x14ac:dyDescent="0.2">
      <c r="A20" s="7" t="s">
        <v>31</v>
      </c>
      <c r="B20" s="23" t="s">
        <v>91</v>
      </c>
      <c r="C20" s="23" t="s">
        <v>92</v>
      </c>
    </row>
    <row r="21" spans="1:3" ht="12" customHeight="1" x14ac:dyDescent="0.2">
      <c r="A21" s="7" t="s">
        <v>32</v>
      </c>
      <c r="B21" s="23" t="s">
        <v>93</v>
      </c>
      <c r="C21" s="23" t="s">
        <v>94</v>
      </c>
    </row>
    <row r="22" spans="1:3" ht="12" customHeight="1" x14ac:dyDescent="0.2">
      <c r="A22" s="7" t="s">
        <v>33</v>
      </c>
      <c r="B22" s="23" t="s">
        <v>95</v>
      </c>
      <c r="C22" s="23" t="s">
        <v>96</v>
      </c>
    </row>
    <row r="23" spans="1:3" ht="12" customHeight="1" x14ac:dyDescent="0.2">
      <c r="A23" s="7" t="s">
        <v>34</v>
      </c>
      <c r="B23" s="23" t="s">
        <v>97</v>
      </c>
      <c r="C23" s="23" t="s">
        <v>98</v>
      </c>
    </row>
    <row r="24" spans="1:3" ht="12" customHeight="1" x14ac:dyDescent="0.2">
      <c r="A24" s="7" t="s">
        <v>35</v>
      </c>
      <c r="B24" s="23" t="s">
        <v>99</v>
      </c>
      <c r="C24" s="23" t="s">
        <v>100</v>
      </c>
    </row>
    <row r="25" spans="1:3" x14ac:dyDescent="0.2">
      <c r="A25" s="8"/>
      <c r="B25" s="8"/>
      <c r="C25" s="8"/>
    </row>
    <row r="26" spans="1:3" x14ac:dyDescent="0.2">
      <c r="A26" s="9"/>
      <c r="B26" s="9"/>
      <c r="C26" s="9"/>
    </row>
    <row r="27" spans="1:3" ht="12" customHeight="1" x14ac:dyDescent="0.2">
      <c r="A27" s="7" t="s">
        <v>36</v>
      </c>
      <c r="B27" s="23" t="s">
        <v>101</v>
      </c>
      <c r="C27" s="23" t="s">
        <v>102</v>
      </c>
    </row>
    <row r="28" spans="1:3" x14ac:dyDescent="0.2">
      <c r="A28" s="10"/>
      <c r="B28" s="10"/>
      <c r="C28" s="10"/>
    </row>
    <row r="30" spans="1:3" x14ac:dyDescent="0.2">
      <c r="A30" s="6" t="s">
        <v>42</v>
      </c>
    </row>
    <row r="35" spans="1:1" x14ac:dyDescent="0.2">
      <c r="A35" t="s">
        <v>43</v>
      </c>
    </row>
    <row r="36" spans="1:1" x14ac:dyDescent="0.2">
      <c r="A36" t="s">
        <v>44</v>
      </c>
    </row>
    <row r="44" spans="1:1" ht="25.05" customHeight="1" x14ac:dyDescent="0.2">
      <c r="A44" s="18" t="s">
        <v>45</v>
      </c>
    </row>
  </sheetData>
  <pageMargins left="0.2" right="0.2" top="0.5" bottom="0.5" header="0.5" footer="0.5"/>
  <pageSetup fitToWidth="0" fitToHeight="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CA904-F32A-4C08-A917-AC6B8BD33327}">
  <sheetPr codeName="Sheet7">
    <outlinePr summaryBelow="0" summaryRight="0"/>
  </sheetPr>
  <dimension ref="A4:IU69"/>
  <sheetViews>
    <sheetView defaultGridColor="0" colorId="0" workbookViewId="0"/>
  </sheetViews>
  <sheetFormatPr defaultRowHeight="10.199999999999999" x14ac:dyDescent="0.2"/>
  <cols>
    <col min="1" max="1" width="25.88671875" customWidth="1"/>
    <col min="2" max="3" width="20.88671875" customWidth="1"/>
    <col min="4" max="9" width="25.88671875" customWidth="1"/>
  </cols>
  <sheetData>
    <row r="4" spans="1:255" ht="16.2" x14ac:dyDescent="0.25">
      <c r="A4" s="1" t="s">
        <v>103</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104</v>
      </c>
      <c r="B8" s="4" t="s">
        <v>3</v>
      </c>
    </row>
    <row r="9" spans="1:255" x14ac:dyDescent="0.2">
      <c r="A9" s="3" t="s">
        <v>105</v>
      </c>
      <c r="B9" s="4" t="s">
        <v>5</v>
      </c>
    </row>
    <row r="10" spans="1:255" x14ac:dyDescent="0.2">
      <c r="A10" s="3" t="s">
        <v>106</v>
      </c>
      <c r="B10" s="5">
        <v>45044</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9" t="s">
        <v>8</v>
      </c>
      <c r="B14" s="11" t="s">
        <v>18</v>
      </c>
      <c r="C14" s="11" t="s">
        <v>19</v>
      </c>
      <c r="D14" s="11" t="s">
        <v>20</v>
      </c>
      <c r="E14" s="11" t="s">
        <v>22</v>
      </c>
      <c r="F14" s="11" t="s">
        <v>23</v>
      </c>
      <c r="G14" s="11" t="s">
        <v>107</v>
      </c>
      <c r="H14" s="11" t="s">
        <v>24</v>
      </c>
      <c r="I14" s="11" t="s">
        <v>16</v>
      </c>
    </row>
    <row r="15" spans="1:255" ht="12" customHeight="1" x14ac:dyDescent="0.2">
      <c r="A15" s="7" t="s">
        <v>36</v>
      </c>
      <c r="B15" s="13">
        <v>37012</v>
      </c>
      <c r="C15" s="13">
        <v>11513</v>
      </c>
      <c r="D15" s="13">
        <v>9840</v>
      </c>
      <c r="E15" s="12">
        <v>31483.41</v>
      </c>
      <c r="F15" s="12">
        <v>8506.11</v>
      </c>
      <c r="G15" s="12">
        <v>14.23</v>
      </c>
      <c r="H15" s="12">
        <v>8.81</v>
      </c>
      <c r="I15" s="12">
        <v>21.99</v>
      </c>
    </row>
    <row r="16" spans="1:255" x14ac:dyDescent="0.2">
      <c r="A16" s="8"/>
      <c r="B16" s="8"/>
      <c r="C16" s="8"/>
      <c r="D16" s="8"/>
      <c r="E16" s="8"/>
      <c r="F16" s="8"/>
      <c r="G16" s="8"/>
      <c r="H16" s="8"/>
      <c r="I16" s="8"/>
    </row>
    <row r="17" spans="1:9" x14ac:dyDescent="0.2">
      <c r="A17" s="9"/>
      <c r="B17" s="9" t="s">
        <v>108</v>
      </c>
      <c r="C17" s="9" t="s">
        <v>108</v>
      </c>
      <c r="D17" s="9" t="s">
        <v>108</v>
      </c>
      <c r="E17" s="9" t="s">
        <v>109</v>
      </c>
      <c r="F17" s="9" t="s">
        <v>108</v>
      </c>
      <c r="G17" s="9" t="s">
        <v>108</v>
      </c>
      <c r="H17" s="9" t="s">
        <v>110</v>
      </c>
      <c r="I17" s="9" t="s">
        <v>108</v>
      </c>
    </row>
    <row r="18" spans="1:9" ht="20.399999999999999" x14ac:dyDescent="0.2">
      <c r="A18" s="9"/>
      <c r="B18" s="11" t="s">
        <v>50</v>
      </c>
      <c r="C18" s="11" t="s">
        <v>51</v>
      </c>
      <c r="D18" s="11" t="s">
        <v>52</v>
      </c>
      <c r="E18" s="11" t="s">
        <v>111</v>
      </c>
      <c r="F18" s="11" t="s">
        <v>112</v>
      </c>
      <c r="G18" s="11" t="s">
        <v>53</v>
      </c>
      <c r="H18" s="11" t="s">
        <v>113</v>
      </c>
      <c r="I18" s="11" t="s">
        <v>54</v>
      </c>
    </row>
    <row r="19" spans="1:9" x14ac:dyDescent="0.2">
      <c r="A19" s="9" t="s">
        <v>38</v>
      </c>
      <c r="B19" s="14" t="s">
        <v>74</v>
      </c>
      <c r="C19" s="14" t="s">
        <v>74</v>
      </c>
      <c r="D19" s="14" t="s">
        <v>74</v>
      </c>
      <c r="E19" s="19">
        <v>2.94</v>
      </c>
      <c r="F19" s="19">
        <v>11.74</v>
      </c>
      <c r="G19" s="14" t="s">
        <v>74</v>
      </c>
      <c r="H19" s="19">
        <v>21.1</v>
      </c>
      <c r="I19" s="14" t="s">
        <v>74</v>
      </c>
    </row>
    <row r="20" spans="1:9" x14ac:dyDescent="0.2">
      <c r="A20" s="9" t="s">
        <v>39</v>
      </c>
      <c r="B20" s="14" t="s">
        <v>74</v>
      </c>
      <c r="C20" s="14" t="s">
        <v>74</v>
      </c>
      <c r="D20" s="14" t="s">
        <v>74</v>
      </c>
      <c r="E20" s="19">
        <v>0.72</v>
      </c>
      <c r="F20" s="19">
        <v>2.4300000000000002</v>
      </c>
      <c r="G20" s="14" t="s">
        <v>74</v>
      </c>
      <c r="H20" s="19">
        <v>5.01</v>
      </c>
      <c r="I20" s="14" t="s">
        <v>74</v>
      </c>
    </row>
    <row r="21" spans="1:9" x14ac:dyDescent="0.2">
      <c r="A21" s="9" t="s">
        <v>40</v>
      </c>
      <c r="B21" s="14" t="s">
        <v>74</v>
      </c>
      <c r="C21" s="14" t="s">
        <v>74</v>
      </c>
      <c r="D21" s="14" t="s">
        <v>74</v>
      </c>
      <c r="E21" s="19">
        <v>1.75</v>
      </c>
      <c r="F21" s="19">
        <v>5.95</v>
      </c>
      <c r="G21" s="14" t="s">
        <v>74</v>
      </c>
      <c r="H21" s="19">
        <v>9.4700000000000006</v>
      </c>
      <c r="I21" s="14" t="s">
        <v>74</v>
      </c>
    </row>
    <row r="22" spans="1:9" x14ac:dyDescent="0.2">
      <c r="A22" s="9" t="s">
        <v>41</v>
      </c>
      <c r="B22" s="14" t="s">
        <v>74</v>
      </c>
      <c r="C22" s="14" t="s">
        <v>74</v>
      </c>
      <c r="D22" s="14" t="s">
        <v>74</v>
      </c>
      <c r="E22" s="19">
        <v>1.64</v>
      </c>
      <c r="F22" s="19">
        <v>4.5199999999999996</v>
      </c>
      <c r="G22" s="14" t="s">
        <v>74</v>
      </c>
      <c r="H22" s="19">
        <v>6.93</v>
      </c>
      <c r="I22" s="14" t="s">
        <v>74</v>
      </c>
    </row>
    <row r="23" spans="1:9" x14ac:dyDescent="0.2">
      <c r="A23" s="8"/>
      <c r="B23" s="8"/>
      <c r="C23" s="8"/>
      <c r="D23" s="8"/>
      <c r="E23" s="8"/>
      <c r="F23" s="8"/>
      <c r="G23" s="8"/>
      <c r="H23" s="8"/>
      <c r="I23" s="8"/>
    </row>
    <row r="24" spans="1:9" x14ac:dyDescent="0.2">
      <c r="A24" s="9" t="s">
        <v>114</v>
      </c>
      <c r="B24" s="9"/>
      <c r="C24" s="9"/>
      <c r="D24" s="9"/>
      <c r="E24" s="9"/>
      <c r="F24" s="9"/>
      <c r="G24" s="9"/>
      <c r="H24" s="9"/>
      <c r="I24" s="9"/>
    </row>
    <row r="25" spans="1:9" x14ac:dyDescent="0.2">
      <c r="A25" s="7" t="s">
        <v>38</v>
      </c>
      <c r="B25" s="14" t="s">
        <v>115</v>
      </c>
      <c r="C25" s="14" t="s">
        <v>115</v>
      </c>
      <c r="D25" s="14" t="s">
        <v>115</v>
      </c>
      <c r="E25" s="12">
        <v>92659.77</v>
      </c>
      <c r="F25" s="12">
        <v>99889.68</v>
      </c>
      <c r="G25" s="8"/>
      <c r="H25" s="8"/>
      <c r="I25" s="8"/>
    </row>
    <row r="26" spans="1:9" x14ac:dyDescent="0.2">
      <c r="A26" s="7" t="s">
        <v>39</v>
      </c>
      <c r="B26" s="14" t="s">
        <v>115</v>
      </c>
      <c r="C26" s="14" t="s">
        <v>115</v>
      </c>
      <c r="D26" s="14" t="s">
        <v>115</v>
      </c>
      <c r="E26" s="12">
        <v>22562.09</v>
      </c>
      <c r="F26" s="12">
        <v>20674.18</v>
      </c>
      <c r="G26" s="8"/>
      <c r="H26" s="8"/>
      <c r="I26" s="8"/>
    </row>
    <row r="27" spans="1:9" x14ac:dyDescent="0.2">
      <c r="A27" s="7" t="s">
        <v>40</v>
      </c>
      <c r="B27" s="14" t="s">
        <v>115</v>
      </c>
      <c r="C27" s="14" t="s">
        <v>115</v>
      </c>
      <c r="D27" s="14" t="s">
        <v>115</v>
      </c>
      <c r="E27" s="12">
        <v>55087.98</v>
      </c>
      <c r="F27" s="12">
        <v>50598.51</v>
      </c>
      <c r="G27" s="8"/>
      <c r="H27" s="8"/>
      <c r="I27" s="8"/>
    </row>
    <row r="28" spans="1:9" x14ac:dyDescent="0.2">
      <c r="A28" s="7" t="s">
        <v>41</v>
      </c>
      <c r="B28" s="14" t="s">
        <v>115</v>
      </c>
      <c r="C28" s="14" t="s">
        <v>115</v>
      </c>
      <c r="D28" s="14" t="s">
        <v>115</v>
      </c>
      <c r="E28" s="12">
        <v>51591.28</v>
      </c>
      <c r="F28" s="12">
        <v>38439.040000000001</v>
      </c>
      <c r="G28" s="8"/>
      <c r="H28" s="8"/>
      <c r="I28" s="8"/>
    </row>
    <row r="29" spans="1:9" x14ac:dyDescent="0.2">
      <c r="A29" s="8"/>
      <c r="B29" s="8"/>
      <c r="C29" s="8"/>
      <c r="D29" s="8"/>
      <c r="E29" s="8"/>
      <c r="F29" s="8"/>
      <c r="G29" s="8"/>
      <c r="H29" s="8"/>
      <c r="I29" s="8"/>
    </row>
    <row r="30" spans="1:9" ht="12" customHeight="1" x14ac:dyDescent="0.2">
      <c r="A30" s="9" t="s">
        <v>116</v>
      </c>
      <c r="B30" s="13">
        <v>901</v>
      </c>
      <c r="C30" s="13">
        <v>901</v>
      </c>
      <c r="D30" s="13">
        <v>901</v>
      </c>
      <c r="E30" s="13">
        <v>901</v>
      </c>
      <c r="F30" s="13">
        <v>901</v>
      </c>
      <c r="G30" s="8"/>
      <c r="H30" s="8"/>
      <c r="I30" s="8"/>
    </row>
    <row r="31" spans="1:9" ht="12" customHeight="1" x14ac:dyDescent="0.2">
      <c r="A31" s="9" t="s">
        <v>117</v>
      </c>
      <c r="B31" s="13">
        <v>11928</v>
      </c>
      <c r="C31" s="13">
        <v>11928</v>
      </c>
      <c r="D31" s="13">
        <v>11928</v>
      </c>
      <c r="E31" s="13">
        <v>11928</v>
      </c>
      <c r="F31" s="13">
        <v>11928</v>
      </c>
      <c r="G31" s="8"/>
      <c r="H31" s="8"/>
      <c r="I31" s="8"/>
    </row>
    <row r="32" spans="1:9" ht="12" customHeight="1" x14ac:dyDescent="0.2">
      <c r="A32" s="9" t="s">
        <v>118</v>
      </c>
      <c r="B32" s="14" t="s">
        <v>26</v>
      </c>
      <c r="C32" s="14" t="s">
        <v>26</v>
      </c>
      <c r="D32" s="14" t="s">
        <v>26</v>
      </c>
      <c r="E32" s="14" t="s">
        <v>26</v>
      </c>
      <c r="F32" s="14" t="s">
        <v>26</v>
      </c>
      <c r="G32" s="8"/>
      <c r="H32" s="8"/>
      <c r="I32" s="8"/>
    </row>
    <row r="33" spans="1:9" ht="12" customHeight="1" x14ac:dyDescent="0.2">
      <c r="A33" s="9" t="s">
        <v>119</v>
      </c>
      <c r="B33" s="12">
        <v>45</v>
      </c>
      <c r="C33" s="12">
        <v>45</v>
      </c>
      <c r="D33" s="12">
        <v>45</v>
      </c>
      <c r="E33" s="12">
        <v>45</v>
      </c>
      <c r="F33" s="12">
        <v>45</v>
      </c>
      <c r="G33" s="8"/>
      <c r="H33" s="8"/>
      <c r="I33" s="8"/>
    </row>
    <row r="34" spans="1:9" x14ac:dyDescent="0.2">
      <c r="A34" s="8"/>
      <c r="B34" s="8"/>
      <c r="C34" s="8"/>
      <c r="D34" s="8"/>
      <c r="E34" s="8"/>
      <c r="F34" s="8"/>
      <c r="G34" s="8"/>
      <c r="H34" s="8"/>
      <c r="I34" s="8"/>
    </row>
    <row r="35" spans="1:9" x14ac:dyDescent="0.2">
      <c r="A35" s="9" t="s">
        <v>120</v>
      </c>
      <c r="B35" s="9"/>
      <c r="C35" s="9"/>
      <c r="D35" s="9"/>
      <c r="E35" s="9"/>
      <c r="F35" s="9"/>
      <c r="G35" s="9"/>
      <c r="H35" s="9"/>
      <c r="I35" s="9"/>
    </row>
    <row r="36" spans="1:9" x14ac:dyDescent="0.2">
      <c r="A36" s="7" t="s">
        <v>38</v>
      </c>
      <c r="B36" s="14" t="s">
        <v>115</v>
      </c>
      <c r="C36" s="14" t="s">
        <v>115</v>
      </c>
      <c r="D36" s="14" t="s">
        <v>115</v>
      </c>
      <c r="E36" s="12">
        <v>81587.77</v>
      </c>
      <c r="F36" s="12">
        <v>88817.68</v>
      </c>
      <c r="G36" s="14" t="s">
        <v>115</v>
      </c>
      <c r="H36" s="12">
        <v>92683.4</v>
      </c>
      <c r="I36" s="14" t="s">
        <v>115</v>
      </c>
    </row>
    <row r="37" spans="1:9" x14ac:dyDescent="0.2">
      <c r="A37" s="7" t="s">
        <v>39</v>
      </c>
      <c r="B37" s="14" t="s">
        <v>115</v>
      </c>
      <c r="C37" s="14" t="s">
        <v>115</v>
      </c>
      <c r="D37" s="14" t="s">
        <v>115</v>
      </c>
      <c r="E37" s="12">
        <v>11490.09</v>
      </c>
      <c r="F37" s="12">
        <v>9602.18</v>
      </c>
      <c r="G37" s="14" t="s">
        <v>115</v>
      </c>
      <c r="H37" s="12">
        <v>22011.51</v>
      </c>
      <c r="I37" s="14" t="s">
        <v>115</v>
      </c>
    </row>
    <row r="38" spans="1:9" x14ac:dyDescent="0.2">
      <c r="A38" s="7" t="s">
        <v>40</v>
      </c>
      <c r="B38" s="14" t="s">
        <v>115</v>
      </c>
      <c r="C38" s="14" t="s">
        <v>115</v>
      </c>
      <c r="D38" s="14" t="s">
        <v>115</v>
      </c>
      <c r="E38" s="12">
        <v>44015.98</v>
      </c>
      <c r="F38" s="12">
        <v>39526.51</v>
      </c>
      <c r="G38" s="14" t="s">
        <v>115</v>
      </c>
      <c r="H38" s="12">
        <v>41594.49</v>
      </c>
      <c r="I38" s="14" t="s">
        <v>115</v>
      </c>
    </row>
    <row r="39" spans="1:9" x14ac:dyDescent="0.2">
      <c r="A39" s="7" t="s">
        <v>41</v>
      </c>
      <c r="B39" s="14" t="s">
        <v>115</v>
      </c>
      <c r="C39" s="14" t="s">
        <v>115</v>
      </c>
      <c r="D39" s="14" t="s">
        <v>115</v>
      </c>
      <c r="E39" s="12">
        <v>40519.279999999999</v>
      </c>
      <c r="F39" s="12">
        <v>27367.040000000001</v>
      </c>
      <c r="G39" s="14" t="s">
        <v>115</v>
      </c>
      <c r="H39" s="12">
        <v>30444.13</v>
      </c>
      <c r="I39" s="14" t="s">
        <v>115</v>
      </c>
    </row>
    <row r="40" spans="1:9" x14ac:dyDescent="0.2">
      <c r="A40" s="8"/>
      <c r="B40" s="8"/>
      <c r="C40" s="8"/>
      <c r="D40" s="8"/>
      <c r="E40" s="8"/>
      <c r="F40" s="8"/>
      <c r="G40" s="8"/>
      <c r="H40" s="8"/>
      <c r="I40" s="8"/>
    </row>
    <row r="41" spans="1:9" ht="12" customHeight="1" x14ac:dyDescent="0.2">
      <c r="A41" s="9" t="s">
        <v>121</v>
      </c>
      <c r="B41" s="12">
        <v>498.8</v>
      </c>
      <c r="C41" s="12">
        <v>498.8</v>
      </c>
      <c r="D41" s="12">
        <v>498.8</v>
      </c>
      <c r="E41" s="12">
        <v>498.8</v>
      </c>
      <c r="F41" s="12">
        <v>498.8</v>
      </c>
      <c r="G41" s="12">
        <v>498.8</v>
      </c>
      <c r="H41" s="12">
        <v>498.8</v>
      </c>
      <c r="I41" s="12">
        <v>498.8</v>
      </c>
    </row>
    <row r="42" spans="1:9" x14ac:dyDescent="0.2">
      <c r="A42" s="8"/>
      <c r="B42" s="8"/>
      <c r="C42" s="8"/>
      <c r="D42" s="8"/>
      <c r="E42" s="8"/>
      <c r="F42" s="8"/>
      <c r="G42" s="8"/>
      <c r="H42" s="8"/>
      <c r="I42" s="8"/>
    </row>
    <row r="43" spans="1:9" x14ac:dyDescent="0.2">
      <c r="A43" s="9" t="s">
        <v>122</v>
      </c>
      <c r="B43" s="9"/>
      <c r="C43" s="9"/>
      <c r="D43" s="9"/>
      <c r="E43" s="9"/>
      <c r="F43" s="9"/>
      <c r="G43" s="9"/>
      <c r="H43" s="9"/>
      <c r="I43" s="9"/>
    </row>
    <row r="44" spans="1:9" x14ac:dyDescent="0.2">
      <c r="A44" s="7" t="s">
        <v>38</v>
      </c>
      <c r="B44" s="14" t="s">
        <v>115</v>
      </c>
      <c r="C44" s="14" t="s">
        <v>115</v>
      </c>
      <c r="D44" s="14" t="s">
        <v>115</v>
      </c>
      <c r="E44" s="12">
        <v>163.57</v>
      </c>
      <c r="F44" s="12">
        <v>178.06</v>
      </c>
      <c r="G44" s="14" t="s">
        <v>115</v>
      </c>
      <c r="H44" s="12">
        <v>185.81</v>
      </c>
      <c r="I44" s="14" t="s">
        <v>115</v>
      </c>
    </row>
    <row r="45" spans="1:9" x14ac:dyDescent="0.2">
      <c r="A45" s="7" t="s">
        <v>39</v>
      </c>
      <c r="B45" s="14" t="s">
        <v>115</v>
      </c>
      <c r="C45" s="14" t="s">
        <v>115</v>
      </c>
      <c r="D45" s="14" t="s">
        <v>115</v>
      </c>
      <c r="E45" s="12">
        <v>23.04</v>
      </c>
      <c r="F45" s="12">
        <v>19.25</v>
      </c>
      <c r="G45" s="14" t="s">
        <v>115</v>
      </c>
      <c r="H45" s="12">
        <v>44.13</v>
      </c>
      <c r="I45" s="14" t="s">
        <v>115</v>
      </c>
    </row>
    <row r="46" spans="1:9" x14ac:dyDescent="0.2">
      <c r="A46" s="7" t="s">
        <v>40</v>
      </c>
      <c r="B46" s="14" t="s">
        <v>115</v>
      </c>
      <c r="C46" s="14" t="s">
        <v>115</v>
      </c>
      <c r="D46" s="14" t="s">
        <v>115</v>
      </c>
      <c r="E46" s="12">
        <v>88.24</v>
      </c>
      <c r="F46" s="12">
        <v>79.239999999999995</v>
      </c>
      <c r="G46" s="14" t="s">
        <v>115</v>
      </c>
      <c r="H46" s="12">
        <v>83.39</v>
      </c>
      <c r="I46" s="14" t="s">
        <v>115</v>
      </c>
    </row>
    <row r="47" spans="1:9" x14ac:dyDescent="0.2">
      <c r="A47" s="7" t="s">
        <v>41</v>
      </c>
      <c r="B47" s="14" t="s">
        <v>115</v>
      </c>
      <c r="C47" s="14" t="s">
        <v>115</v>
      </c>
      <c r="D47" s="14" t="s">
        <v>115</v>
      </c>
      <c r="E47" s="12">
        <v>81.23</v>
      </c>
      <c r="F47" s="12">
        <v>54.87</v>
      </c>
      <c r="G47" s="14" t="s">
        <v>115</v>
      </c>
      <c r="H47" s="12">
        <v>61.04</v>
      </c>
      <c r="I47" s="14" t="s">
        <v>115</v>
      </c>
    </row>
    <row r="48" spans="1:9" x14ac:dyDescent="0.2">
      <c r="A48" s="8"/>
      <c r="B48" s="8"/>
      <c r="C48" s="8"/>
      <c r="D48" s="8"/>
      <c r="E48" s="8"/>
      <c r="F48" s="8"/>
      <c r="G48" s="8"/>
      <c r="H48" s="8"/>
      <c r="I48" s="8"/>
    </row>
    <row r="49" spans="1:9" ht="20.399999999999999" x14ac:dyDescent="0.2">
      <c r="A49" s="9" t="s">
        <v>123</v>
      </c>
      <c r="B49" s="11" t="s">
        <v>124</v>
      </c>
      <c r="C49" s="11" t="s">
        <v>125</v>
      </c>
      <c r="D49" s="9"/>
      <c r="E49" s="9"/>
      <c r="F49" s="9"/>
      <c r="G49" s="9"/>
      <c r="H49" s="9"/>
      <c r="I49" s="9"/>
    </row>
    <row r="50" spans="1:9" x14ac:dyDescent="0.2">
      <c r="A50" s="9" t="s">
        <v>38</v>
      </c>
      <c r="B50" s="24">
        <v>87696.28</v>
      </c>
      <c r="C50" s="24">
        <v>175.82</v>
      </c>
      <c r="D50" s="8"/>
      <c r="E50" s="8"/>
      <c r="F50" s="8"/>
      <c r="G50" s="8"/>
      <c r="H50" s="8"/>
      <c r="I50" s="8"/>
    </row>
    <row r="51" spans="1:9" x14ac:dyDescent="0.2">
      <c r="A51" s="9" t="s">
        <v>39</v>
      </c>
      <c r="B51" s="24">
        <v>14367.93</v>
      </c>
      <c r="C51" s="24">
        <v>28.81</v>
      </c>
      <c r="D51" s="8"/>
      <c r="E51" s="8"/>
      <c r="F51" s="8"/>
      <c r="G51" s="8"/>
      <c r="H51" s="8"/>
      <c r="I51" s="8"/>
    </row>
    <row r="52" spans="1:9" x14ac:dyDescent="0.2">
      <c r="A52" s="9" t="s">
        <v>40</v>
      </c>
      <c r="B52" s="24">
        <v>41712.33</v>
      </c>
      <c r="C52" s="24">
        <v>83.63</v>
      </c>
      <c r="D52" s="8"/>
      <c r="E52" s="8"/>
      <c r="F52" s="8"/>
      <c r="G52" s="8"/>
      <c r="H52" s="8"/>
      <c r="I52" s="8"/>
    </row>
    <row r="53" spans="1:9" x14ac:dyDescent="0.2">
      <c r="A53" s="9" t="s">
        <v>41</v>
      </c>
      <c r="B53" s="24">
        <v>32776.82</v>
      </c>
      <c r="C53" s="24">
        <v>65.709999999999994</v>
      </c>
      <c r="D53" s="8"/>
      <c r="E53" s="8"/>
      <c r="F53" s="8"/>
      <c r="G53" s="8"/>
      <c r="H53" s="8"/>
      <c r="I53" s="8"/>
    </row>
    <row r="54" spans="1:9" x14ac:dyDescent="0.2">
      <c r="A54" s="10"/>
      <c r="B54" s="10"/>
      <c r="C54" s="10"/>
      <c r="D54" s="10"/>
      <c r="E54" s="10"/>
      <c r="F54" s="10"/>
      <c r="G54" s="10"/>
      <c r="H54" s="10"/>
      <c r="I54" s="10"/>
    </row>
    <row r="55" spans="1:9" x14ac:dyDescent="0.2">
      <c r="A55" s="6"/>
    </row>
    <row r="60" spans="1:9" x14ac:dyDescent="0.2">
      <c r="A60" t="s">
        <v>43</v>
      </c>
    </row>
    <row r="69" spans="1:1" ht="25.05" customHeight="1" x14ac:dyDescent="0.2">
      <c r="A69" s="18" t="s">
        <v>45</v>
      </c>
    </row>
  </sheetData>
  <pageMargins left="0.2" right="0.2" top="0.5" bottom="0.5" header="0.5" footer="0.5"/>
  <pageSetup fitToWidth="0" fitToHeight="0" orientation="landscape" horizontalDpi="300" verticalDpi="300"/>
  <headerFooter alignWithMargin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88B4E-9CB4-4953-87E1-61C56C7CEFE2}">
  <sheetPr codeName="Sheet8">
    <outlinePr summaryBelow="0" summaryRight="0"/>
  </sheetPr>
  <dimension ref="A4:IU32"/>
  <sheetViews>
    <sheetView defaultGridColor="0" colorId="0" workbookViewId="0"/>
  </sheetViews>
  <sheetFormatPr defaultRowHeight="10.199999999999999" x14ac:dyDescent="0.2"/>
  <cols>
    <col min="1" max="1" width="25.88671875" customWidth="1"/>
    <col min="2" max="2" width="75.88671875" customWidth="1"/>
    <col min="3" max="8" width="9.33203125"/>
  </cols>
  <sheetData>
    <row r="4" spans="1:255" ht="16.2" x14ac:dyDescent="0.25">
      <c r="A4" s="1" t="s">
        <v>126</v>
      </c>
    </row>
    <row r="7" spans="1:255" x14ac:dyDescent="0.2">
      <c r="A7" s="2" t="s">
        <v>1</v>
      </c>
      <c r="B7" s="2"/>
      <c r="C7" s="41"/>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127</v>
      </c>
      <c r="B8" s="4" t="s">
        <v>3</v>
      </c>
    </row>
    <row r="9" spans="1:255" x14ac:dyDescent="0.2">
      <c r="A9" s="3" t="s">
        <v>128</v>
      </c>
      <c r="B9" s="4" t="s">
        <v>5</v>
      </c>
    </row>
    <row r="10" spans="1:255" x14ac:dyDescent="0.2">
      <c r="A10" s="3" t="s">
        <v>129</v>
      </c>
      <c r="B10" s="5">
        <v>45044</v>
      </c>
    </row>
    <row r="11" spans="1:255" x14ac:dyDescent="0.2">
      <c r="A11" s="6"/>
    </row>
    <row r="13" spans="1:255" x14ac:dyDescent="0.2">
      <c r="A13" s="2" t="s">
        <v>7</v>
      </c>
      <c r="B13" s="2"/>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25"/>
      <c r="B14" s="27"/>
    </row>
    <row r="15" spans="1:255" ht="400.05" customHeight="1" x14ac:dyDescent="0.2">
      <c r="A15" s="26"/>
      <c r="B15" s="10"/>
    </row>
    <row r="18" spans="1:1" x14ac:dyDescent="0.2">
      <c r="A18" s="6"/>
    </row>
    <row r="23" spans="1:1" x14ac:dyDescent="0.2">
      <c r="A23" t="s">
        <v>43</v>
      </c>
    </row>
    <row r="32" spans="1:1" ht="25.05" customHeight="1" x14ac:dyDescent="0.2">
      <c r="A32" s="18" t="s">
        <v>45</v>
      </c>
    </row>
  </sheetData>
  <pageMargins left="0.2" right="0.2" top="0.5" bottom="0.5" header="0.5" footer="0.5"/>
  <pageSetup fitToWidth="0" fitToHeight="0" orientation="landscape"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DFDA0-AAF4-4EA3-B70C-31EA6A732ABA}">
  <sheetPr codeName="Sheet9">
    <outlinePr summaryBelow="0" summaryRight="0"/>
  </sheetPr>
  <dimension ref="A4:IU47"/>
  <sheetViews>
    <sheetView defaultGridColor="0" colorId="0" workbookViewId="0"/>
  </sheetViews>
  <sheetFormatPr defaultRowHeight="10.199999999999999" x14ac:dyDescent="0.2"/>
  <cols>
    <col min="1" max="1" width="47.88671875" customWidth="1"/>
    <col min="2" max="5" width="13.88671875" customWidth="1"/>
    <col min="6" max="12" width="25.88671875" customWidth="1"/>
  </cols>
  <sheetData>
    <row r="4" spans="1:255" ht="16.2" x14ac:dyDescent="0.25">
      <c r="A4" s="1" t="s">
        <v>130</v>
      </c>
    </row>
    <row r="7" spans="1:255" x14ac:dyDescent="0.2">
      <c r="A7" s="2" t="s">
        <v>1</v>
      </c>
      <c r="B7" s="2"/>
      <c r="C7" s="2"/>
      <c r="D7" s="2"/>
      <c r="E7" s="2"/>
      <c r="F7" s="2"/>
      <c r="G7" s="2"/>
      <c r="H7" s="2"/>
      <c r="I7" s="2"/>
      <c r="J7" s="2"/>
      <c r="K7" s="2"/>
      <c r="L7" s="2"/>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131</v>
      </c>
      <c r="B8" s="4" t="s">
        <v>3</v>
      </c>
    </row>
    <row r="9" spans="1:255" x14ac:dyDescent="0.2">
      <c r="A9" s="3" t="s">
        <v>132</v>
      </c>
      <c r="B9" s="4" t="s">
        <v>5</v>
      </c>
    </row>
    <row r="10" spans="1:255" x14ac:dyDescent="0.2">
      <c r="A10" s="3" t="s">
        <v>133</v>
      </c>
      <c r="B10" s="5">
        <v>45044</v>
      </c>
    </row>
    <row r="11" spans="1:255" x14ac:dyDescent="0.2">
      <c r="A11" s="6"/>
    </row>
    <row r="13" spans="1:255" x14ac:dyDescent="0.2">
      <c r="A13" s="2" t="s">
        <v>7</v>
      </c>
      <c r="B13" s="2"/>
      <c r="C13" s="2"/>
      <c r="D13" s="2"/>
      <c r="E13" s="2"/>
      <c r="F13" s="2"/>
      <c r="G13" s="2"/>
      <c r="H13" s="2"/>
      <c r="I13" s="2"/>
      <c r="J13" s="2"/>
      <c r="K13" s="2"/>
      <c r="L13" s="2"/>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28" t="s">
        <v>8</v>
      </c>
      <c r="B14" s="29" t="s">
        <v>134</v>
      </c>
      <c r="C14" s="29" t="s">
        <v>135</v>
      </c>
      <c r="D14" s="29" t="s">
        <v>136</v>
      </c>
      <c r="E14" s="29" t="s">
        <v>137</v>
      </c>
      <c r="F14" s="34" t="s">
        <v>138</v>
      </c>
      <c r="G14" s="34" t="s">
        <v>139</v>
      </c>
      <c r="H14" s="29" t="s">
        <v>140</v>
      </c>
      <c r="I14" s="29" t="s">
        <v>141</v>
      </c>
      <c r="J14" s="29" t="s">
        <v>142</v>
      </c>
      <c r="K14" s="28" t="s">
        <v>143</v>
      </c>
      <c r="L14" s="28" t="s">
        <v>144</v>
      </c>
    </row>
    <row r="15" spans="1:255" ht="12" customHeight="1" x14ac:dyDescent="0.2">
      <c r="A15" s="28" t="s">
        <v>35</v>
      </c>
      <c r="B15" s="30">
        <v>1</v>
      </c>
      <c r="C15" s="30">
        <v>1</v>
      </c>
      <c r="D15" s="30">
        <v>1</v>
      </c>
      <c r="E15" s="30">
        <v>1</v>
      </c>
      <c r="F15" s="35">
        <v>44926</v>
      </c>
      <c r="G15" s="35">
        <v>44999</v>
      </c>
      <c r="H15" s="36" t="s">
        <v>145</v>
      </c>
      <c r="I15" s="36" t="s">
        <v>146</v>
      </c>
      <c r="J15" s="36" t="s">
        <v>147</v>
      </c>
      <c r="K15" s="37" t="s">
        <v>148</v>
      </c>
      <c r="L15" s="37" t="s">
        <v>149</v>
      </c>
    </row>
    <row r="16" spans="1:255" ht="12" customHeight="1" x14ac:dyDescent="0.2">
      <c r="A16" s="28" t="s">
        <v>27</v>
      </c>
      <c r="B16" s="30">
        <v>1</v>
      </c>
      <c r="C16" s="31">
        <v>2</v>
      </c>
      <c r="D16" s="31">
        <v>2</v>
      </c>
      <c r="E16" s="30">
        <v>1</v>
      </c>
      <c r="F16" s="35">
        <v>44926</v>
      </c>
      <c r="G16" s="35">
        <v>44981</v>
      </c>
      <c r="H16" s="36" t="s">
        <v>150</v>
      </c>
      <c r="I16" s="36" t="s">
        <v>146</v>
      </c>
      <c r="J16" s="36" t="s">
        <v>151</v>
      </c>
      <c r="K16" s="37" t="s">
        <v>152</v>
      </c>
      <c r="L16" s="37" t="s">
        <v>149</v>
      </c>
    </row>
    <row r="17" spans="1:12" ht="12" customHeight="1" x14ac:dyDescent="0.2">
      <c r="A17" s="28" t="s">
        <v>34</v>
      </c>
      <c r="B17" s="31">
        <v>2</v>
      </c>
      <c r="C17" s="32">
        <v>3</v>
      </c>
      <c r="D17" s="30">
        <v>1</v>
      </c>
      <c r="E17" s="31">
        <v>2</v>
      </c>
      <c r="F17" s="35">
        <v>44926</v>
      </c>
      <c r="G17" s="35">
        <v>45002</v>
      </c>
      <c r="H17" s="36" t="s">
        <v>153</v>
      </c>
      <c r="I17" s="36" t="s">
        <v>146</v>
      </c>
      <c r="J17" s="36" t="s">
        <v>154</v>
      </c>
      <c r="K17" s="37" t="s">
        <v>155</v>
      </c>
      <c r="L17" s="37" t="s">
        <v>149</v>
      </c>
    </row>
    <row r="18" spans="1:12" ht="12" customHeight="1" x14ac:dyDescent="0.2">
      <c r="A18" s="28" t="s">
        <v>30</v>
      </c>
      <c r="B18" s="31">
        <v>2</v>
      </c>
      <c r="C18" s="32">
        <v>3</v>
      </c>
      <c r="D18" s="32">
        <v>3</v>
      </c>
      <c r="E18" s="32">
        <v>3</v>
      </c>
      <c r="F18" s="35">
        <v>44926</v>
      </c>
      <c r="G18" s="35">
        <v>45010</v>
      </c>
      <c r="H18" s="36" t="s">
        <v>156</v>
      </c>
      <c r="I18" s="36" t="s">
        <v>157</v>
      </c>
      <c r="J18" s="36" t="s">
        <v>158</v>
      </c>
      <c r="K18" s="37" t="s">
        <v>159</v>
      </c>
      <c r="L18" s="37" t="s">
        <v>149</v>
      </c>
    </row>
    <row r="19" spans="1:12" ht="12" customHeight="1" x14ac:dyDescent="0.2">
      <c r="A19" s="28" t="s">
        <v>29</v>
      </c>
      <c r="B19" s="32">
        <v>3</v>
      </c>
      <c r="C19" s="31">
        <v>2</v>
      </c>
      <c r="D19" s="33">
        <v>4</v>
      </c>
      <c r="E19" s="32">
        <v>3</v>
      </c>
      <c r="F19" s="35">
        <v>44926</v>
      </c>
      <c r="G19" s="35">
        <v>45011</v>
      </c>
      <c r="H19" s="36" t="s">
        <v>150</v>
      </c>
      <c r="I19" s="36" t="s">
        <v>157</v>
      </c>
      <c r="J19" s="36" t="s">
        <v>160</v>
      </c>
      <c r="K19" s="37" t="s">
        <v>161</v>
      </c>
      <c r="L19" s="37" t="s">
        <v>149</v>
      </c>
    </row>
    <row r="20" spans="1:12" ht="12" customHeight="1" x14ac:dyDescent="0.2">
      <c r="A20" s="28" t="s">
        <v>25</v>
      </c>
      <c r="B20" s="32">
        <v>3</v>
      </c>
      <c r="C20" s="33">
        <v>4</v>
      </c>
      <c r="D20" s="31">
        <v>2</v>
      </c>
      <c r="E20" s="33">
        <v>4</v>
      </c>
      <c r="F20" s="35">
        <v>44926</v>
      </c>
      <c r="G20" s="35">
        <v>44982</v>
      </c>
      <c r="H20" s="36" t="s">
        <v>150</v>
      </c>
      <c r="I20" s="36" t="s">
        <v>162</v>
      </c>
      <c r="J20" s="36" t="s">
        <v>163</v>
      </c>
      <c r="K20" s="37" t="s">
        <v>152</v>
      </c>
      <c r="L20" s="37" t="s">
        <v>149</v>
      </c>
    </row>
    <row r="21" spans="1:12" ht="12" customHeight="1" x14ac:dyDescent="0.2">
      <c r="A21" s="28" t="s">
        <v>28</v>
      </c>
      <c r="B21" s="32">
        <v>3</v>
      </c>
      <c r="C21" s="33">
        <v>4</v>
      </c>
      <c r="D21" s="32">
        <v>3</v>
      </c>
      <c r="E21" s="31">
        <v>2</v>
      </c>
      <c r="F21" s="35">
        <v>44926</v>
      </c>
      <c r="G21" s="35">
        <v>44967</v>
      </c>
      <c r="H21" s="36" t="s">
        <v>164</v>
      </c>
      <c r="I21" s="36" t="s">
        <v>162</v>
      </c>
      <c r="J21" s="36" t="s">
        <v>165</v>
      </c>
      <c r="K21" s="37" t="s">
        <v>152</v>
      </c>
      <c r="L21" s="37" t="s">
        <v>149</v>
      </c>
    </row>
    <row r="22" spans="1:12" ht="12" customHeight="1" x14ac:dyDescent="0.2">
      <c r="A22" s="28" t="s">
        <v>32</v>
      </c>
      <c r="B22" s="33">
        <v>4</v>
      </c>
      <c r="C22" s="30">
        <v>1</v>
      </c>
      <c r="D22" s="32">
        <v>3</v>
      </c>
      <c r="E22" s="33">
        <v>4</v>
      </c>
      <c r="F22" s="35">
        <v>44926</v>
      </c>
      <c r="G22" s="35">
        <v>44986</v>
      </c>
      <c r="H22" s="36" t="s">
        <v>156</v>
      </c>
      <c r="I22" s="36" t="s">
        <v>157</v>
      </c>
      <c r="J22" s="36" t="s">
        <v>166</v>
      </c>
      <c r="K22" s="37" t="s">
        <v>167</v>
      </c>
      <c r="L22" s="37" t="s">
        <v>149</v>
      </c>
    </row>
    <row r="23" spans="1:12" ht="12" customHeight="1" x14ac:dyDescent="0.2">
      <c r="A23" s="28" t="s">
        <v>31</v>
      </c>
      <c r="B23" s="33">
        <v>4</v>
      </c>
      <c r="C23" s="33">
        <v>4</v>
      </c>
      <c r="D23" s="33">
        <v>4</v>
      </c>
      <c r="E23" s="32">
        <v>3</v>
      </c>
      <c r="F23" s="35">
        <v>44926</v>
      </c>
      <c r="G23" s="35">
        <v>44983</v>
      </c>
      <c r="H23" s="36" t="s">
        <v>156</v>
      </c>
      <c r="I23" s="36" t="s">
        <v>168</v>
      </c>
      <c r="J23" s="36" t="s">
        <v>169</v>
      </c>
      <c r="K23" s="37" t="s">
        <v>152</v>
      </c>
      <c r="L23" s="37" t="s">
        <v>149</v>
      </c>
    </row>
    <row r="24" spans="1:12" x14ac:dyDescent="0.2">
      <c r="A24" s="8"/>
      <c r="B24" s="8"/>
      <c r="C24" s="8"/>
      <c r="D24" s="8"/>
      <c r="E24" s="8"/>
      <c r="F24" s="8"/>
      <c r="G24" s="8"/>
      <c r="H24" s="8"/>
      <c r="I24" s="8"/>
      <c r="J24" s="8"/>
      <c r="K24" s="8"/>
      <c r="L24" s="8"/>
    </row>
    <row r="25" spans="1:12" x14ac:dyDescent="0.2">
      <c r="A25" s="9"/>
      <c r="B25" s="9"/>
      <c r="C25" s="9"/>
      <c r="D25" s="9"/>
      <c r="E25" s="9"/>
      <c r="F25" s="9"/>
      <c r="G25" s="9"/>
      <c r="H25" s="9"/>
      <c r="I25" s="9"/>
      <c r="J25" s="9"/>
      <c r="K25" s="9"/>
      <c r="L25" s="9"/>
    </row>
    <row r="26" spans="1:12" ht="12" customHeight="1" x14ac:dyDescent="0.2">
      <c r="A26" s="28" t="s">
        <v>36</v>
      </c>
      <c r="B26" s="33">
        <v>4</v>
      </c>
      <c r="C26" s="32">
        <v>3</v>
      </c>
      <c r="D26" s="33">
        <v>4</v>
      </c>
      <c r="E26" s="33">
        <v>4</v>
      </c>
      <c r="F26" s="35">
        <v>44926</v>
      </c>
      <c r="G26" s="35">
        <v>44983</v>
      </c>
      <c r="H26" s="36" t="s">
        <v>150</v>
      </c>
      <c r="I26" s="36" t="s">
        <v>162</v>
      </c>
      <c r="J26" s="36" t="s">
        <v>170</v>
      </c>
      <c r="K26" s="37" t="s">
        <v>171</v>
      </c>
      <c r="L26" s="37" t="s">
        <v>149</v>
      </c>
    </row>
    <row r="27" spans="1:12" x14ac:dyDescent="0.2">
      <c r="A27" s="10"/>
      <c r="B27" s="10"/>
      <c r="C27" s="10"/>
      <c r="D27" s="10"/>
      <c r="E27" s="10"/>
      <c r="F27" s="10"/>
      <c r="G27" s="10"/>
      <c r="H27" s="10"/>
      <c r="I27" s="10"/>
      <c r="J27" s="10"/>
      <c r="K27" s="10"/>
      <c r="L27" s="10"/>
    </row>
    <row r="29" spans="1:12" x14ac:dyDescent="0.2">
      <c r="A29" s="6" t="s">
        <v>172</v>
      </c>
    </row>
    <row r="34" spans="1:1" x14ac:dyDescent="0.2">
      <c r="A34" t="s">
        <v>43</v>
      </c>
    </row>
    <row r="37" spans="1:1" x14ac:dyDescent="0.2">
      <c r="A37" t="s">
        <v>173</v>
      </c>
    </row>
    <row r="44" spans="1:1" ht="25.05" customHeight="1" x14ac:dyDescent="0.2">
      <c r="A44" s="18" t="s">
        <v>174</v>
      </c>
    </row>
    <row r="47" spans="1:1" ht="120" customHeight="1" x14ac:dyDescent="0.2">
      <c r="A47" s="38" t="s">
        <v>175</v>
      </c>
    </row>
  </sheetData>
  <pageMargins left="0.2" right="0.2" top="0.5" bottom="0.5" header="0.5" footer="0.5"/>
  <pageSetup fitToWidth="0" fitToHeight="0" orientation="landscape" horizontalDpi="300" verticalDpi="300"/>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FA675-0EBD-4C63-A7C4-D1DE7F5F2C70}">
  <sheetPr codeName="Sheet10">
    <outlinePr summaryBelow="0" summaryRight="0"/>
  </sheetPr>
  <dimension ref="A6:A26"/>
  <sheetViews>
    <sheetView defaultGridColor="0" colorId="0" workbookViewId="0"/>
  </sheetViews>
  <sheetFormatPr defaultRowHeight="10.199999999999999" x14ac:dyDescent="0.2"/>
  <cols>
    <col min="1" max="1" width="150.88671875" customWidth="1"/>
    <col min="2" max="2" width="9.33203125"/>
  </cols>
  <sheetData>
    <row r="6" spans="1:1" ht="16.5" customHeight="1" x14ac:dyDescent="0.25">
      <c r="A6" s="1" t="s">
        <v>176</v>
      </c>
    </row>
    <row r="8" spans="1:1" x14ac:dyDescent="0.2">
      <c r="A8" t="s">
        <v>177</v>
      </c>
    </row>
    <row r="10" spans="1:1" ht="120" customHeight="1" x14ac:dyDescent="0.2">
      <c r="A10" s="39" t="s">
        <v>178</v>
      </c>
    </row>
    <row r="12" spans="1:1" ht="72" customHeight="1" x14ac:dyDescent="0.2">
      <c r="A12" s="39" t="s">
        <v>179</v>
      </c>
    </row>
    <row r="14" spans="1:1" ht="36" customHeight="1" x14ac:dyDescent="0.2">
      <c r="A14" s="39" t="s">
        <v>180</v>
      </c>
    </row>
    <row r="16" spans="1:1" ht="36" customHeight="1" x14ac:dyDescent="0.2">
      <c r="A16" s="40" t="s">
        <v>181</v>
      </c>
    </row>
    <row r="18" spans="1:1" ht="36" customHeight="1" x14ac:dyDescent="0.2">
      <c r="A18" s="40" t="s">
        <v>182</v>
      </c>
    </row>
    <row r="20" spans="1:1" ht="36" customHeight="1" x14ac:dyDescent="0.2">
      <c r="A20" s="40" t="s">
        <v>183</v>
      </c>
    </row>
    <row r="22" spans="1:1" ht="24" customHeight="1" x14ac:dyDescent="0.2">
      <c r="A22" s="40" t="s">
        <v>184</v>
      </c>
    </row>
    <row r="24" spans="1:1" ht="24" customHeight="1" x14ac:dyDescent="0.2">
      <c r="A24" s="40" t="s">
        <v>185</v>
      </c>
    </row>
    <row r="26" spans="1:1" ht="24" customHeight="1" x14ac:dyDescent="0.2">
      <c r="A26" s="40" t="s">
        <v>186</v>
      </c>
    </row>
  </sheetData>
  <pageMargins left="0.2" right="0.2" top="0.5" bottom="0.5" header="0.5" footer="0.5"/>
  <pageSetup fitToWidth="0" fitToHeight="0" orientation="landscape" horizontalDpi="300" verticalDpi="300"/>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01933-360C-4469-ACAF-AC67E5ED14F7}">
  <sheetPr codeName="Sheet11"/>
  <dimension ref="A5"/>
  <sheetViews>
    <sheetView workbookViewId="0"/>
  </sheetViews>
  <sheetFormatPr defaultRowHeight="10.199999999999999" x14ac:dyDescent="0.2"/>
  <sheetData>
    <row r="5" spans="1:1" ht="23.25" customHeight="1" x14ac:dyDescent="0.4">
      <c r="A5" s="42" t="s">
        <v>187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11</vt:i4>
      </vt:variant>
      <vt:variant>
        <vt:lpstr>Named Ranges</vt:lpstr>
      </vt:variant>
      <vt:variant>
        <vt:i4>8</vt:i4>
      </vt:variant>
    </vt:vector>
  </HeadingPairs>
  <TitlesOfParts>
    <vt:vector size="19" baseType="lpstr">
      <vt:lpstr>COMPCO</vt:lpstr>
      <vt:lpstr>BENCHMARKING</vt:lpstr>
      <vt:lpstr>Financial Data</vt:lpstr>
      <vt:lpstr>Trading Multiples</vt:lpstr>
      <vt:lpstr>Operating Statistics</vt:lpstr>
      <vt:lpstr>Business Description</vt:lpstr>
      <vt:lpstr>Implied Valuation</vt:lpstr>
      <vt:lpstr>Valuation Chart</vt:lpstr>
      <vt:lpstr>Credit Health Panel</vt:lpstr>
      <vt:lpstr>Disclaimer</vt:lpstr>
      <vt:lpstr>Evaluation Warning</vt:lpstr>
      <vt:lpstr>'Business Description'!Print_Titles</vt:lpstr>
      <vt:lpstr>'Credit Health Panel'!Print_Titles</vt:lpstr>
      <vt:lpstr>Disclaimer!Print_Titles</vt:lpstr>
      <vt:lpstr>'Financial Data'!Print_Titles</vt:lpstr>
      <vt:lpstr>'Implied Valuation'!Print_Titles</vt:lpstr>
      <vt:lpstr>'Operating Statistics'!Print_Titles</vt:lpstr>
      <vt:lpstr>'Trading Multiples'!Print_Titles</vt:lpstr>
      <vt:lpstr>'Valuation Chart'!Print_Titles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2004-07-20T21:40:42Z</dcterms:created>
  <dcterms:modified xsi:type="dcterms:W3CDTF">2023-04-28T19:29:06Z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By">
    <vt:lpwstr>SoftArtisans OfficeWriter for Excel 8.6.2.281 (http://officewriter.softartisans.com)</vt:lpwstr>
  </property>
</Properties>
</file>