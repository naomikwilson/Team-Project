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A5E70E10-3BCF-47F7-8806-81070E779A73}" xr6:coauthVersionLast="47" xr6:coauthVersionMax="47" xr10:uidLastSave="{00000000-0000-0000-0000-000000000000}"/>
  <bookViews>
    <workbookView xWindow="1812" yWindow="612" windowWidth="17316" windowHeight="10512"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S8" i="11" s="1"/>
  <c r="S14" i="11" s="1"/>
  <c r="S12" i="11" s="1"/>
  <c r="S10"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Q8" i="11" l="1"/>
  <c r="Q10" i="11" s="1"/>
  <c r="Q12" i="11" s="1"/>
  <c r="Q14" i="11" s="1"/>
  <c r="Q15" i="11" s="1"/>
  <c r="Q17" i="11" s="1"/>
  <c r="R8" i="11"/>
  <c r="R10" i="11" s="1"/>
  <c r="R12" i="11" s="1"/>
  <c r="R14" i="11" s="1"/>
</calcChain>
</file>

<file path=xl/sharedStrings.xml><?xml version="1.0" encoding="utf-8"?>
<sst xmlns="http://schemas.openxmlformats.org/spreadsheetml/2006/main" count="692" uniqueCount="203">
  <si>
    <t>Scorpio Tankers Inc. (NYSE:STNG)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</si>
  <si>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</si>
  <si>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</si>
  <si>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</si>
  <si>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</si>
  <si>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</si>
  <si>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</si>
  <si>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</si>
  <si>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</si>
  <si>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</si>
  <si>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</si>
  <si>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</si>
  <si>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</si>
  <si>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</si>
  <si>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</si>
  <si>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</si>
  <si>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</si>
  <si>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</si>
  <si>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</si>
  <si>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</si>
  <si>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</si>
  <si>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</si>
  <si>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</si>
  <si>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</si>
  <si>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</si>
  <si>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Frontline plc (NYSE:FRO)</t>
  </si>
  <si>
    <t>-</t>
  </si>
  <si>
    <t>International Seaways, Inc. (NYSE:INSW)</t>
  </si>
  <si>
    <t>Teekay Tankers Ltd. (NYSE:TNK)</t>
  </si>
  <si>
    <t>Euronav NV (ENXTBR:EURN)</t>
  </si>
  <si>
    <t>TORM plc (CPSE:TRMD A)</t>
  </si>
  <si>
    <t>Ardmore Shipping Corporation (NYSE:ASC)</t>
  </si>
  <si>
    <t>Hafnia Limited (OB:HAFNI)</t>
  </si>
  <si>
    <t>BW LPG Limited (OB:BWLPG)</t>
  </si>
  <si>
    <t>d'Amico International Shipping S.A. (BIT:DIS)</t>
  </si>
  <si>
    <t>DHT Holdings, Inc. (NYSE:DHT)</t>
  </si>
  <si>
    <t>Scorpio Tankers Inc. (NYSE:STNG)</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</si>
  <si>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</si>
  <si>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</si>
  <si>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</si>
  <si>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</si>
  <si>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</si>
  <si>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</si>
  <si>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</si>
  <si>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</si>
  <si>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</si>
  <si>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Scorpio Tankers Inc. (NYSE:STNG)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</si>
  <si>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</si>
  <si>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</si>
  <si>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</si>
  <si>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</si>
  <si>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</si>
  <si>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</si>
  <si>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</si>
  <si>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</si>
  <si>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</si>
  <si>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</si>
  <si>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</si>
  <si>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Scorpio Tankers Inc. (NYSE:STNG)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</si>
  <si>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</si>
  <si>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</si>
  <si>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</si>
  <si>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</si>
  <si>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</si>
  <si>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</si>
  <si>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</si>
  <si>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</si>
  <si>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</si>
  <si>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</si>
  <si>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</si>
  <si>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</si>
  <si>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</si>
  <si>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</si>
  <si>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</si>
  <si>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Scorpio Tankers Inc. (NYSE:STNG) &gt;  Quick Comparable Analysis &gt; Business Description</t>
  </si>
  <si>
    <t>Template:</t>
  </si>
  <si>
    <t>Currency:</t>
  </si>
  <si>
    <t>As-Of Date:</t>
  </si>
  <si>
    <t>Business Description</t>
  </si>
  <si>
    <t>Headquarters</t>
  </si>
  <si>
    <t>Frontline Ltd., a shipping company, engages in the seaborne transportation of crude oil and oil products worldwide. It owns and operates oil and product tankers. As of December 31, 2021, the company operated a fleet of 70 vessels. It is also involved in the charter, purchase, and sale of vessels. The company was founded in 1985 and is based in Hamilton, Bermuda.</t>
  </si>
  <si>
    <t>Par-la-Ville Place, 14 Par-la-Ville Road, PO Box HM 1593, Hamilton  HM 08, Bermuda</t>
  </si>
  <si>
    <t>International Seaways, Inc. owns and operates a fleet of oceangoing vessels for the transportation of crude oil and petroleum products in the international flag trade. It operates in two segments: Crude Tankers and Product Carriers. It serves independent and state-owned oil companies, oil traders, refinery operators, and international government entities. The company was formerly known as OSG International, Inc. and changed its name to International Seaways, Inc. in October 2016. International Seaways, Inc. was incorporated in 1999 and is headquartered in New York, New York.</t>
  </si>
  <si>
    <t>600 Third Avenue, 39th Floor, New York, New York, 10016, United States</t>
  </si>
  <si>
    <t>Teekay Tankers Ltd. provides marine transportation services to oil industries in Bermuda and internationally. The company offers voyage and time charter services; and offshore ship-to-ship transfer services of commodities primarily crude oil and refined oil products, as well as liquid gases and various other products. It also provides tanker commercial and technical management; and consultancy, procurement, and equipment rental services, as well as manages terminals and vessels. As of December 31, 2022, the company owned and leased 44 double-hulled oil and product tankers, time-chartered in four Aframax/LR2 tankers, and one Suezmax tanker. Teekay Tankers Ltd. was incorporated in 2007 and is headquartered in Hamilton, Bermuda.</t>
  </si>
  <si>
    <t>Belvedere Building, 4th Floor, 69 Pitts Bay Road, Hamilton  HM 08, Bermuda</t>
  </si>
  <si>
    <t>Euronav NV, together with its subsidiaries, engages in the transportation and storage of crude oil worldwide. The company offers floating, storage, and offloading (FSO) services. It also owns and operates a fleet of vessels. The company was incorporated in 2003 and is headquartered in Antwerp, Belgium.</t>
  </si>
  <si>
    <t>Belgica Building, De Gerlachekaai 20, Antwerp, Antwerp, 2000, Belgium</t>
  </si>
  <si>
    <t>TORM plc, a product tanker company, engages in the transportation of refined oil products and crude oil worldwide. It operates in two operating segments, Tanker and Marine Exhaust. The company transports gasoline, jet fuel, naphtha, and gas oil, as well as dirty petroleum products, such as fuel oil. It also engages in developing and producing advanced and green marine equipment. The company was founded in 1889 and is based in London, the United Kingdom.</t>
  </si>
  <si>
    <t>Office 105, 20 St Dunstan’s Hill, London, Greater London, EC3R 8HL, United Kingdom</t>
  </si>
  <si>
    <t>Ardmore Shipping Corporation engages in the seaborne transportation of petroleum products and chemicals worldwide. As of March 15, 2023, the company operated a fleet of 22 owned vessels including 21 Eco-design and 1 Eco-mod vessel, and five chartered-in vessels. It serves oil majors, oil companies, oil and chemical traders, chemical companies, and pooling service providers. The company was founded in 2010 and is headquartered in Pembroke, Bermuda.</t>
  </si>
  <si>
    <t>Belvedere Building, Ground Floor, 69 Pitts Bay Road, Pembroke  HM08, Bermuda</t>
  </si>
  <si>
    <t>Hafnia Limited owns and operates oil product tankers. It operates through Long Range II, Long Range I, Medium Range (MR), Handy size, Chemical-Handy, and Chemical-MR segments. The company transports petroleum oil products, vegetable oil, and easy chemicals to national and international oil companies, and chemical companies, as well as trading and utility companies. It provides ship owning, ship-management, chartering, investment, and agency office services. The company is based in Hamilton, Bermuda.</t>
  </si>
  <si>
    <t>Washington Mall Phase 2, 4th Floor, Suite 400, 22 Church Street, Hamilton  HM 1189, Bermuda</t>
  </si>
  <si>
    <t>BW LPG Limited, an investment holding company, engages in shipowning and chartering activities worldwide. The company operates through Shipping and Product Services segments. It is involved in the transportation of liquefied petroleum gas to oil companies, and trading and utility companies. The company also offers integrated liquified petroleum gas (LPG) delivery services directly to buyers and receivers. It owns and operates LPG vessels and a fleet of very large gas carriers. The company was formerly known as BW Gas LPG Holding Limited and changed its name to BW LPG Limited in September 2013. BW LPG Limited was founded in 1935 and is headquartered in Singapore.</t>
  </si>
  <si>
    <t>10 Pasir Panjang Road, No. 17-02, Mapletree Business City, Singapore  117438, Singapore</t>
  </si>
  <si>
    <t>d'Amico International Shipping S.A., through its subsidiaries, operates as a marine transportation company worldwide. It primarily transports refined petroleum products and vegetable oils through various double-hulled vessels. The company serves oil companies and trading houses. As of December 31, 2022, it operated a fleet of 36.0 product tankers. The company was founded in 1936 and is based in Luxembourg. d'Amico International Shipping S.A. is a subsidiary of d’Amico International S.A.</t>
  </si>
  <si>
    <t>25C Boulevard Royal, 11th Floor, Luxembourg  2449, Luxembourg</t>
  </si>
  <si>
    <t>DHT Holdings, Inc., through its subsidiaries, owns and operates crude oil tankers primarily in Monaco, Singapore, and Norway. As of March 16, 2023, it had a fleet of 23 very large crude carriers. The company was incorporated in 2005 and is headquartered in Hamilton, Bermuda.</t>
  </si>
  <si>
    <t>Clarendon House, 2 Church Street, Hamilton  HM 11, Bermuda</t>
  </si>
  <si>
    <t>Scorpio Tankers Inc., together with its subsidiaries, engages in the seaborne transportation of refined petroleum products in the shipping markets worldwide. As of March 23, 2023, its fleet consisted of 113 owned, finance leased, or bareboat chartered-in tankers, including 39 LR2, 60 MR, and 14 Handymax with a weighted average age of approximately 7.2 years. The company was incorporated in 2009 and is headquartered in Monaco.</t>
  </si>
  <si>
    <t>Le Millenium, 9, Boulevard Charles III, Monaco  98000, Monaco</t>
  </si>
  <si>
    <t>Scorpio Tankers Inc. (NYSE:STNG)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</si>
  <si>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</si>
  <si>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</si>
  <si>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</si>
  <si>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</si>
  <si>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</si>
  <si>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</si>
  <si>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</si>
  <si>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</si>
  <si>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</si>
  <si>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</si>
  <si>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NM</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</si>
  <si>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</si>
  <si>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</si>
  <si>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</si>
  <si>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</si>
  <si>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</si>
  <si>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</si>
  <si>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</si>
  <si>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</si>
  <si>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</si>
  <si>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</si>
  <si>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</si>
  <si>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</si>
  <si>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Scorpio Tankers Inc. (NYSE:STNG) &gt;  Quick Comparable Analysis &gt; Valuation Chart</t>
  </si>
  <si>
    <t>Template:</t>
  </si>
  <si>
    <t>Currency:</t>
  </si>
  <si>
    <t>As-Of Date:</t>
  </si>
  <si>
    <t>Scorpio Tankers Inc. (NYSE:STNG)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</si>
  <si>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</si>
  <si>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</si>
  <si>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</si>
  <si>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</si>
  <si>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</si>
  <si>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</si>
  <si>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</si>
  <si>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</si>
  <si>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</si>
  <si>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</si>
  <si>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</si>
  <si>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</si>
  <si>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</si>
  <si>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</si>
  <si>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bbb</t>
  </si>
  <si>
    <t>0.8073%</t>
  </si>
  <si>
    <t>United Kingdom</t>
  </si>
  <si>
    <t>Oil and Gas Storage and Transportation</t>
  </si>
  <si>
    <t>bb-</t>
  </si>
  <si>
    <t>1.1548%</t>
  </si>
  <si>
    <t>Bermuda</t>
  </si>
  <si>
    <t>bbb-</t>
  </si>
  <si>
    <t>0.7240%</t>
  </si>
  <si>
    <t>1.0744%</t>
  </si>
  <si>
    <t>Singapore</t>
  </si>
  <si>
    <t>0.7082%</t>
  </si>
  <si>
    <t>NR</t>
  </si>
  <si>
    <t>bb</t>
  </si>
  <si>
    <t>0.8026%</t>
  </si>
  <si>
    <t>United States</t>
  </si>
  <si>
    <t>0.7596%</t>
  </si>
  <si>
    <t>0.8622%</t>
  </si>
  <si>
    <t>Luxembourg</t>
  </si>
  <si>
    <t>1.0701%</t>
  </si>
  <si>
    <t>1.4319%</t>
  </si>
  <si>
    <t>Belgium</t>
  </si>
  <si>
    <t>bb+</t>
  </si>
  <si>
    <t>1.1312%</t>
  </si>
  <si>
    <t>Monaco</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</si>
  <si>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</si>
  <si>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</si>
  <si>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</si>
  <si>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Scorpio Tankers Inc. (NYSE:STNG)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</si>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</sst>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2">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6367034D-F22E-498A-9245-06AB5ACB0CC9}"/>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888A9AFB-A2DD-4704-B0C2-8E62CD507880}"/>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16B30936-3E88-4673-A1DF-60F16AFF5A92}"/>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37B70BF8-2192-4B52-B450-9D4A38D5F20F}"/>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91774DDF-AD67-49A5-9C0C-4FBCBC8991A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CFE4E490-6D22-48F1-ADD7-2ED85694F126}"/>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EDBF1616-0235-4215-AF9D-150AB28867CA}"/>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133D5638-73BF-47C8-BEE2-D025FA2CE0A0}"/>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5D4F7537-75A9-46E7-A52E-C9C787B3599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30A0E34A-4E3D-444B-8CF0-1FB1FE3AAFE9}"/>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42E30F75-AEE2-40C1-B199-C7F968447F6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C44ED10D-0780-4F73-95CC-BEA079495B06}"/>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5EDDC62C-AD8F-47DB-9C9F-5C5174C82855}"/>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BA9B30EA-F175-4CE9-995F-7C93405258B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E00EC586-5B7A-477A-BD34-D608D204A1D6}"/>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286A2342-81CA-4C54-BAA0-69D5D0268583}"/>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A21F207C-6664-485C-AB6D-C6CBC1EBD584}"/>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BD933-B51E-4BC2-9BA3-54C8A66736E3}">
  <sheetPr codeName="Sheet1"/>
  <dimension ref="C5:S44"/>
  <sheetViews>
    <sheetView showGridLines="0" tabSelected="1" workbookViewId="0"/>
  </sheetViews>
  <sheetFormatPr defaultRowHeight="13.2" x14ac:dyDescent="0.25"/>
  <cols>
    <col min="1" max="2" width="8.88671875" style="85"/>
    <col min="3" max="3" width="38.77734375" style="85" bestFit="1" customWidth="1"/>
    <col min="4" max="4" width="19.88671875" style="85" bestFit="1" customWidth="1"/>
    <col min="5" max="5" width="22.5546875" style="85" bestFit="1" customWidth="1"/>
    <col min="6" max="6" width="23.44140625" style="85" bestFit="1" customWidth="1"/>
    <col min="7" max="7" width="12.5546875" style="85" bestFit="1" customWidth="1"/>
    <col min="8" max="8" width="24.44140625" style="85" bestFit="1" customWidth="1"/>
    <col min="9" max="9" width="23" style="85" bestFit="1" customWidth="1"/>
    <col min="10" max="10" width="22.5546875" style="85" bestFit="1" customWidth="1"/>
    <col min="11" max="11" width="19.5546875" style="85" bestFit="1" customWidth="1"/>
    <col min="12" max="12" width="39" style="85" bestFit="1" customWidth="1"/>
    <col min="13" max="13" width="34.109375" style="85" bestFit="1" customWidth="1"/>
    <col min="14" max="14" width="26.33203125" style="85" bestFit="1" customWidth="1"/>
    <col min="15" max="15" width="8.88671875" style="85"/>
    <col min="16" max="16" width="28.5546875" style="85" bestFit="1" customWidth="1"/>
    <col min="17" max="19" width="10.44140625" style="85" bestFit="1" customWidth="1"/>
    <col min="20" max="16384" width="8.88671875" style="85"/>
  </cols>
  <sheetData>
    <row r="5" spans="3:19" ht="13.8" thickBot="1" x14ac:dyDescent="0.3"/>
    <row r="6" spans="3:19" x14ac:dyDescent="0.25">
      <c r="C6" s="91" t="s">
        <v>8</v>
      </c>
      <c r="D6" s="92" t="s">
        <v>9</v>
      </c>
      <c r="E6" s="92" t="s">
        <v>10</v>
      </c>
      <c r="F6" s="92" t="s">
        <v>11</v>
      </c>
      <c r="G6" s="92" t="s">
        <v>12</v>
      </c>
      <c r="H6" s="92" t="s">
        <v>15</v>
      </c>
      <c r="I6" s="92" t="s">
        <v>22</v>
      </c>
      <c r="J6" s="92" t="s">
        <v>23</v>
      </c>
      <c r="K6" s="92" t="s">
        <v>24</v>
      </c>
      <c r="L6" s="92" t="s">
        <v>55</v>
      </c>
      <c r="M6" s="92" t="s">
        <v>56</v>
      </c>
      <c r="N6" s="93" t="s">
        <v>57</v>
      </c>
      <c r="P6" s="87"/>
      <c r="Q6" s="88" t="s">
        <v>189</v>
      </c>
      <c r="R6" s="88" t="s">
        <v>190</v>
      </c>
      <c r="S6" s="90" t="s">
        <v>191</v>
      </c>
    </row>
    <row r="7" spans="3:19" x14ac:dyDescent="0.25">
      <c r="C7" s="94" t="s">
        <v>25</v>
      </c>
      <c r="D7" s="106">
        <v>15.41</v>
      </c>
      <c r="E7" s="108">
        <v>222.6</v>
      </c>
      <c r="F7" s="106">
        <v>3430.6</v>
      </c>
      <c r="G7" s="106">
        <v>1883.4</v>
      </c>
      <c r="H7" s="106">
        <v>5313.6</v>
      </c>
      <c r="I7" s="106">
        <v>1113.9100000000001</v>
      </c>
      <c r="J7" s="106">
        <v>937.29</v>
      </c>
      <c r="K7" s="106">
        <v>2.63</v>
      </c>
      <c r="L7" s="110">
        <v>4.7699999999999996</v>
      </c>
      <c r="M7" s="110">
        <v>5.67</v>
      </c>
      <c r="N7" s="111">
        <v>5.86</v>
      </c>
      <c r="P7" s="86" t="s">
        <v>192</v>
      </c>
      <c r="Q7" s="124">
        <v>0.33333333333333331</v>
      </c>
      <c r="R7" s="124">
        <v>0.33333333333333331</v>
      </c>
      <c r="S7" s="125">
        <v>0.33333333333333331</v>
      </c>
    </row>
    <row r="8" spans="3:19" x14ac:dyDescent="0.25">
      <c r="C8" s="94" t="s">
        <v>27</v>
      </c>
      <c r="D8" s="106">
        <v>40.270000000000003</v>
      </c>
      <c r="E8" s="108">
        <v>49.2</v>
      </c>
      <c r="F8" s="106">
        <v>1982.5</v>
      </c>
      <c r="G8" s="106">
        <v>743.9</v>
      </c>
      <c r="H8" s="106">
        <v>2726.4</v>
      </c>
      <c r="I8" s="106">
        <v>940.43</v>
      </c>
      <c r="J8" s="106">
        <v>612.66999999999996</v>
      </c>
      <c r="K8" s="106">
        <v>8.91</v>
      </c>
      <c r="L8" s="110">
        <v>2.9</v>
      </c>
      <c r="M8" s="110">
        <v>4.45</v>
      </c>
      <c r="N8" s="111">
        <v>4.5199999999999996</v>
      </c>
      <c r="P8" s="86" t="s">
        <v>193</v>
      </c>
      <c r="Q8" s="126">
        <f>INDEX(L24:L44,MATCH($L$22,$K$24:$K$44))</f>
        <v>3.6375000000000002</v>
      </c>
      <c r="R8" s="126">
        <f>INDEX(M24:M44,MATCH($L$22,$K$24:$K$44))</f>
        <v>5.49</v>
      </c>
      <c r="S8" s="127">
        <f>INDEX(N24:N44,MATCH($L$22,$K$24:$K$44))</f>
        <v>5.35</v>
      </c>
    </row>
    <row r="9" spans="3:19" x14ac:dyDescent="0.25">
      <c r="C9" s="94" t="s">
        <v>28</v>
      </c>
      <c r="D9" s="106">
        <v>40.119999999999997</v>
      </c>
      <c r="E9" s="108">
        <v>34</v>
      </c>
      <c r="F9" s="106">
        <v>1362.4</v>
      </c>
      <c r="G9" s="106">
        <v>393.6</v>
      </c>
      <c r="H9" s="106">
        <v>1756</v>
      </c>
      <c r="I9" s="106">
        <v>799.03</v>
      </c>
      <c r="J9" s="106">
        <v>481.1</v>
      </c>
      <c r="K9" s="106">
        <v>11.65</v>
      </c>
      <c r="L9" s="110">
        <v>2.2000000000000002</v>
      </c>
      <c r="M9" s="110">
        <v>3.65</v>
      </c>
      <c r="N9" s="111">
        <v>3.44</v>
      </c>
      <c r="P9" s="86" t="s">
        <v>194</v>
      </c>
      <c r="Q9" s="117">
        <v>1405.32</v>
      </c>
      <c r="R9" s="117">
        <v>990.98</v>
      </c>
      <c r="S9" s="118">
        <v>10.79</v>
      </c>
    </row>
    <row r="10" spans="3:19" x14ac:dyDescent="0.25">
      <c r="C10" s="94" t="s">
        <v>29</v>
      </c>
      <c r="D10" s="106">
        <v>17.010000000000002</v>
      </c>
      <c r="E10" s="108">
        <v>201.8</v>
      </c>
      <c r="F10" s="106">
        <v>3432.7</v>
      </c>
      <c r="G10" s="106">
        <v>1516.8</v>
      </c>
      <c r="H10" s="106">
        <v>4997</v>
      </c>
      <c r="I10" s="106">
        <v>1304.45</v>
      </c>
      <c r="J10" s="106">
        <v>765.84</v>
      </c>
      <c r="K10" s="106">
        <v>3.33</v>
      </c>
      <c r="L10" s="110">
        <v>3.83</v>
      </c>
      <c r="M10" s="110">
        <v>6.52</v>
      </c>
      <c r="N10" s="111">
        <v>5.1100000000000003</v>
      </c>
      <c r="P10" s="86" t="s">
        <v>195</v>
      </c>
      <c r="Q10" s="117">
        <f>Q9*Q8</f>
        <v>5111.8514999999998</v>
      </c>
      <c r="R10" s="117">
        <f>R9*R8</f>
        <v>5440.4802</v>
      </c>
      <c r="S10" s="118">
        <f>S12+S11</f>
        <v>4857.1557999999995</v>
      </c>
    </row>
    <row r="11" spans="3:19" x14ac:dyDescent="0.25">
      <c r="C11" s="94" t="s">
        <v>30</v>
      </c>
      <c r="D11" s="106">
        <v>31.45</v>
      </c>
      <c r="E11" s="108">
        <v>83</v>
      </c>
      <c r="F11" s="106">
        <v>2608.6</v>
      </c>
      <c r="G11" s="106">
        <v>646.5</v>
      </c>
      <c r="H11" s="106">
        <v>3276.5</v>
      </c>
      <c r="I11" s="106">
        <v>1308.2</v>
      </c>
      <c r="J11" s="106">
        <v>828.64</v>
      </c>
      <c r="K11" s="106">
        <v>7.51</v>
      </c>
      <c r="L11" s="110">
        <v>2.5</v>
      </c>
      <c r="M11" s="110">
        <v>3.95</v>
      </c>
      <c r="N11" s="111">
        <v>4.1900000000000004</v>
      </c>
      <c r="P11" s="86" t="s">
        <v>196</v>
      </c>
      <c r="Q11" s="117">
        <v>1555.2</v>
      </c>
      <c r="R11" s="117">
        <v>1555.2</v>
      </c>
      <c r="S11" s="118">
        <v>1555.2</v>
      </c>
    </row>
    <row r="12" spans="3:19" x14ac:dyDescent="0.25">
      <c r="C12" s="94" t="s">
        <v>31</v>
      </c>
      <c r="D12" s="106">
        <v>14.41</v>
      </c>
      <c r="E12" s="108">
        <v>41</v>
      </c>
      <c r="F12" s="106">
        <v>590.79999999999995</v>
      </c>
      <c r="G12" s="106">
        <v>129.1</v>
      </c>
      <c r="H12" s="106">
        <v>757</v>
      </c>
      <c r="I12" s="106">
        <v>267.02</v>
      </c>
      <c r="J12" s="106">
        <v>172.44</v>
      </c>
      <c r="K12" s="106">
        <v>3.25</v>
      </c>
      <c r="L12" s="110">
        <v>2.83</v>
      </c>
      <c r="M12" s="110">
        <v>4.3899999999999997</v>
      </c>
      <c r="N12" s="111">
        <v>4.43</v>
      </c>
      <c r="P12" s="86" t="s">
        <v>124</v>
      </c>
      <c r="Q12" s="117">
        <f>Q10-Q11</f>
        <v>3556.6514999999999</v>
      </c>
      <c r="R12" s="117">
        <f>R10-R11</f>
        <v>3885.2802000000001</v>
      </c>
      <c r="S12" s="118">
        <f>S13*S14</f>
        <v>3301.9557999999997</v>
      </c>
    </row>
    <row r="13" spans="3:19" x14ac:dyDescent="0.25">
      <c r="C13" s="94" t="s">
        <v>32</v>
      </c>
      <c r="D13" s="106">
        <v>5.36</v>
      </c>
      <c r="E13" s="108">
        <v>504.7</v>
      </c>
      <c r="F13" s="106">
        <v>2706.8</v>
      </c>
      <c r="G13" s="106">
        <v>1600.2</v>
      </c>
      <c r="H13" s="106">
        <v>4188.7</v>
      </c>
      <c r="I13" s="106">
        <v>1391.54</v>
      </c>
      <c r="J13" s="106">
        <v>998.08</v>
      </c>
      <c r="K13" s="106">
        <v>1.45</v>
      </c>
      <c r="L13" s="110">
        <v>3.01</v>
      </c>
      <c r="M13" s="110">
        <v>4.2</v>
      </c>
      <c r="N13" s="111">
        <v>3.71</v>
      </c>
      <c r="P13" s="86" t="s">
        <v>197</v>
      </c>
      <c r="Q13" s="128">
        <v>57.2</v>
      </c>
      <c r="R13" s="128">
        <v>57.2</v>
      </c>
      <c r="S13" s="129">
        <v>57.2</v>
      </c>
    </row>
    <row r="14" spans="3:19" ht="13.8" thickBot="1" x14ac:dyDescent="0.3">
      <c r="C14" s="94" t="s">
        <v>33</v>
      </c>
      <c r="D14" s="106">
        <v>7.92</v>
      </c>
      <c r="E14" s="108">
        <v>132.19999999999999</v>
      </c>
      <c r="F14" s="106">
        <v>1047.5999999999999</v>
      </c>
      <c r="G14" s="106">
        <v>481.6</v>
      </c>
      <c r="H14" s="106">
        <v>1589.2</v>
      </c>
      <c r="I14" s="106">
        <v>519.99</v>
      </c>
      <c r="J14" s="106">
        <v>366.87</v>
      </c>
      <c r="K14" s="106">
        <v>1.46</v>
      </c>
      <c r="L14" s="110">
        <v>3.06</v>
      </c>
      <c r="M14" s="110">
        <v>4.33</v>
      </c>
      <c r="N14" s="111">
        <v>5.43</v>
      </c>
      <c r="P14" s="103" t="s">
        <v>198</v>
      </c>
      <c r="Q14" s="119">
        <f>Q12/Q13</f>
        <v>62.179222027972024</v>
      </c>
      <c r="R14" s="120">
        <f>R12/R13</f>
        <v>67.924479020979021</v>
      </c>
      <c r="S14" s="121">
        <f>S8*S9</f>
        <v>57.726499999999994</v>
      </c>
    </row>
    <row r="15" spans="3:19" x14ac:dyDescent="0.25">
      <c r="C15" s="94" t="s">
        <v>34</v>
      </c>
      <c r="D15" s="106">
        <v>0.44</v>
      </c>
      <c r="E15" s="108">
        <v>1222.9000000000001</v>
      </c>
      <c r="F15" s="106">
        <v>541.79999999999995</v>
      </c>
      <c r="G15" s="106">
        <v>427.7</v>
      </c>
      <c r="H15" s="106">
        <v>983</v>
      </c>
      <c r="I15" s="106">
        <v>352.9</v>
      </c>
      <c r="J15" s="106">
        <v>198.73</v>
      </c>
      <c r="K15" s="106">
        <v>0.09</v>
      </c>
      <c r="L15" s="110">
        <v>2.79</v>
      </c>
      <c r="M15" s="110">
        <v>4.95</v>
      </c>
      <c r="N15" s="111">
        <v>4.92</v>
      </c>
      <c r="P15" s="87" t="s">
        <v>199</v>
      </c>
      <c r="Q15" s="122">
        <f>SUMPRODUCT(Q14:S14,Q7:S7)</f>
        <v>62.610067016317004</v>
      </c>
      <c r="R15" s="123"/>
      <c r="S15" s="123"/>
    </row>
    <row r="16" spans="3:19" x14ac:dyDescent="0.25">
      <c r="C16" s="94" t="s">
        <v>35</v>
      </c>
      <c r="D16" s="106">
        <v>9.5500000000000007</v>
      </c>
      <c r="E16" s="108">
        <v>163</v>
      </c>
      <c r="F16" s="106">
        <v>1556.5</v>
      </c>
      <c r="G16" s="106">
        <v>267</v>
      </c>
      <c r="H16" s="106">
        <v>1828.5</v>
      </c>
      <c r="I16" s="106">
        <v>403.34</v>
      </c>
      <c r="J16" s="106">
        <v>316.45999999999998</v>
      </c>
      <c r="K16" s="106">
        <v>1.22</v>
      </c>
      <c r="L16" s="110">
        <v>4.53</v>
      </c>
      <c r="M16" s="110">
        <v>5.78</v>
      </c>
      <c r="N16" s="111">
        <v>7.84</v>
      </c>
      <c r="P16" s="86" t="s">
        <v>200</v>
      </c>
      <c r="Q16" s="118">
        <v>52.33</v>
      </c>
      <c r="R16" s="123"/>
      <c r="S16" s="123"/>
    </row>
    <row r="17" spans="3:19" ht="13.8" thickBot="1" x14ac:dyDescent="0.3">
      <c r="C17" s="95" t="s">
        <v>36</v>
      </c>
      <c r="D17" s="107">
        <v>52.33</v>
      </c>
      <c r="E17" s="109">
        <v>57.2</v>
      </c>
      <c r="F17" s="107">
        <v>2993</v>
      </c>
      <c r="G17" s="107">
        <v>1555.2</v>
      </c>
      <c r="H17" s="107">
        <v>4548.2</v>
      </c>
      <c r="I17" s="107">
        <v>1405.32</v>
      </c>
      <c r="J17" s="107">
        <v>990.98</v>
      </c>
      <c r="K17" s="107">
        <v>10.79</v>
      </c>
      <c r="L17" s="112">
        <v>3.24</v>
      </c>
      <c r="M17" s="112">
        <v>4.59</v>
      </c>
      <c r="N17" s="113">
        <v>4.8499999999999996</v>
      </c>
      <c r="P17" s="89" t="s">
        <v>201</v>
      </c>
      <c r="Q17" s="130">
        <f>Q15/Q16-1</f>
        <v>0.19644691412797632</v>
      </c>
      <c r="R17" s="123"/>
      <c r="S17" s="123"/>
    </row>
    <row r="20" spans="3:19" ht="39.6" x14ac:dyDescent="0.25">
      <c r="C20" s="104" t="s">
        <v>202</v>
      </c>
      <c r="D20" s="105">
        <f>Q17</f>
        <v>0.19644691412797632</v>
      </c>
    </row>
    <row r="21" spans="3:19" ht="13.8" thickBot="1" x14ac:dyDescent="0.3"/>
    <row r="22" spans="3:19" ht="13.8" thickBot="1" x14ac:dyDescent="0.3">
      <c r="K22" s="102" t="s">
        <v>188</v>
      </c>
      <c r="L22" s="131">
        <f>BENCHMARKING!D28</f>
        <v>0.76111111111111107</v>
      </c>
    </row>
    <row r="23" spans="3:19" ht="13.8" thickBot="1" x14ac:dyDescent="0.3">
      <c r="K23" s="85" t="s">
        <v>187</v>
      </c>
    </row>
    <row r="24" spans="3:19" x14ac:dyDescent="0.25">
      <c r="K24" s="114">
        <v>0</v>
      </c>
      <c r="L24" s="96">
        <f>PERCENTILE(L7:L16,K24)</f>
        <v>2.2000000000000002</v>
      </c>
      <c r="M24" s="96">
        <f>PERCENTILE(M7:M16,K24)</f>
        <v>3.65</v>
      </c>
      <c r="N24" s="97">
        <f>PERCENTILE(N7:N16,K24)</f>
        <v>3.44</v>
      </c>
    </row>
    <row r="25" spans="3:19" x14ac:dyDescent="0.25">
      <c r="K25" s="115">
        <v>0.05</v>
      </c>
      <c r="L25" s="98">
        <f>PERCENTILE(L7:L16,K25)</f>
        <v>2.335</v>
      </c>
      <c r="M25" s="98">
        <f>PERCENTILE(M7:M16,K25)</f>
        <v>3.7850000000000001</v>
      </c>
      <c r="N25" s="99">
        <f>PERCENTILE(N7:N16,K25)</f>
        <v>3.5615000000000001</v>
      </c>
    </row>
    <row r="26" spans="3:19" x14ac:dyDescent="0.25">
      <c r="K26" s="115">
        <v>0.1</v>
      </c>
      <c r="L26" s="98">
        <f>PERCENTILE(L7:L16,K26)</f>
        <v>2.4699999999999998</v>
      </c>
      <c r="M26" s="98">
        <f>PERCENTILE(M7:M16,K26)</f>
        <v>3.92</v>
      </c>
      <c r="N26" s="99">
        <f>PERCENTILE(N7:N16,K26)</f>
        <v>3.6829999999999998</v>
      </c>
    </row>
    <row r="27" spans="3:19" x14ac:dyDescent="0.25">
      <c r="K27" s="115">
        <v>0.15</v>
      </c>
      <c r="L27" s="98">
        <f>PERCENTILE(L7:L16,K27)</f>
        <v>2.6014999999999997</v>
      </c>
      <c r="M27" s="98">
        <f>PERCENTILE(M7:M16,K27)</f>
        <v>4.0374999999999996</v>
      </c>
      <c r="N27" s="99">
        <f>PERCENTILE(N7:N16,K27)</f>
        <v>3.8780000000000001</v>
      </c>
    </row>
    <row r="28" spans="3:19" x14ac:dyDescent="0.25">
      <c r="K28" s="115">
        <v>0.2</v>
      </c>
      <c r="L28" s="98">
        <f>PERCENTILE(L7:L16,K28)</f>
        <v>2.7320000000000002</v>
      </c>
      <c r="M28" s="98">
        <f>PERCENTILE(M7:M16,K28)</f>
        <v>4.1500000000000004</v>
      </c>
      <c r="N28" s="99">
        <f>PERCENTILE(N7:N16,K28)</f>
        <v>4.0940000000000003</v>
      </c>
    </row>
    <row r="29" spans="3:19" x14ac:dyDescent="0.25">
      <c r="K29" s="115">
        <v>0.25</v>
      </c>
      <c r="L29" s="98">
        <f>PERCENTILE(L7:L16,K29)</f>
        <v>2.8</v>
      </c>
      <c r="M29" s="98">
        <f>PERCENTILE(M7:M16,K29)</f>
        <v>4.2324999999999999</v>
      </c>
      <c r="N29" s="99">
        <f>PERCENTILE(N7:N16,K29)</f>
        <v>4.25</v>
      </c>
    </row>
    <row r="30" spans="3:19" x14ac:dyDescent="0.25">
      <c r="K30" s="115">
        <v>0.3</v>
      </c>
      <c r="L30" s="98">
        <f>PERCENTILE(L7:L16,K30)</f>
        <v>2.8180000000000001</v>
      </c>
      <c r="M30" s="98">
        <f>PERCENTILE(M7:M16,K30)</f>
        <v>4.2910000000000004</v>
      </c>
      <c r="N30" s="99">
        <f>PERCENTILE(N7:N16,K30)</f>
        <v>4.3579999999999997</v>
      </c>
    </row>
    <row r="31" spans="3:19" x14ac:dyDescent="0.25">
      <c r="K31" s="115">
        <v>0.35</v>
      </c>
      <c r="L31" s="98">
        <f>PERCENTILE(L7:L16,K31)</f>
        <v>2.8405</v>
      </c>
      <c r="M31" s="98">
        <f>PERCENTILE(M7:M16,K31)</f>
        <v>4.3390000000000004</v>
      </c>
      <c r="N31" s="99">
        <f>PERCENTILE(N7:N16,K31)</f>
        <v>4.4434999999999993</v>
      </c>
    </row>
    <row r="32" spans="3:19" x14ac:dyDescent="0.25">
      <c r="K32" s="115">
        <v>0.4</v>
      </c>
      <c r="L32" s="98">
        <f>PERCENTILE(L7:L16,K32)</f>
        <v>2.8719999999999999</v>
      </c>
      <c r="M32" s="98">
        <f>PERCENTILE(M7:M16,K32)</f>
        <v>4.3659999999999997</v>
      </c>
      <c r="N32" s="99">
        <f>PERCENTILE(N7:N16,K32)</f>
        <v>4.484</v>
      </c>
    </row>
    <row r="33" spans="11:14" x14ac:dyDescent="0.25">
      <c r="K33" s="115">
        <v>0.45</v>
      </c>
      <c r="L33" s="98">
        <f>PERCENTILE(L7:L16,K33)</f>
        <v>2.9055</v>
      </c>
      <c r="M33" s="98">
        <f>PERCENTILE(M7:M16,K33)</f>
        <v>4.3929999999999998</v>
      </c>
      <c r="N33" s="99">
        <f>PERCENTILE(N7:N16,K33)</f>
        <v>4.5399999999999991</v>
      </c>
    </row>
    <row r="34" spans="11:14" x14ac:dyDescent="0.25">
      <c r="K34" s="115">
        <v>0.5</v>
      </c>
      <c r="L34" s="98">
        <f>PERCENTILE(L7:L16,K34)</f>
        <v>2.9550000000000001</v>
      </c>
      <c r="M34" s="98">
        <f>PERCENTILE(M7:M16,K34)</f>
        <v>4.42</v>
      </c>
      <c r="N34" s="99">
        <f>PERCENTILE(N7:N16,K34)</f>
        <v>4.72</v>
      </c>
    </row>
    <row r="35" spans="11:14" x14ac:dyDescent="0.25">
      <c r="K35" s="115">
        <v>0.55000000000000004</v>
      </c>
      <c r="L35" s="98">
        <f>PERCENTILE(L7:L16,K35)</f>
        <v>3.0044999999999997</v>
      </c>
      <c r="M35" s="98">
        <f>PERCENTILE(M7:M16,K35)</f>
        <v>4.4470000000000001</v>
      </c>
      <c r="N35" s="99">
        <f>PERCENTILE(N7:N16,K35)</f>
        <v>4.9000000000000004</v>
      </c>
    </row>
    <row r="36" spans="11:14" x14ac:dyDescent="0.25">
      <c r="K36" s="115">
        <v>0.6</v>
      </c>
      <c r="L36" s="98">
        <f>PERCENTILE(L7:L16,K36)</f>
        <v>3.03</v>
      </c>
      <c r="M36" s="98">
        <f>PERCENTILE(M7:M16,K36)</f>
        <v>4.6500000000000004</v>
      </c>
      <c r="N36" s="99">
        <f>PERCENTILE(N7:N16,K36)</f>
        <v>4.9959999999999996</v>
      </c>
    </row>
    <row r="37" spans="11:14" x14ac:dyDescent="0.25">
      <c r="K37" s="115">
        <v>0.65</v>
      </c>
      <c r="L37" s="98">
        <f>PERCENTILE(L7:L16,K37)</f>
        <v>3.0525000000000002</v>
      </c>
      <c r="M37" s="98">
        <f>PERCENTILE(M7:M16,K37)</f>
        <v>4.875</v>
      </c>
      <c r="N37" s="99">
        <f>PERCENTILE(N7:N16,K37)</f>
        <v>5.0815000000000001</v>
      </c>
    </row>
    <row r="38" spans="11:14" x14ac:dyDescent="0.25">
      <c r="K38" s="115">
        <v>0.7</v>
      </c>
      <c r="L38" s="98">
        <f>PERCENTILE(L7:L16,K38)</f>
        <v>3.2909999999999999</v>
      </c>
      <c r="M38" s="98">
        <f>PERCENTILE(M7:M16,K38)</f>
        <v>5.1660000000000004</v>
      </c>
      <c r="N38" s="99">
        <f>PERCENTILE(N7:N16,K38)</f>
        <v>5.2060000000000004</v>
      </c>
    </row>
    <row r="39" spans="11:14" x14ac:dyDescent="0.25">
      <c r="K39" s="115">
        <v>0.75</v>
      </c>
      <c r="L39" s="98">
        <f>PERCENTILE(L7:L16,K39)</f>
        <v>3.6375000000000002</v>
      </c>
      <c r="M39" s="98">
        <f>PERCENTILE(M7:M16,K39)</f>
        <v>5.49</v>
      </c>
      <c r="N39" s="99">
        <f>PERCENTILE(N7:N16,K39)</f>
        <v>5.35</v>
      </c>
    </row>
    <row r="40" spans="11:14" x14ac:dyDescent="0.25">
      <c r="K40" s="115">
        <v>0.8</v>
      </c>
      <c r="L40" s="98">
        <f>PERCENTILE(L7:L16,K40)</f>
        <v>3.9699999999999998</v>
      </c>
      <c r="M40" s="98">
        <f>PERCENTILE(M7:M16,K40)</f>
        <v>5.6920000000000002</v>
      </c>
      <c r="N40" s="99">
        <f>PERCENTILE(N7:N16,K40)</f>
        <v>5.5159999999999991</v>
      </c>
    </row>
    <row r="41" spans="11:14" x14ac:dyDescent="0.25">
      <c r="K41" s="115">
        <v>0.85</v>
      </c>
      <c r="L41" s="98">
        <f>PERCENTILE(L7:L16,K41)</f>
        <v>4.2849999999999993</v>
      </c>
      <c r="M41" s="98">
        <f>PERCENTILE(M7:M16,K41)</f>
        <v>5.7415000000000003</v>
      </c>
      <c r="N41" s="99">
        <f>PERCENTILE(N7:N16,K41)</f>
        <v>5.7094999999999994</v>
      </c>
    </row>
    <row r="42" spans="11:14" x14ac:dyDescent="0.25">
      <c r="K42" s="115">
        <v>0.9</v>
      </c>
      <c r="L42" s="98">
        <f>PERCENTILE(L7:L16,K42)</f>
        <v>4.5540000000000003</v>
      </c>
      <c r="M42" s="98">
        <f>PERCENTILE(M7:M16,K42)</f>
        <v>5.8540000000000001</v>
      </c>
      <c r="N42" s="99">
        <f>PERCENTILE(N7:N16,K42)</f>
        <v>6.0579999999999998</v>
      </c>
    </row>
    <row r="43" spans="11:14" x14ac:dyDescent="0.25">
      <c r="K43" s="115">
        <v>0.95</v>
      </c>
      <c r="L43" s="98">
        <f>PERCENTILE(L7:L16,K43)</f>
        <v>4.6619999999999999</v>
      </c>
      <c r="M43" s="98">
        <f>PERCENTILE(M7:M16,K43)</f>
        <v>6.1869999999999994</v>
      </c>
      <c r="N43" s="99">
        <f>PERCENTILE(N7:N16,K43)</f>
        <v>6.9489999999999981</v>
      </c>
    </row>
    <row r="44" spans="11:14" ht="13.8" thickBot="1" x14ac:dyDescent="0.3">
      <c r="K44" s="116">
        <v>1</v>
      </c>
      <c r="L44" s="100">
        <f>PERCENTILE(L7:L16,K44)</f>
        <v>4.7699999999999996</v>
      </c>
      <c r="M44" s="100">
        <f>PERCENTILE(M7:M16,K44)</f>
        <v>6.52</v>
      </c>
      <c r="N44" s="101">
        <f>PERCENTILE(N7:N16,K44)</f>
        <v>7.84</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1B329-99B5-4AF9-8A94-E4742EDC9D85}">
  <sheetPr codeName="Sheet2"/>
  <dimension ref="C5:O51"/>
  <sheetViews>
    <sheetView showGridLines="0" workbookViewId="0"/>
  </sheetViews>
  <sheetFormatPr defaultRowHeight="10.199999999999999" x14ac:dyDescent="0.2"/>
  <cols>
    <col min="1" max="2" width="8.88671875" style="43"/>
    <col min="3" max="3" width="13" style="43" bestFit="1" customWidth="1"/>
    <col min="4" max="4" width="8.109375" style="43" bestFit="1" customWidth="1"/>
    <col min="5" max="5" width="7.21875" style="43" bestFit="1" customWidth="1"/>
    <col min="6" max="6" width="7.44140625" style="43" bestFit="1" customWidth="1"/>
    <col min="7" max="7" width="7.21875" style="43" bestFit="1" customWidth="1"/>
    <col min="8" max="8" width="8.109375" style="43" bestFit="1" customWidth="1"/>
    <col min="9" max="9" width="7.77734375" style="43" bestFit="1" customWidth="1"/>
    <col min="10" max="10" width="7.88671875" style="43" bestFit="1" customWidth="1"/>
    <col min="11" max="11" width="7.77734375" style="43" bestFit="1" customWidth="1"/>
    <col min="12" max="12" width="8.109375" style="43" bestFit="1" customWidth="1"/>
    <col min="13" max="14" width="8.6640625" style="43" bestFit="1" customWidth="1"/>
    <col min="15" max="16384" width="8.88671875" style="43"/>
  </cols>
  <sheetData>
    <row r="5" spans="3:15" ht="10.8" thickBot="1" x14ac:dyDescent="0.25"/>
    <row r="6" spans="3:15" ht="51.6" thickBot="1" x14ac:dyDescent="0.25">
      <c r="C6" s="57" t="s">
        <v>8</v>
      </c>
      <c r="D6" s="66" t="s">
        <v>62</v>
      </c>
      <c r="E6" s="66" t="s">
        <v>63</v>
      </c>
      <c r="F6" s="66" t="s">
        <v>64</v>
      </c>
      <c r="G6" s="66" t="s">
        <v>65</v>
      </c>
      <c r="H6" s="66" t="s">
        <v>66</v>
      </c>
      <c r="I6" s="66" t="s">
        <v>67</v>
      </c>
      <c r="J6" s="66" t="s">
        <v>68</v>
      </c>
      <c r="K6" s="66" t="s">
        <v>69</v>
      </c>
      <c r="L6" s="66" t="s">
        <v>70</v>
      </c>
      <c r="M6" s="66" t="s">
        <v>71</v>
      </c>
      <c r="N6" s="66" t="s">
        <v>72</v>
      </c>
      <c r="O6" s="67" t="s">
        <v>73</v>
      </c>
    </row>
    <row r="7" spans="3:15" ht="20.399999999999999" x14ac:dyDescent="0.2">
      <c r="C7" s="64" t="s">
        <v>25</v>
      </c>
      <c r="D7" s="70">
        <v>0.442</v>
      </c>
      <c r="E7" s="71">
        <v>0.40600000000000003</v>
      </c>
      <c r="F7" s="71">
        <v>0.30299999999999999</v>
      </c>
      <c r="G7" s="72">
        <v>0.33050000000000002</v>
      </c>
      <c r="H7" s="72">
        <v>0.90849999999999997</v>
      </c>
      <c r="I7" s="72">
        <v>2.8188</v>
      </c>
      <c r="J7" s="72">
        <v>44.820300000000003</v>
      </c>
      <c r="K7" s="73" t="s">
        <v>26</v>
      </c>
      <c r="L7" s="72">
        <v>0.51149999999999995</v>
      </c>
      <c r="M7" s="74">
        <v>4</v>
      </c>
      <c r="N7" s="73" t="s">
        <v>26</v>
      </c>
      <c r="O7" s="75">
        <v>0.26</v>
      </c>
    </row>
    <row r="8" spans="3:15" ht="30.6" x14ac:dyDescent="0.2">
      <c r="C8" s="64" t="s">
        <v>27</v>
      </c>
      <c r="D8" s="68">
        <v>0.67200000000000004</v>
      </c>
      <c r="E8" s="53">
        <v>0.59599999999999997</v>
      </c>
      <c r="F8" s="53">
        <v>0.49099999999999999</v>
      </c>
      <c r="G8" s="54">
        <v>0.4486</v>
      </c>
      <c r="H8" s="54">
        <v>2.1724999999999999</v>
      </c>
      <c r="I8" s="54">
        <v>125.3439</v>
      </c>
      <c r="J8" s="55" t="s">
        <v>26</v>
      </c>
      <c r="K8" s="55" t="s">
        <v>26</v>
      </c>
      <c r="L8" s="54">
        <v>0.4194</v>
      </c>
      <c r="M8" s="56">
        <v>2</v>
      </c>
      <c r="N8" s="55" t="s">
        <v>26</v>
      </c>
      <c r="O8" s="62">
        <v>0.03</v>
      </c>
    </row>
    <row r="9" spans="3:15" ht="20.399999999999999" x14ac:dyDescent="0.2">
      <c r="C9" s="64" t="s">
        <v>28</v>
      </c>
      <c r="D9" s="68">
        <v>0.36699999999999999</v>
      </c>
      <c r="E9" s="53">
        <v>0.30199999999999999</v>
      </c>
      <c r="F9" s="53">
        <v>0.23400000000000001</v>
      </c>
      <c r="G9" s="54">
        <v>0.2155</v>
      </c>
      <c r="H9" s="54">
        <v>0.96009999999999995</v>
      </c>
      <c r="I9" s="55" t="s">
        <v>26</v>
      </c>
      <c r="J9" s="55" t="s">
        <v>26</v>
      </c>
      <c r="K9" s="55" t="s">
        <v>26</v>
      </c>
      <c r="L9" s="54">
        <v>0.35</v>
      </c>
      <c r="M9" s="56">
        <v>1.7</v>
      </c>
      <c r="N9" s="55" t="s">
        <v>26</v>
      </c>
      <c r="O9" s="62">
        <v>-0.15</v>
      </c>
    </row>
    <row r="10" spans="3:15" ht="20.399999999999999" x14ac:dyDescent="0.2">
      <c r="C10" s="64" t="s">
        <v>29</v>
      </c>
      <c r="D10" s="68">
        <v>0.53500000000000003</v>
      </c>
      <c r="E10" s="53">
        <v>0.46700000000000003</v>
      </c>
      <c r="F10" s="53">
        <v>0.23200000000000001</v>
      </c>
      <c r="G10" s="54">
        <v>0.23780000000000001</v>
      </c>
      <c r="H10" s="54">
        <v>1.036</v>
      </c>
      <c r="I10" s="54">
        <v>412.61180000000002</v>
      </c>
      <c r="J10" s="55" t="s">
        <v>26</v>
      </c>
      <c r="K10" s="55" t="s">
        <v>26</v>
      </c>
      <c r="L10" s="54">
        <v>0.43840000000000001</v>
      </c>
      <c r="M10" s="56">
        <v>4</v>
      </c>
      <c r="N10" s="55" t="s">
        <v>26</v>
      </c>
      <c r="O10" s="62">
        <v>-0.05</v>
      </c>
    </row>
    <row r="11" spans="3:15" ht="20.399999999999999" x14ac:dyDescent="0.2">
      <c r="C11" s="64" t="s">
        <v>30</v>
      </c>
      <c r="D11" s="68">
        <v>0.54200000000000004</v>
      </c>
      <c r="E11" s="53">
        <v>0.50600000000000001</v>
      </c>
      <c r="F11" s="53">
        <v>0.41099999999999998</v>
      </c>
      <c r="G11" s="54">
        <v>0.38990000000000002</v>
      </c>
      <c r="H11" s="54">
        <v>1.3297000000000001</v>
      </c>
      <c r="I11" s="54">
        <v>4.4303999999999997</v>
      </c>
      <c r="J11" s="54">
        <v>95.639399999999995</v>
      </c>
      <c r="K11" s="55" t="s">
        <v>26</v>
      </c>
      <c r="L11" s="54">
        <v>0.39140000000000003</v>
      </c>
      <c r="M11" s="56">
        <v>1.3</v>
      </c>
      <c r="N11" s="55" t="s">
        <v>26</v>
      </c>
      <c r="O11" s="62">
        <v>0.01</v>
      </c>
    </row>
    <row r="12" spans="3:15" ht="40.799999999999997" x14ac:dyDescent="0.2">
      <c r="C12" s="64" t="s">
        <v>31</v>
      </c>
      <c r="D12" s="68">
        <v>0.47699999999999998</v>
      </c>
      <c r="E12" s="53">
        <v>0.42299999999999999</v>
      </c>
      <c r="F12" s="53">
        <v>0.35799999999999998</v>
      </c>
      <c r="G12" s="54">
        <v>0.31059999999999999</v>
      </c>
      <c r="H12" s="54">
        <v>1.3157000000000001</v>
      </c>
      <c r="I12" s="54">
        <v>15.0253</v>
      </c>
      <c r="J12" s="55" t="s">
        <v>26</v>
      </c>
      <c r="K12" s="55" t="s">
        <v>26</v>
      </c>
      <c r="L12" s="54">
        <v>0.26719999999999999</v>
      </c>
      <c r="M12" s="56">
        <v>0.9</v>
      </c>
      <c r="N12" s="55" t="s">
        <v>26</v>
      </c>
      <c r="O12" s="62">
        <v>0.53</v>
      </c>
    </row>
    <row r="13" spans="3:15" ht="20.399999999999999" x14ac:dyDescent="0.2">
      <c r="C13" s="64" t="s">
        <v>32</v>
      </c>
      <c r="D13" s="68">
        <v>0.57299999999999995</v>
      </c>
      <c r="E13" s="53">
        <v>0.50900000000000001</v>
      </c>
      <c r="F13" s="53">
        <v>0.435</v>
      </c>
      <c r="G13" s="54">
        <v>0.41010000000000002</v>
      </c>
      <c r="H13" s="54">
        <v>1.2589999999999999</v>
      </c>
      <c r="I13" s="54">
        <v>8.7012</v>
      </c>
      <c r="J13" s="54">
        <v>10226.307699999999</v>
      </c>
      <c r="K13" s="55" t="s">
        <v>26</v>
      </c>
      <c r="L13" s="54">
        <v>0.46910000000000002</v>
      </c>
      <c r="M13" s="56">
        <v>1.8</v>
      </c>
      <c r="N13" s="55" t="s">
        <v>26</v>
      </c>
      <c r="O13" s="62">
        <v>0.24</v>
      </c>
    </row>
    <row r="14" spans="3:15" ht="20.399999999999999" x14ac:dyDescent="0.2">
      <c r="C14" s="64" t="s">
        <v>33</v>
      </c>
      <c r="D14" s="68">
        <v>0.28000000000000003</v>
      </c>
      <c r="E14" s="53">
        <v>0.222</v>
      </c>
      <c r="F14" s="53">
        <v>0.158</v>
      </c>
      <c r="G14" s="54">
        <v>0.1454</v>
      </c>
      <c r="H14" s="54">
        <v>0.2596</v>
      </c>
      <c r="I14" s="54">
        <v>0.34310000000000002</v>
      </c>
      <c r="J14" s="54">
        <v>0.60319999999999996</v>
      </c>
      <c r="K14" s="54">
        <v>0.23039999999999999</v>
      </c>
      <c r="L14" s="54">
        <v>0.31619999999999998</v>
      </c>
      <c r="M14" s="56">
        <v>1.8</v>
      </c>
      <c r="N14" s="55" t="s">
        <v>26</v>
      </c>
      <c r="O14" s="62">
        <v>1.22</v>
      </c>
    </row>
    <row r="15" spans="3:15" ht="40.799999999999997" x14ac:dyDescent="0.2">
      <c r="C15" s="64" t="s">
        <v>34</v>
      </c>
      <c r="D15" s="68">
        <v>0.502</v>
      </c>
      <c r="E15" s="53">
        <v>0.40899999999999997</v>
      </c>
      <c r="F15" s="53">
        <v>0.35199999999999998</v>
      </c>
      <c r="G15" s="54">
        <v>0.28120000000000001</v>
      </c>
      <c r="H15" s="54">
        <v>0.94610000000000005</v>
      </c>
      <c r="I15" s="54">
        <v>5.0319000000000003</v>
      </c>
      <c r="J15" s="54">
        <v>100.54989999999999</v>
      </c>
      <c r="K15" s="55" t="s">
        <v>26</v>
      </c>
      <c r="L15" s="54">
        <v>0.53280000000000005</v>
      </c>
      <c r="M15" s="56">
        <v>2.4</v>
      </c>
      <c r="N15" s="55" t="s">
        <v>26</v>
      </c>
      <c r="O15" s="62">
        <v>1.24</v>
      </c>
    </row>
    <row r="16" spans="3:15" ht="20.399999999999999" x14ac:dyDescent="0.2">
      <c r="C16" s="64" t="s">
        <v>35</v>
      </c>
      <c r="D16" s="68">
        <v>0.45300000000000001</v>
      </c>
      <c r="E16" s="53">
        <v>0.39300000000000002</v>
      </c>
      <c r="F16" s="53">
        <v>0.157</v>
      </c>
      <c r="G16" s="54">
        <v>0.12989999999999999</v>
      </c>
      <c r="H16" s="54">
        <v>0.52300000000000002</v>
      </c>
      <c r="I16" s="54">
        <v>0.67669999999999997</v>
      </c>
      <c r="J16" s="55" t="s">
        <v>26</v>
      </c>
      <c r="K16" s="55" t="s">
        <v>26</v>
      </c>
      <c r="L16" s="54">
        <v>0.26979999999999998</v>
      </c>
      <c r="M16" s="56">
        <v>2.1</v>
      </c>
      <c r="N16" s="55" t="s">
        <v>26</v>
      </c>
      <c r="O16" s="62">
        <v>-0.21</v>
      </c>
    </row>
    <row r="17" spans="3:15" ht="21" thickBot="1" x14ac:dyDescent="0.25">
      <c r="C17" s="65" t="s">
        <v>36</v>
      </c>
      <c r="D17" s="69">
        <v>0.73399999999999999</v>
      </c>
      <c r="E17" s="58">
        <v>0.63800000000000001</v>
      </c>
      <c r="F17" s="58">
        <v>0.54500000000000004</v>
      </c>
      <c r="G17" s="59">
        <v>0.40770000000000001</v>
      </c>
      <c r="H17" s="59">
        <v>1.89</v>
      </c>
      <c r="I17" s="59">
        <v>11.373699999999999</v>
      </c>
      <c r="J17" s="60" t="s">
        <v>26</v>
      </c>
      <c r="K17" s="60" t="s">
        <v>26</v>
      </c>
      <c r="L17" s="59">
        <v>0.43530000000000002</v>
      </c>
      <c r="M17" s="61">
        <v>1.9</v>
      </c>
      <c r="N17" s="60" t="s">
        <v>26</v>
      </c>
      <c r="O17" s="63">
        <v>0.37</v>
      </c>
    </row>
    <row r="27" spans="3:15" ht="10.8" thickBot="1" x14ac:dyDescent="0.25"/>
    <row r="28" spans="3:15" ht="10.8" thickBot="1" x14ac:dyDescent="0.25">
      <c r="C28" s="51" t="s">
        <v>185</v>
      </c>
      <c r="D28" s="49">
        <f>AVERAGE(D29:O29)</f>
        <v>0.76111111111111107</v>
      </c>
    </row>
    <row r="29" spans="3:15" ht="10.8" thickBot="1" x14ac:dyDescent="0.25">
      <c r="C29" s="52" t="s">
        <v>186</v>
      </c>
      <c r="D29" s="50">
        <f>IFERROR(INDEX(C31:C51,MATCH(D17,D31:D51)),"NA")</f>
        <v>1</v>
      </c>
      <c r="E29" s="47">
        <f>IFERROR(INDEX(C31:C51,MATCH(E17,E31:E51)),"NA")</f>
        <v>1</v>
      </c>
      <c r="F29" s="47">
        <f>IFERROR(INDEX(C31:C51,MATCH(F17,F31:F51)),"NA")</f>
        <v>1</v>
      </c>
      <c r="G29" s="47">
        <f>IFERROR(INDEX(C31:C51,MATCH(G17,G31:G51)),"NA")</f>
        <v>0.85</v>
      </c>
      <c r="H29" s="47">
        <f>IFERROR(INDEX(C31:C51,MATCH(H17,H31:H51)),"NA")</f>
        <v>0.95</v>
      </c>
      <c r="I29" s="47">
        <f>IFERROR(INDEX(C31:C51,MATCH(I17,I31:I51)),"NA")</f>
        <v>0.65</v>
      </c>
      <c r="J29" s="47" t="str">
        <f>IFERROR(INDEX(C31:C51,MATCH(J17,J31:J51)),"NA")</f>
        <v>NA</v>
      </c>
      <c r="K29" s="47" t="str">
        <f>IFERROR(INDEX(C31:C51,MATCH(K17,K31:K51)),"NA")</f>
        <v>NA</v>
      </c>
      <c r="L29" s="47">
        <f>IFERROR(INDEX(C31:C51,MATCH(L17,L31:L51)),"NA")</f>
        <v>0.6</v>
      </c>
      <c r="M29" s="47">
        <f>IFERROR((1-INDEX(C31:C51,MATCH(M17,M31:M51))),"NA")</f>
        <v>0.5</v>
      </c>
      <c r="N29" s="47" t="str">
        <f>IFERROR(INDEX(C31:C51,MATCH(N17,N31:N51)),"NA")</f>
        <v>NA</v>
      </c>
      <c r="O29" s="48">
        <f>IFERROR((1-INDEX(C31:C51,MATCH(O17,O31:O51))),"NA")</f>
        <v>0.30000000000000004</v>
      </c>
    </row>
    <row r="30" spans="3:15" ht="10.8" thickBot="1" x14ac:dyDescent="0.25">
      <c r="C30" s="43" t="s">
        <v>187</v>
      </c>
    </row>
    <row r="31" spans="3:15" x14ac:dyDescent="0.2">
      <c r="C31" s="45">
        <v>0</v>
      </c>
      <c r="D31" s="76">
        <f>PERCENTILE(D7:D16,C31)</f>
        <v>0.28000000000000003</v>
      </c>
      <c r="E31" s="76">
        <f>PERCENTILE(E7:E16,C31)</f>
        <v>0.222</v>
      </c>
      <c r="F31" s="76">
        <f>PERCENTILE(F7:F16,C31)</f>
        <v>0.157</v>
      </c>
      <c r="G31" s="76">
        <f>PERCENTILE(G7:G16,C31)</f>
        <v>0.12989999999999999</v>
      </c>
      <c r="H31" s="76">
        <f>PERCENTILE(H7:H16,C31)</f>
        <v>0.2596</v>
      </c>
      <c r="I31" s="76">
        <f>PERCENTILE(I7:I16,C31)</f>
        <v>0.34310000000000002</v>
      </c>
      <c r="J31" s="76">
        <f>PERCENTILE(J7:J16,C31)</f>
        <v>0.60319999999999996</v>
      </c>
      <c r="K31" s="76">
        <f>PERCENTILE(K7:K16,C31)</f>
        <v>0.23039999999999999</v>
      </c>
      <c r="L31" s="76">
        <f>PERCENTILE(L7:L16,C31)</f>
        <v>0.26719999999999999</v>
      </c>
      <c r="M31" s="79">
        <f>PERCENTILE(M7:M16,C31)</f>
        <v>0.9</v>
      </c>
      <c r="N31" s="76" t="e">
        <f>PERCENTILE(N7:N16,C31)</f>
        <v>#NUM!</v>
      </c>
      <c r="O31" s="82">
        <f>PERCENTILE(O7:O16,C31)</f>
        <v>-0.21</v>
      </c>
    </row>
    <row r="32" spans="3:15" x14ac:dyDescent="0.2">
      <c r="C32" s="44">
        <v>0.05</v>
      </c>
      <c r="D32" s="77">
        <f>PERCENTILE(D7:D16,C32)</f>
        <v>0.31914999999999999</v>
      </c>
      <c r="E32" s="77">
        <f>PERCENTILE(E7:E16,C32)</f>
        <v>0.25800000000000001</v>
      </c>
      <c r="F32" s="77">
        <f>PERCENTILE(F7:F16,C32)</f>
        <v>0.15745000000000001</v>
      </c>
      <c r="G32" s="77">
        <f>PERCENTILE(G7:G16,C32)</f>
        <v>0.136875</v>
      </c>
      <c r="H32" s="77">
        <f>PERCENTILE(H7:H16,C32)</f>
        <v>0.37812999999999997</v>
      </c>
      <c r="I32" s="77">
        <f>PERCENTILE(I7:I16,C32)</f>
        <v>0.47653999999999996</v>
      </c>
      <c r="J32" s="77">
        <f>PERCENTILE(J7:J16,C32)</f>
        <v>9.4466199999999976</v>
      </c>
      <c r="K32" s="77">
        <f>PERCENTILE(K7:K16,C32)</f>
        <v>0.23039999999999999</v>
      </c>
      <c r="L32" s="77">
        <f>PERCENTILE(L7:L16,C32)</f>
        <v>0.26837</v>
      </c>
      <c r="M32" s="80">
        <f>PERCENTILE(M7:M16,C32)</f>
        <v>1.08</v>
      </c>
      <c r="N32" s="77" t="e">
        <f>PERCENTILE(N7:N16,C32)</f>
        <v>#NUM!</v>
      </c>
      <c r="O32" s="83">
        <f>PERCENTILE(O7:O16,C32)</f>
        <v>-0.183</v>
      </c>
    </row>
    <row r="33" spans="3:15" x14ac:dyDescent="0.2">
      <c r="C33" s="44">
        <v>0.1</v>
      </c>
      <c r="D33" s="77">
        <f>PERCENTILE(D7:D16,C33)</f>
        <v>0.35830000000000001</v>
      </c>
      <c r="E33" s="77">
        <f>PERCENTILE(E7:E16,C33)</f>
        <v>0.29399999999999998</v>
      </c>
      <c r="F33" s="77">
        <f>PERCENTILE(F7:F16,C33)</f>
        <v>0.15790000000000001</v>
      </c>
      <c r="G33" s="77">
        <f>PERCENTILE(G7:G16,C33)</f>
        <v>0.14385000000000001</v>
      </c>
      <c r="H33" s="77">
        <f>PERCENTILE(H7:H16,C33)</f>
        <v>0.49665999999999999</v>
      </c>
      <c r="I33" s="77">
        <f>PERCENTILE(I7:I16,C33)</f>
        <v>0.60997999999999997</v>
      </c>
      <c r="J33" s="77">
        <f>PERCENTILE(J7:J16,C33)</f>
        <v>18.290039999999998</v>
      </c>
      <c r="K33" s="77">
        <f>PERCENTILE(K7:K16,C33)</f>
        <v>0.23039999999999999</v>
      </c>
      <c r="L33" s="77">
        <f>PERCENTILE(L7:L16,C33)</f>
        <v>0.26954</v>
      </c>
      <c r="M33" s="80">
        <f>PERCENTILE(M7:M16,C33)</f>
        <v>1.26</v>
      </c>
      <c r="N33" s="77" t="e">
        <f>PERCENTILE(N7:N16,C33)</f>
        <v>#NUM!</v>
      </c>
      <c r="O33" s="83">
        <f>PERCENTILE(O7:O16,C33)</f>
        <v>-0.156</v>
      </c>
    </row>
    <row r="34" spans="3:15" x14ac:dyDescent="0.2">
      <c r="C34" s="44">
        <v>0.15</v>
      </c>
      <c r="D34" s="77">
        <f>PERCENTILE(D7:D16,C34)</f>
        <v>0.39324999999999999</v>
      </c>
      <c r="E34" s="77">
        <f>PERCENTILE(E7:E16,C34)</f>
        <v>0.33384999999999998</v>
      </c>
      <c r="F34" s="77">
        <f>PERCENTILE(F7:F16,C34)</f>
        <v>0.18389999999999998</v>
      </c>
      <c r="G34" s="77">
        <f>PERCENTILE(G7:G16,C34)</f>
        <v>0.16993499999999997</v>
      </c>
      <c r="H34" s="77">
        <f>PERCENTILE(H7:H16,C34)</f>
        <v>0.65792499999999987</v>
      </c>
      <c r="I34" s="77">
        <f>PERCENTILE(I7:I16,C34)</f>
        <v>1.1051200000000003</v>
      </c>
      <c r="J34" s="77">
        <f>PERCENTILE(J7:J16,C34)</f>
        <v>27.133460000000007</v>
      </c>
      <c r="K34" s="77">
        <f>PERCENTILE(K7:K16,C34)</f>
        <v>0.23039999999999999</v>
      </c>
      <c r="L34" s="77">
        <f>PERCENTILE(L7:L16,C34)</f>
        <v>0.28603999999999996</v>
      </c>
      <c r="M34" s="80">
        <f>PERCENTILE(M7:M16,C34)</f>
        <v>1.44</v>
      </c>
      <c r="N34" s="77" t="e">
        <f>PERCENTILE(N7:N16,C34)</f>
        <v>#NUM!</v>
      </c>
      <c r="O34" s="83">
        <f>PERCENTILE(O7:O16,C34)</f>
        <v>-0.11500000000000003</v>
      </c>
    </row>
    <row r="35" spans="3:15" x14ac:dyDescent="0.2">
      <c r="C35" s="44">
        <v>0.2</v>
      </c>
      <c r="D35" s="77">
        <f>PERCENTILE(D7:D16,C35)</f>
        <v>0.42699999999999999</v>
      </c>
      <c r="E35" s="77">
        <f>PERCENTILE(E7:E16,C35)</f>
        <v>0.37480000000000002</v>
      </c>
      <c r="F35" s="77">
        <f>PERCENTILE(F7:F16,C35)</f>
        <v>0.2172</v>
      </c>
      <c r="G35" s="77">
        <f>PERCENTILE(G7:G16,C35)</f>
        <v>0.20147999999999999</v>
      </c>
      <c r="H35" s="77">
        <f>PERCENTILE(H7:H16,C35)</f>
        <v>0.83139999999999992</v>
      </c>
      <c r="I35" s="77">
        <f>PERCENTILE(I7:I16,C35)</f>
        <v>1.9619600000000004</v>
      </c>
      <c r="J35" s="77">
        <f>PERCENTILE(J7:J16,C35)</f>
        <v>35.976880000000001</v>
      </c>
      <c r="K35" s="77">
        <f>PERCENTILE(K7:K16,C35)</f>
        <v>0.23039999999999999</v>
      </c>
      <c r="L35" s="77">
        <f>PERCENTILE(L7:L16,C35)</f>
        <v>0.30691999999999997</v>
      </c>
      <c r="M35" s="80">
        <f>PERCENTILE(M7:M16,C35)</f>
        <v>1.6199999999999999</v>
      </c>
      <c r="N35" s="77" t="e">
        <f>PERCENTILE(N7:N16,C35)</f>
        <v>#NUM!</v>
      </c>
      <c r="O35" s="83">
        <f>PERCENTILE(O7:O16,C35)</f>
        <v>-7.0000000000000021E-2</v>
      </c>
    </row>
    <row r="36" spans="3:15" x14ac:dyDescent="0.2">
      <c r="C36" s="44">
        <v>0.25</v>
      </c>
      <c r="D36" s="77">
        <f>PERCENTILE(D7:D16,C36)</f>
        <v>0.44474999999999998</v>
      </c>
      <c r="E36" s="77">
        <f>PERCENTILE(E7:E16,C36)</f>
        <v>0.39624999999999999</v>
      </c>
      <c r="F36" s="77">
        <f>PERCENTILE(F7:F16,C36)</f>
        <v>0.23250000000000001</v>
      </c>
      <c r="G36" s="77">
        <f>PERCENTILE(G7:G16,C36)</f>
        <v>0.22107499999999999</v>
      </c>
      <c r="H36" s="77">
        <f>PERCENTILE(H7:H16,C36)</f>
        <v>0.91789999999999994</v>
      </c>
      <c r="I36" s="77">
        <f>PERCENTILE(I7:I16,C36)</f>
        <v>2.8188</v>
      </c>
      <c r="J36" s="77">
        <f>PERCENTILE(J7:J16,C36)</f>
        <v>44.820300000000003</v>
      </c>
      <c r="K36" s="77">
        <f>PERCENTILE(K7:K16,C36)</f>
        <v>0.23039999999999999</v>
      </c>
      <c r="L36" s="77">
        <f>PERCENTILE(L7:L16,C36)</f>
        <v>0.32464999999999999</v>
      </c>
      <c r="M36" s="80">
        <f>PERCENTILE(M7:M16,C36)</f>
        <v>1.7250000000000001</v>
      </c>
      <c r="N36" s="77" t="e">
        <f>PERCENTILE(N7:N16,C36)</f>
        <v>#NUM!</v>
      </c>
      <c r="O36" s="83">
        <f>PERCENTILE(O7:O16,C36)</f>
        <v>-3.5000000000000003E-2</v>
      </c>
    </row>
    <row r="37" spans="3:15" x14ac:dyDescent="0.2">
      <c r="C37" s="44">
        <v>0.3</v>
      </c>
      <c r="D37" s="77">
        <f>PERCENTILE(D7:D16,C37)</f>
        <v>0.44969999999999999</v>
      </c>
      <c r="E37" s="77">
        <f>PERCENTILE(E7:E16,C37)</f>
        <v>0.40210000000000001</v>
      </c>
      <c r="F37" s="77">
        <f>PERCENTILE(F7:F16,C37)</f>
        <v>0.23340000000000002</v>
      </c>
      <c r="G37" s="77">
        <f>PERCENTILE(G7:G16,C37)</f>
        <v>0.23111000000000001</v>
      </c>
      <c r="H37" s="77">
        <f>PERCENTILE(H7:H16,C37)</f>
        <v>0.93481999999999998</v>
      </c>
      <c r="I37" s="77">
        <f>PERCENTILE(I7:I16,C37)</f>
        <v>3.4634399999999999</v>
      </c>
      <c r="J37" s="77">
        <f>PERCENTILE(J7:J16,C37)</f>
        <v>54.984120000000011</v>
      </c>
      <c r="K37" s="77">
        <f>PERCENTILE(K7:K16,C37)</f>
        <v>0.23039999999999999</v>
      </c>
      <c r="L37" s="77">
        <f>PERCENTILE(L7:L16,C37)</f>
        <v>0.33986</v>
      </c>
      <c r="M37" s="80">
        <f>PERCENTILE(M7:M16,C37)</f>
        <v>1.77</v>
      </c>
      <c r="N37" s="77" t="e">
        <f>PERCENTILE(N7:N16,C37)</f>
        <v>#NUM!</v>
      </c>
      <c r="O37" s="83">
        <f>PERCENTILE(O7:O16,C37)</f>
        <v>-8.000000000000014E-3</v>
      </c>
    </row>
    <row r="38" spans="3:15" x14ac:dyDescent="0.2">
      <c r="C38" s="44">
        <v>0.35</v>
      </c>
      <c r="D38" s="77">
        <f>PERCENTILE(D7:D16,C38)</f>
        <v>0.45660000000000001</v>
      </c>
      <c r="E38" s="77">
        <f>PERCENTILE(E7:E16,C38)</f>
        <v>0.40645000000000003</v>
      </c>
      <c r="F38" s="77">
        <f>PERCENTILE(F7:F16,C38)</f>
        <v>0.24435000000000004</v>
      </c>
      <c r="G38" s="77">
        <f>PERCENTILE(G7:G16,C38)</f>
        <v>0.24431000000000003</v>
      </c>
      <c r="H38" s="77">
        <f>PERCENTILE(H7:H16,C38)</f>
        <v>0.94820000000000004</v>
      </c>
      <c r="I38" s="77">
        <f>PERCENTILE(I7:I16,C38)</f>
        <v>4.1080799999999993</v>
      </c>
      <c r="J38" s="77">
        <f>PERCENTILE(J7:J16,C38)</f>
        <v>65.147939999999991</v>
      </c>
      <c r="K38" s="77">
        <f>PERCENTILE(K7:K16,C38)</f>
        <v>0.23039999999999999</v>
      </c>
      <c r="L38" s="77">
        <f>PERCENTILE(L7:L16,C38)</f>
        <v>0.35621000000000003</v>
      </c>
      <c r="M38" s="80">
        <f>PERCENTILE(M7:M16,C38)</f>
        <v>1.8</v>
      </c>
      <c r="N38" s="77" t="e">
        <f>PERCENTILE(N7:N16,C38)</f>
        <v>#NUM!</v>
      </c>
      <c r="O38" s="83">
        <f>PERCENTILE(O7:O16,C38)</f>
        <v>1.3000000000000006E-2</v>
      </c>
    </row>
    <row r="39" spans="3:15" x14ac:dyDescent="0.2">
      <c r="C39" s="44">
        <v>0.4</v>
      </c>
      <c r="D39" s="77">
        <f>PERCENTILE(D7:D16,C39)</f>
        <v>0.46739999999999998</v>
      </c>
      <c r="E39" s="77">
        <f>PERCENTILE(E7:E16,C39)</f>
        <v>0.4078</v>
      </c>
      <c r="F39" s="77">
        <f>PERCENTILE(F7:F16,C39)</f>
        <v>0.27539999999999998</v>
      </c>
      <c r="G39" s="77">
        <f>PERCENTILE(G7:G16,C39)</f>
        <v>0.26383999999999996</v>
      </c>
      <c r="H39" s="77">
        <f>PERCENTILE(H7:H16,C39)</f>
        <v>0.95450000000000002</v>
      </c>
      <c r="I39" s="77">
        <f>PERCENTILE(I7:I16,C39)</f>
        <v>4.5507</v>
      </c>
      <c r="J39" s="77">
        <f>PERCENTILE(J7:J16,C39)</f>
        <v>75.311760000000007</v>
      </c>
      <c r="K39" s="77">
        <f>PERCENTILE(K7:K16,C39)</f>
        <v>0.23039999999999999</v>
      </c>
      <c r="L39" s="77">
        <f>PERCENTILE(L7:L16,C39)</f>
        <v>0.37484000000000001</v>
      </c>
      <c r="M39" s="80">
        <f>PERCENTILE(M7:M16,C39)</f>
        <v>1.8</v>
      </c>
      <c r="N39" s="77" t="e">
        <f>PERCENTILE(N7:N16,C39)</f>
        <v>#NUM!</v>
      </c>
      <c r="O39" s="83">
        <f>PERCENTILE(O7:O16,C39)</f>
        <v>2.1999999999999992E-2</v>
      </c>
    </row>
    <row r="40" spans="3:15" x14ac:dyDescent="0.2">
      <c r="C40" s="44">
        <v>0.45</v>
      </c>
      <c r="D40" s="77">
        <f>PERCENTILE(D7:D16,C40)</f>
        <v>0.47824999999999995</v>
      </c>
      <c r="E40" s="77">
        <f>PERCENTILE(E7:E16,C40)</f>
        <v>0.40969999999999995</v>
      </c>
      <c r="F40" s="77">
        <f>PERCENTILE(F7:F16,C40)</f>
        <v>0.30545</v>
      </c>
      <c r="G40" s="77">
        <f>PERCENTILE(G7:G16,C40)</f>
        <v>0.28266999999999998</v>
      </c>
      <c r="H40" s="77">
        <f>PERCENTILE(H7:H16,C40)</f>
        <v>0.96389499999999995</v>
      </c>
      <c r="I40" s="77">
        <f>PERCENTILE(I7:I16,C40)</f>
        <v>4.7912999999999997</v>
      </c>
      <c r="J40" s="77">
        <f>PERCENTILE(J7:J16,C40)</f>
        <v>85.475579999999979</v>
      </c>
      <c r="K40" s="77">
        <f>PERCENTILE(K7:K16,C40)</f>
        <v>0.23039999999999999</v>
      </c>
      <c r="L40" s="77">
        <f>PERCENTILE(L7:L16,C40)</f>
        <v>0.39280000000000004</v>
      </c>
      <c r="M40" s="80">
        <f>PERCENTILE(M7:M16,C40)</f>
        <v>1.81</v>
      </c>
      <c r="N40" s="77" t="e">
        <f>PERCENTILE(N7:N16,C40)</f>
        <v>#NUM!</v>
      </c>
      <c r="O40" s="83">
        <f>PERCENTILE(O7:O16,C40)</f>
        <v>4.049999999999996E-2</v>
      </c>
    </row>
    <row r="41" spans="3:15" x14ac:dyDescent="0.2">
      <c r="C41" s="44">
        <v>0.5</v>
      </c>
      <c r="D41" s="77">
        <f>PERCENTILE(D7:D16,C41)</f>
        <v>0.48949999999999999</v>
      </c>
      <c r="E41" s="77">
        <f>PERCENTILE(E7:E16,C41)</f>
        <v>0.41599999999999998</v>
      </c>
      <c r="F41" s="77">
        <f>PERCENTILE(F7:F16,C41)</f>
        <v>0.32750000000000001</v>
      </c>
      <c r="G41" s="77">
        <f>PERCENTILE(G7:G16,C41)</f>
        <v>0.2959</v>
      </c>
      <c r="H41" s="77">
        <f>PERCENTILE(H7:H16,C41)</f>
        <v>0.99804999999999999</v>
      </c>
      <c r="I41" s="77">
        <f>PERCENTILE(I7:I16,C41)</f>
        <v>5.0319000000000003</v>
      </c>
      <c r="J41" s="77">
        <f>PERCENTILE(J7:J16,C41)</f>
        <v>95.639399999999995</v>
      </c>
      <c r="K41" s="77">
        <f>PERCENTILE(K7:K16,C41)</f>
        <v>0.23039999999999999</v>
      </c>
      <c r="L41" s="77">
        <f>PERCENTILE(L7:L16,C41)</f>
        <v>0.40539999999999998</v>
      </c>
      <c r="M41" s="80">
        <f>PERCENTILE(M7:M16,C41)</f>
        <v>1.9</v>
      </c>
      <c r="N41" s="77" t="e">
        <f>PERCENTILE(N7:N16,C41)</f>
        <v>#NUM!</v>
      </c>
      <c r="O41" s="83">
        <f>PERCENTILE(O7:O16,C41)</f>
        <v>0.13500000000000001</v>
      </c>
    </row>
    <row r="42" spans="3:15" x14ac:dyDescent="0.2">
      <c r="C42" s="44">
        <v>0.55000000000000004</v>
      </c>
      <c r="D42" s="77">
        <f>PERCENTILE(D7:D16,C42)</f>
        <v>0.50075000000000003</v>
      </c>
      <c r="E42" s="77">
        <f>PERCENTILE(E7:E16,C42)</f>
        <v>0.42230000000000001</v>
      </c>
      <c r="F42" s="77">
        <f>PERCENTILE(F7:F16,C42)</f>
        <v>0.34954999999999997</v>
      </c>
      <c r="G42" s="77">
        <f>PERCENTILE(G7:G16,C42)</f>
        <v>0.30913000000000002</v>
      </c>
      <c r="H42" s="77">
        <f>PERCENTILE(H7:H16,C42)</f>
        <v>1.032205</v>
      </c>
      <c r="I42" s="77">
        <f>PERCENTILE(I7:I16,C42)</f>
        <v>6.499620000000002</v>
      </c>
      <c r="J42" s="77">
        <f>PERCENTILE(J7:J16,C42)</f>
        <v>96.621499999999997</v>
      </c>
      <c r="K42" s="77">
        <f>PERCENTILE(K7:K16,C42)</f>
        <v>0.23039999999999999</v>
      </c>
      <c r="L42" s="77">
        <f>PERCENTILE(L7:L16,C42)</f>
        <v>0.41799999999999998</v>
      </c>
      <c r="M42" s="80">
        <f>PERCENTILE(M7:M16,C42)</f>
        <v>1.99</v>
      </c>
      <c r="N42" s="77" t="e">
        <f>PERCENTILE(N7:N16,C42)</f>
        <v>#NUM!</v>
      </c>
      <c r="O42" s="83">
        <f>PERCENTILE(O7:O16,C42)</f>
        <v>0.22950000000000004</v>
      </c>
    </row>
    <row r="43" spans="3:15" x14ac:dyDescent="0.2">
      <c r="C43" s="44">
        <v>0.6</v>
      </c>
      <c r="D43" s="77">
        <f>PERCENTILE(D7:D16,C43)</f>
        <v>0.51519999999999999</v>
      </c>
      <c r="E43" s="77">
        <f>PERCENTILE(E7:E16,C43)</f>
        <v>0.44059999999999999</v>
      </c>
      <c r="F43" s="77">
        <f>PERCENTILE(F7:F16,C43)</f>
        <v>0.35439999999999999</v>
      </c>
      <c r="G43" s="77">
        <f>PERCENTILE(G7:G16,C43)</f>
        <v>0.31856000000000001</v>
      </c>
      <c r="H43" s="77">
        <f>PERCENTILE(H7:H16,C43)</f>
        <v>1.1251999999999998</v>
      </c>
      <c r="I43" s="77">
        <f>PERCENTILE(I7:I16,C43)</f>
        <v>7.9673400000000001</v>
      </c>
      <c r="J43" s="77">
        <f>PERCENTILE(J7:J16,C43)</f>
        <v>97.6036</v>
      </c>
      <c r="K43" s="77">
        <f>PERCENTILE(K7:K16,C43)</f>
        <v>0.23039999999999999</v>
      </c>
      <c r="L43" s="77">
        <f>PERCENTILE(L7:L16,C43)</f>
        <v>0.42699999999999999</v>
      </c>
      <c r="M43" s="80">
        <f>PERCENTILE(M7:M16,C43)</f>
        <v>2.04</v>
      </c>
      <c r="N43" s="77" t="e">
        <f>PERCENTILE(N7:N16,C43)</f>
        <v>#NUM!</v>
      </c>
      <c r="O43" s="83">
        <f>PERCENTILE(O7:O16,C43)</f>
        <v>0.248</v>
      </c>
    </row>
    <row r="44" spans="3:15" x14ac:dyDescent="0.2">
      <c r="C44" s="44">
        <v>0.65</v>
      </c>
      <c r="D44" s="77">
        <f>PERCENTILE(D7:D16,C44)</f>
        <v>0.53005000000000002</v>
      </c>
      <c r="E44" s="77">
        <f>PERCENTILE(E7:E16,C44)</f>
        <v>0.46040000000000003</v>
      </c>
      <c r="F44" s="77">
        <f>PERCENTILE(F7:F16,C44)</f>
        <v>0.35709999999999997</v>
      </c>
      <c r="G44" s="77">
        <f>PERCENTILE(G7:G16,C44)</f>
        <v>0.327515</v>
      </c>
      <c r="H44" s="77">
        <f>PERCENTILE(H7:H16,C44)</f>
        <v>1.2255500000000001</v>
      </c>
      <c r="I44" s="77">
        <f>PERCENTILE(I7:I16,C44)</f>
        <v>9.9660200000000003</v>
      </c>
      <c r="J44" s="77">
        <f>PERCENTILE(J7:J16,C44)</f>
        <v>98.585699999999989</v>
      </c>
      <c r="K44" s="77">
        <f>PERCENTILE(K7:K16,C44)</f>
        <v>0.23039999999999999</v>
      </c>
      <c r="L44" s="77">
        <f>PERCENTILE(L7:L16,C44)</f>
        <v>0.43554999999999999</v>
      </c>
      <c r="M44" s="80">
        <f>PERCENTILE(M7:M16,C44)</f>
        <v>2.085</v>
      </c>
      <c r="N44" s="77" t="e">
        <f>PERCENTILE(N7:N16,C44)</f>
        <v>#NUM!</v>
      </c>
      <c r="O44" s="83">
        <f>PERCENTILE(O7:O16,C44)</f>
        <v>0.25700000000000001</v>
      </c>
    </row>
    <row r="45" spans="3:15" x14ac:dyDescent="0.2">
      <c r="C45" s="44">
        <v>0.7</v>
      </c>
      <c r="D45" s="77">
        <f>PERCENTILE(D7:D16,C45)</f>
        <v>0.53710000000000002</v>
      </c>
      <c r="E45" s="77">
        <f>PERCENTILE(E7:E16,C45)</f>
        <v>0.47870000000000001</v>
      </c>
      <c r="F45" s="77">
        <f>PERCENTILE(F7:F16,C45)</f>
        <v>0.37389999999999995</v>
      </c>
      <c r="G45" s="77">
        <f>PERCENTILE(G7:G16,C45)</f>
        <v>0.34832000000000002</v>
      </c>
      <c r="H45" s="77">
        <f>PERCENTILE(H7:H16,C45)</f>
        <v>1.2760099999999999</v>
      </c>
      <c r="I45" s="77">
        <f>PERCENTILE(I7:I16,C45)</f>
        <v>12.495659999999997</v>
      </c>
      <c r="J45" s="77">
        <f>PERCENTILE(J7:J16,C45)</f>
        <v>99.567799999999991</v>
      </c>
      <c r="K45" s="77">
        <f>PERCENTILE(K7:K16,C45)</f>
        <v>0.23039999999999999</v>
      </c>
      <c r="L45" s="77">
        <f>PERCENTILE(L7:L16,C45)</f>
        <v>0.44761000000000001</v>
      </c>
      <c r="M45" s="80">
        <f>PERCENTILE(M7:M16,C45)</f>
        <v>2.19</v>
      </c>
      <c r="N45" s="77" t="e">
        <f>PERCENTILE(N7:N16,C45)</f>
        <v>#NUM!</v>
      </c>
      <c r="O45" s="83">
        <f>PERCENTILE(O7:O16,C45)</f>
        <v>0.34099999999999997</v>
      </c>
    </row>
    <row r="46" spans="3:15" x14ac:dyDescent="0.2">
      <c r="C46" s="44">
        <v>0.75</v>
      </c>
      <c r="D46" s="77">
        <f>PERCENTILE(D7:D16,C46)</f>
        <v>0.54025000000000001</v>
      </c>
      <c r="E46" s="77">
        <f>PERCENTILE(E7:E16,C46)</f>
        <v>0.49625000000000002</v>
      </c>
      <c r="F46" s="77">
        <f>PERCENTILE(F7:F16,C46)</f>
        <v>0.39774999999999999</v>
      </c>
      <c r="G46" s="77">
        <f>PERCENTILE(G7:G16,C46)</f>
        <v>0.37504999999999999</v>
      </c>
      <c r="H46" s="77">
        <f>PERCENTILE(H7:H16,C46)</f>
        <v>1.301525</v>
      </c>
      <c r="I46" s="77">
        <f>PERCENTILE(I7:I16,C46)</f>
        <v>15.0253</v>
      </c>
      <c r="J46" s="77">
        <f>PERCENTILE(J7:J16,C46)</f>
        <v>100.54989999999999</v>
      </c>
      <c r="K46" s="77">
        <f>PERCENTILE(K7:K16,C46)</f>
        <v>0.23039999999999999</v>
      </c>
      <c r="L46" s="77">
        <f>PERCENTILE(L7:L16,C46)</f>
        <v>0.46142500000000003</v>
      </c>
      <c r="M46" s="80">
        <f>PERCENTILE(M7:M16,C46)</f>
        <v>2.3250000000000002</v>
      </c>
      <c r="N46" s="77" t="e">
        <f>PERCENTILE(N7:N16,C46)</f>
        <v>#NUM!</v>
      </c>
      <c r="O46" s="83">
        <f>PERCENTILE(O7:O16,C46)</f>
        <v>0.46250000000000002</v>
      </c>
    </row>
    <row r="47" spans="3:15" x14ac:dyDescent="0.2">
      <c r="C47" s="44">
        <v>0.8</v>
      </c>
      <c r="D47" s="77">
        <f>PERCENTILE(D7:D16,C47)</f>
        <v>0.54820000000000002</v>
      </c>
      <c r="E47" s="77">
        <f>PERCENTILE(E7:E16,C47)</f>
        <v>0.50660000000000005</v>
      </c>
      <c r="F47" s="77">
        <f>PERCENTILE(F7:F16,C47)</f>
        <v>0.41579999999999995</v>
      </c>
      <c r="G47" s="77">
        <f>PERCENTILE(G7:G16,C47)</f>
        <v>0.39394000000000001</v>
      </c>
      <c r="H47" s="77">
        <f>PERCENTILE(H7:H16,C47)</f>
        <v>1.3185</v>
      </c>
      <c r="I47" s="77">
        <f>PERCENTILE(I7:I16,C47)</f>
        <v>59.152740000000044</v>
      </c>
      <c r="J47" s="77">
        <f>PERCENTILE(J7:J16,C47)</f>
        <v>2125.7014600000016</v>
      </c>
      <c r="K47" s="77">
        <f>PERCENTILE(K7:K16,C47)</f>
        <v>0.23039999999999999</v>
      </c>
      <c r="L47" s="77">
        <f>PERCENTILE(L7:L16,C47)</f>
        <v>0.47757999999999995</v>
      </c>
      <c r="M47" s="80">
        <f>PERCENTILE(M7:M16,C47)</f>
        <v>2.7199999999999989</v>
      </c>
      <c r="N47" s="77" t="e">
        <f>PERCENTILE(N7:N16,C47)</f>
        <v>#NUM!</v>
      </c>
      <c r="O47" s="83">
        <f>PERCENTILE(O7:O16,C47)</f>
        <v>0.66799999999999948</v>
      </c>
    </row>
    <row r="48" spans="3:15" x14ac:dyDescent="0.2">
      <c r="C48" s="44">
        <v>0.85</v>
      </c>
      <c r="D48" s="77">
        <f>PERCENTILE(D7:D16,C48)</f>
        <v>0.56214999999999993</v>
      </c>
      <c r="E48" s="77">
        <f>PERCENTILE(E7:E16,C48)</f>
        <v>0.50795000000000001</v>
      </c>
      <c r="F48" s="77">
        <f>PERCENTILE(F7:F16,C48)</f>
        <v>0.42659999999999998</v>
      </c>
      <c r="G48" s="77">
        <f>PERCENTILE(G7:G16,C48)</f>
        <v>0.40303</v>
      </c>
      <c r="H48" s="77">
        <f>PERCENTILE(H7:H16,C48)</f>
        <v>1.3248</v>
      </c>
      <c r="I48" s="77">
        <f>PERCENTILE(I7:I16,C48)</f>
        <v>103.28017999999999</v>
      </c>
      <c r="J48" s="77">
        <f>PERCENTILE(J7:J16,C48)</f>
        <v>4150.8530200000032</v>
      </c>
      <c r="K48" s="77">
        <f>PERCENTILE(K7:K16,C48)</f>
        <v>0.23039999999999999</v>
      </c>
      <c r="L48" s="77">
        <f>PERCENTILE(L7:L16,C48)</f>
        <v>0.49665999999999993</v>
      </c>
      <c r="M48" s="80">
        <f>PERCENTILE(M7:M16,C48)</f>
        <v>3.4399999999999977</v>
      </c>
      <c r="N48" s="77" t="e">
        <f>PERCENTILE(N7:N16,C48)</f>
        <v>#NUM!</v>
      </c>
      <c r="O48" s="83">
        <f>PERCENTILE(O7:O16,C48)</f>
        <v>0.97849999999999904</v>
      </c>
    </row>
    <row r="49" spans="3:15" x14ac:dyDescent="0.2">
      <c r="C49" s="44">
        <v>0.9</v>
      </c>
      <c r="D49" s="77">
        <f>PERCENTILE(D7:D16,C49)</f>
        <v>0.58289999999999997</v>
      </c>
      <c r="E49" s="77">
        <f>PERCENTILE(E7:E16,C49)</f>
        <v>0.51769999999999994</v>
      </c>
      <c r="F49" s="77">
        <f>PERCENTILE(F7:F16,C49)</f>
        <v>0.44059999999999999</v>
      </c>
      <c r="G49" s="77">
        <f>PERCENTILE(G7:G16,C49)</f>
        <v>0.41394999999999998</v>
      </c>
      <c r="H49" s="77">
        <f>PERCENTILE(H7:H16,C49)</f>
        <v>1.4139799999999998</v>
      </c>
      <c r="I49" s="77">
        <f>PERCENTILE(I7:I16,C49)</f>
        <v>182.79747999999981</v>
      </c>
      <c r="J49" s="77">
        <f>PERCENTILE(J7:J16,C49)</f>
        <v>6176.0045799999962</v>
      </c>
      <c r="K49" s="77">
        <f>PERCENTILE(K7:K16,C49)</f>
        <v>0.23039999999999999</v>
      </c>
      <c r="L49" s="77">
        <f>PERCENTILE(L7:L16,C49)</f>
        <v>0.51362999999999992</v>
      </c>
      <c r="M49" s="80">
        <f>PERCENTILE(M7:M16,C49)</f>
        <v>4</v>
      </c>
      <c r="N49" s="77" t="e">
        <f>PERCENTILE(N7:N16,C49)</f>
        <v>#NUM!</v>
      </c>
      <c r="O49" s="83">
        <f>PERCENTILE(O7:O16,C49)</f>
        <v>1.222</v>
      </c>
    </row>
    <row r="50" spans="3:15" x14ac:dyDescent="0.2">
      <c r="C50" s="44">
        <v>0.95</v>
      </c>
      <c r="D50" s="77">
        <f>PERCENTILE(D7:D16,C50)</f>
        <v>0.62744999999999984</v>
      </c>
      <c r="E50" s="77">
        <f>PERCENTILE(E7:E16,C50)</f>
        <v>0.55684999999999985</v>
      </c>
      <c r="F50" s="77">
        <f>PERCENTILE(F7:F16,C50)</f>
        <v>0.46579999999999994</v>
      </c>
      <c r="G50" s="77">
        <f>PERCENTILE(G7:G16,C50)</f>
        <v>0.43127499999999996</v>
      </c>
      <c r="H50" s="77">
        <f>PERCENTILE(H7:H16,C50)</f>
        <v>1.7932399999999991</v>
      </c>
      <c r="I50" s="77">
        <f>PERCENTILE(I7:I16,C50)</f>
        <v>297.70463999999993</v>
      </c>
      <c r="J50" s="77">
        <f>PERCENTILE(J7:J16,C50)</f>
        <v>8201.1561399999973</v>
      </c>
      <c r="K50" s="77">
        <f>PERCENTILE(K7:K16,C50)</f>
        <v>0.23039999999999999</v>
      </c>
      <c r="L50" s="77">
        <f>PERCENTILE(L7:L16,C50)</f>
        <v>0.52321499999999999</v>
      </c>
      <c r="M50" s="80">
        <f>PERCENTILE(M7:M16,C50)</f>
        <v>4</v>
      </c>
      <c r="N50" s="77" t="e">
        <f>PERCENTILE(N7:N16,C50)</f>
        <v>#NUM!</v>
      </c>
      <c r="O50" s="83">
        <f>PERCENTILE(O7:O16,C50)</f>
        <v>1.2309999999999999</v>
      </c>
    </row>
    <row r="51" spans="3:15" ht="10.8" thickBot="1" x14ac:dyDescent="0.25">
      <c r="C51" s="46">
        <v>1</v>
      </c>
      <c r="D51" s="78">
        <f>PERCENTILE(D7:D16,C51)</f>
        <v>0.67200000000000004</v>
      </c>
      <c r="E51" s="78">
        <f>PERCENTILE(E7:E16,C51)</f>
        <v>0.59599999999999997</v>
      </c>
      <c r="F51" s="78">
        <f>PERCENTILE(F7:F16,C51)</f>
        <v>0.49099999999999999</v>
      </c>
      <c r="G51" s="78">
        <f>PERCENTILE(G7:G16,C51)</f>
        <v>0.4486</v>
      </c>
      <c r="H51" s="78">
        <f>PERCENTILE(H7:H16,C51)</f>
        <v>2.1724999999999999</v>
      </c>
      <c r="I51" s="78">
        <f>PERCENTILE(I7:I16,C51)</f>
        <v>412.61180000000002</v>
      </c>
      <c r="J51" s="78">
        <f>PERCENTILE(J7:J16,C51)</f>
        <v>10226.307699999999</v>
      </c>
      <c r="K51" s="78">
        <f>PERCENTILE(K7:K16,C51)</f>
        <v>0.23039999999999999</v>
      </c>
      <c r="L51" s="78">
        <f>PERCENTILE(L7:L16,C51)</f>
        <v>0.53280000000000005</v>
      </c>
      <c r="M51" s="81">
        <f>PERCENTILE(M7:M16,C51)</f>
        <v>4</v>
      </c>
      <c r="N51" s="78" t="e">
        <f>PERCENTILE(N7:N16,C51)</f>
        <v>#NUM!</v>
      </c>
      <c r="O51" s="84">
        <f>PERCENTILE(O7:O16,C51)</f>
        <v>1.24</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28548-D580-4A84-AB0D-8277589B4258}">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45043</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15.41</v>
      </c>
      <c r="C15" s="13">
        <v>222.6</v>
      </c>
      <c r="D15" s="13">
        <v>3430.6</v>
      </c>
      <c r="E15" s="13">
        <v>1883.4</v>
      </c>
      <c r="F15" s="14" t="s">
        <v>26</v>
      </c>
      <c r="G15" s="12">
        <v>-0.47</v>
      </c>
      <c r="H15" s="13">
        <v>5313.6</v>
      </c>
      <c r="I15" s="12">
        <v>9.68</v>
      </c>
      <c r="J15" s="16">
        <v>44985</v>
      </c>
      <c r="K15" s="13">
        <v>1430.2</v>
      </c>
      <c r="L15" s="13">
        <v>581.20000000000005</v>
      </c>
      <c r="M15" s="13">
        <v>433.3</v>
      </c>
      <c r="N15" s="12">
        <v>2.21</v>
      </c>
      <c r="O15" s="12">
        <v>1113.9100000000001</v>
      </c>
      <c r="P15" s="12">
        <v>937.29</v>
      </c>
      <c r="Q15" s="12">
        <v>2.63</v>
      </c>
    </row>
    <row r="16" spans="1:255" ht="12" customHeight="1" x14ac:dyDescent="0.2">
      <c r="A16" s="7" t="s">
        <v>27</v>
      </c>
      <c r="B16" s="12">
        <v>40.270000000000003</v>
      </c>
      <c r="C16" s="13">
        <v>49.2</v>
      </c>
      <c r="D16" s="13">
        <v>1982.5</v>
      </c>
      <c r="E16" s="13">
        <v>743.9</v>
      </c>
      <c r="F16" s="14" t="s">
        <v>26</v>
      </c>
      <c r="G16" s="14" t="s">
        <v>26</v>
      </c>
      <c r="H16" s="13">
        <v>2726.4</v>
      </c>
      <c r="I16" s="12">
        <v>30.29</v>
      </c>
      <c r="J16" s="16">
        <v>44985</v>
      </c>
      <c r="K16" s="13">
        <v>864.7</v>
      </c>
      <c r="L16" s="13">
        <v>515.70000000000005</v>
      </c>
      <c r="M16" s="13">
        <v>424.3</v>
      </c>
      <c r="N16" s="12">
        <v>7.77</v>
      </c>
      <c r="O16" s="12">
        <v>940.43</v>
      </c>
      <c r="P16" s="12">
        <v>612.66999999999996</v>
      </c>
      <c r="Q16" s="12">
        <v>8.91</v>
      </c>
    </row>
    <row r="17" spans="1:17" ht="12" customHeight="1" x14ac:dyDescent="0.2">
      <c r="A17" s="7" t="s">
        <v>28</v>
      </c>
      <c r="B17" s="12">
        <v>40.119999999999997</v>
      </c>
      <c r="C17" s="13">
        <v>34</v>
      </c>
      <c r="D17" s="13">
        <v>1362.4</v>
      </c>
      <c r="E17" s="13">
        <v>393.6</v>
      </c>
      <c r="F17" s="14" t="s">
        <v>26</v>
      </c>
      <c r="G17" s="14" t="s">
        <v>26</v>
      </c>
      <c r="H17" s="13">
        <v>1756</v>
      </c>
      <c r="I17" s="12">
        <v>31.42</v>
      </c>
      <c r="J17" s="16">
        <v>45016</v>
      </c>
      <c r="K17" s="13">
        <v>1063.0999999999999</v>
      </c>
      <c r="L17" s="13">
        <v>321.3</v>
      </c>
      <c r="M17" s="13">
        <v>248.9</v>
      </c>
      <c r="N17" s="12">
        <v>6.68</v>
      </c>
      <c r="O17" s="12">
        <v>799.03</v>
      </c>
      <c r="P17" s="12">
        <v>481.1</v>
      </c>
      <c r="Q17" s="12">
        <v>11.65</v>
      </c>
    </row>
    <row r="18" spans="1:17" ht="12" customHeight="1" x14ac:dyDescent="0.2">
      <c r="A18" s="7" t="s">
        <v>29</v>
      </c>
      <c r="B18" s="12">
        <v>17.010000000000002</v>
      </c>
      <c r="C18" s="13">
        <v>201.8</v>
      </c>
      <c r="D18" s="13">
        <v>3432.7</v>
      </c>
      <c r="E18" s="13">
        <v>1516.8</v>
      </c>
      <c r="F18" s="14" t="s">
        <v>26</v>
      </c>
      <c r="G18" s="14" t="s">
        <v>26</v>
      </c>
      <c r="H18" s="13">
        <v>4997</v>
      </c>
      <c r="I18" s="12">
        <v>10.69</v>
      </c>
      <c r="J18" s="16">
        <v>45028</v>
      </c>
      <c r="K18" s="13">
        <v>854.7</v>
      </c>
      <c r="L18" s="13">
        <v>399.5</v>
      </c>
      <c r="M18" s="13">
        <v>198.5</v>
      </c>
      <c r="N18" s="12">
        <v>1.01</v>
      </c>
      <c r="O18" s="12">
        <v>1304.45</v>
      </c>
      <c r="P18" s="12">
        <v>765.84</v>
      </c>
      <c r="Q18" s="12">
        <v>3.33</v>
      </c>
    </row>
    <row r="19" spans="1:17" ht="12" customHeight="1" x14ac:dyDescent="0.2">
      <c r="A19" s="7" t="s">
        <v>30</v>
      </c>
      <c r="B19" s="12">
        <v>31.45</v>
      </c>
      <c r="C19" s="13">
        <v>83</v>
      </c>
      <c r="D19" s="13">
        <v>2608.6</v>
      </c>
      <c r="E19" s="13">
        <v>646.5</v>
      </c>
      <c r="F19" s="14" t="s">
        <v>26</v>
      </c>
      <c r="G19" s="12">
        <v>2.35</v>
      </c>
      <c r="H19" s="13">
        <v>3276.5</v>
      </c>
      <c r="I19" s="12">
        <v>18.3</v>
      </c>
      <c r="J19" s="16">
        <v>45001</v>
      </c>
      <c r="K19" s="13">
        <v>1443.4</v>
      </c>
      <c r="L19" s="13">
        <v>730.4</v>
      </c>
      <c r="M19" s="13">
        <v>593.79999999999995</v>
      </c>
      <c r="N19" s="12">
        <v>6.8</v>
      </c>
      <c r="O19" s="12">
        <v>1308.2</v>
      </c>
      <c r="P19" s="12">
        <v>828.64</v>
      </c>
      <c r="Q19" s="12">
        <v>7.51</v>
      </c>
    </row>
    <row r="20" spans="1:17" ht="12" customHeight="1" x14ac:dyDescent="0.2">
      <c r="A20" s="7" t="s">
        <v>31</v>
      </c>
      <c r="B20" s="12">
        <v>14.41</v>
      </c>
      <c r="C20" s="13">
        <v>41</v>
      </c>
      <c r="D20" s="13">
        <v>590.79999999999995</v>
      </c>
      <c r="E20" s="13">
        <v>129.1</v>
      </c>
      <c r="F20" s="12">
        <v>37.04</v>
      </c>
      <c r="G20" s="14" t="s">
        <v>26</v>
      </c>
      <c r="H20" s="13">
        <v>757</v>
      </c>
      <c r="I20" s="12">
        <v>11.55</v>
      </c>
      <c r="J20" s="16">
        <v>45009</v>
      </c>
      <c r="K20" s="13">
        <v>445.7</v>
      </c>
      <c r="L20" s="13">
        <v>188.7</v>
      </c>
      <c r="M20" s="13">
        <v>159.5</v>
      </c>
      <c r="N20" s="12">
        <v>3.52</v>
      </c>
      <c r="O20" s="12">
        <v>267.02</v>
      </c>
      <c r="P20" s="12">
        <v>172.44</v>
      </c>
      <c r="Q20" s="12">
        <v>3.25</v>
      </c>
    </row>
    <row r="21" spans="1:17" ht="12" customHeight="1" x14ac:dyDescent="0.2">
      <c r="A21" s="7" t="s">
        <v>32</v>
      </c>
      <c r="B21" s="12">
        <v>5.36</v>
      </c>
      <c r="C21" s="13">
        <v>504.7</v>
      </c>
      <c r="D21" s="13">
        <v>2706.8</v>
      </c>
      <c r="E21" s="13">
        <v>1600.2</v>
      </c>
      <c r="F21" s="14" t="s">
        <v>26</v>
      </c>
      <c r="G21" s="14" t="s">
        <v>26</v>
      </c>
      <c r="H21" s="13">
        <v>4188.7</v>
      </c>
      <c r="I21" s="12">
        <v>4.01</v>
      </c>
      <c r="J21" s="16">
        <v>45015</v>
      </c>
      <c r="K21" s="13">
        <v>1832.5</v>
      </c>
      <c r="L21" s="13">
        <v>932.2</v>
      </c>
      <c r="M21" s="13">
        <v>797.7</v>
      </c>
      <c r="N21" s="12">
        <v>1.54</v>
      </c>
      <c r="O21" s="12">
        <v>1391.54</v>
      </c>
      <c r="P21" s="12">
        <v>998.08</v>
      </c>
      <c r="Q21" s="12">
        <v>1.45</v>
      </c>
    </row>
    <row r="22" spans="1:17" ht="12" customHeight="1" x14ac:dyDescent="0.2">
      <c r="A22" s="7" t="s">
        <v>33</v>
      </c>
      <c r="B22" s="12">
        <v>7.92</v>
      </c>
      <c r="C22" s="13">
        <v>132.19999999999999</v>
      </c>
      <c r="D22" s="13">
        <v>1047.5999999999999</v>
      </c>
      <c r="E22" s="13">
        <v>481.6</v>
      </c>
      <c r="F22" s="14" t="s">
        <v>26</v>
      </c>
      <c r="G22" s="12">
        <v>103.17</v>
      </c>
      <c r="H22" s="13">
        <v>1589.2</v>
      </c>
      <c r="I22" s="12">
        <v>10.91</v>
      </c>
      <c r="J22" s="16">
        <v>44985</v>
      </c>
      <c r="K22" s="13">
        <v>1563.6</v>
      </c>
      <c r="L22" s="13">
        <v>347.3</v>
      </c>
      <c r="M22" s="13">
        <v>247.7</v>
      </c>
      <c r="N22" s="12">
        <v>1.68</v>
      </c>
      <c r="O22" s="12">
        <v>519.99</v>
      </c>
      <c r="P22" s="12">
        <v>366.87</v>
      </c>
      <c r="Q22" s="12">
        <v>1.46</v>
      </c>
    </row>
    <row r="23" spans="1:17" ht="12" customHeight="1" x14ac:dyDescent="0.2">
      <c r="A23" s="7" t="s">
        <v>34</v>
      </c>
      <c r="B23" s="12">
        <v>0.44</v>
      </c>
      <c r="C23" s="13">
        <v>1222.9000000000001</v>
      </c>
      <c r="D23" s="13">
        <v>541.79999999999995</v>
      </c>
      <c r="E23" s="13">
        <v>427.7</v>
      </c>
      <c r="F23" s="14" t="s">
        <v>26</v>
      </c>
      <c r="G23" s="14" t="s">
        <v>26</v>
      </c>
      <c r="H23" s="13">
        <v>983</v>
      </c>
      <c r="I23" s="12">
        <v>0.39</v>
      </c>
      <c r="J23" s="16">
        <v>44995</v>
      </c>
      <c r="K23" s="13">
        <v>479.6</v>
      </c>
      <c r="L23" s="13">
        <v>195.9</v>
      </c>
      <c r="M23" s="13">
        <v>169</v>
      </c>
      <c r="N23" s="12">
        <v>0.11</v>
      </c>
      <c r="O23" s="12">
        <v>352.9</v>
      </c>
      <c r="P23" s="12">
        <v>198.73</v>
      </c>
      <c r="Q23" s="12">
        <v>0.09</v>
      </c>
    </row>
    <row r="24" spans="1:17" ht="12" customHeight="1" x14ac:dyDescent="0.2">
      <c r="A24" s="7" t="s">
        <v>35</v>
      </c>
      <c r="B24" s="12">
        <v>9.5500000000000007</v>
      </c>
      <c r="C24" s="13">
        <v>163</v>
      </c>
      <c r="D24" s="13">
        <v>1556.5</v>
      </c>
      <c r="E24" s="13">
        <v>267</v>
      </c>
      <c r="F24" s="14" t="s">
        <v>26</v>
      </c>
      <c r="G24" s="12">
        <v>5.01</v>
      </c>
      <c r="H24" s="13">
        <v>1828.5</v>
      </c>
      <c r="I24" s="12">
        <v>6.56</v>
      </c>
      <c r="J24" s="16">
        <v>45008</v>
      </c>
      <c r="K24" s="13">
        <v>473.7</v>
      </c>
      <c r="L24" s="13">
        <v>186</v>
      </c>
      <c r="M24" s="13">
        <v>74.2</v>
      </c>
      <c r="N24" s="12">
        <v>0.37</v>
      </c>
      <c r="O24" s="12">
        <v>403.34</v>
      </c>
      <c r="P24" s="12">
        <v>316.45999999999998</v>
      </c>
      <c r="Q24" s="12">
        <v>1.22</v>
      </c>
    </row>
    <row r="25" spans="1:17" x14ac:dyDescent="0.2">
      <c r="A25" s="7" t="s">
        <v>36</v>
      </c>
      <c r="B25" s="12">
        <v>52.33</v>
      </c>
      <c r="C25" s="13">
        <v>57.2</v>
      </c>
      <c r="D25" s="13">
        <v>2993</v>
      </c>
      <c r="E25" s="13">
        <v>1555.2</v>
      </c>
      <c r="F25" s="14" t="s">
        <v>26</v>
      </c>
      <c r="G25" s="14" t="s">
        <v>26</v>
      </c>
      <c r="H25" s="13">
        <v>4548.2</v>
      </c>
      <c r="I25" s="12">
        <v>42.67</v>
      </c>
      <c r="J25" s="16">
        <v>45009</v>
      </c>
      <c r="K25" s="13">
        <v>1562.9</v>
      </c>
      <c r="L25" s="13">
        <v>996.6</v>
      </c>
      <c r="M25" s="13">
        <v>851.5</v>
      </c>
      <c r="N25" s="12">
        <v>10.34</v>
      </c>
      <c r="O25" s="12">
        <v>1405.32</v>
      </c>
      <c r="P25" s="12">
        <v>990.98</v>
      </c>
      <c r="Q25" s="12">
        <v>10.79</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40.270000000000003</v>
      </c>
      <c r="C28" s="13">
        <v>1222.9000000000001</v>
      </c>
      <c r="D28" s="13">
        <v>3432.7</v>
      </c>
      <c r="E28" s="13">
        <v>1883.4</v>
      </c>
      <c r="F28" s="12">
        <v>37.04</v>
      </c>
      <c r="G28" s="12">
        <v>103.17</v>
      </c>
      <c r="H28" s="13">
        <v>5313.6</v>
      </c>
      <c r="I28" s="12">
        <v>31.42</v>
      </c>
      <c r="J28" s="17" t="s">
        <v>26</v>
      </c>
      <c r="K28" s="13">
        <v>1832.5</v>
      </c>
      <c r="L28" s="13">
        <v>932.2</v>
      </c>
      <c r="M28" s="13">
        <v>797.7</v>
      </c>
      <c r="N28" s="12">
        <v>7.77</v>
      </c>
      <c r="O28" s="12">
        <v>1391.54</v>
      </c>
      <c r="P28" s="12">
        <v>998.08</v>
      </c>
      <c r="Q28" s="12">
        <v>11.65</v>
      </c>
    </row>
    <row r="29" spans="1:17" x14ac:dyDescent="0.2">
      <c r="A29" s="7" t="s">
        <v>39</v>
      </c>
      <c r="B29" s="12">
        <v>0.44</v>
      </c>
      <c r="C29" s="13">
        <v>34</v>
      </c>
      <c r="D29" s="13">
        <v>541.79999999999995</v>
      </c>
      <c r="E29" s="13">
        <v>129.1</v>
      </c>
      <c r="F29" s="12">
        <v>37.04</v>
      </c>
      <c r="G29" s="12">
        <v>-0.47</v>
      </c>
      <c r="H29" s="13">
        <v>757</v>
      </c>
      <c r="I29" s="12">
        <v>0.39</v>
      </c>
      <c r="J29" s="17" t="s">
        <v>26</v>
      </c>
      <c r="K29" s="13">
        <v>445.7</v>
      </c>
      <c r="L29" s="13">
        <v>186</v>
      </c>
      <c r="M29" s="13">
        <v>74.2</v>
      </c>
      <c r="N29" s="12">
        <v>0.11</v>
      </c>
      <c r="O29" s="12">
        <v>267.02</v>
      </c>
      <c r="P29" s="12">
        <v>172.44</v>
      </c>
      <c r="Q29" s="12">
        <v>0.09</v>
      </c>
    </row>
    <row r="30" spans="1:17" x14ac:dyDescent="0.2">
      <c r="A30" s="7" t="s">
        <v>40</v>
      </c>
      <c r="B30" s="12">
        <v>18.190000000000001</v>
      </c>
      <c r="C30" s="13">
        <v>265.39999999999998</v>
      </c>
      <c r="D30" s="13">
        <v>1926</v>
      </c>
      <c r="E30" s="13">
        <v>809</v>
      </c>
      <c r="F30" s="12">
        <v>37.04</v>
      </c>
      <c r="G30" s="12">
        <v>27.51</v>
      </c>
      <c r="H30" s="13">
        <v>2741.6</v>
      </c>
      <c r="I30" s="12">
        <v>13.38</v>
      </c>
      <c r="J30" s="17" t="s">
        <v>26</v>
      </c>
      <c r="K30" s="13">
        <v>1045.0999999999999</v>
      </c>
      <c r="L30" s="13">
        <v>439.8</v>
      </c>
      <c r="M30" s="13">
        <v>334.7</v>
      </c>
      <c r="N30" s="12">
        <v>3.17</v>
      </c>
      <c r="O30" s="12">
        <v>840.08</v>
      </c>
      <c r="P30" s="12">
        <v>567.80999999999995</v>
      </c>
      <c r="Q30" s="12">
        <v>4.1500000000000004</v>
      </c>
    </row>
    <row r="31" spans="1:17" x14ac:dyDescent="0.2">
      <c r="A31" s="7" t="s">
        <v>41</v>
      </c>
      <c r="B31" s="12">
        <v>14.91</v>
      </c>
      <c r="C31" s="13">
        <v>147.6</v>
      </c>
      <c r="D31" s="13">
        <v>1769.5</v>
      </c>
      <c r="E31" s="13">
        <v>564</v>
      </c>
      <c r="F31" s="12">
        <v>37.04</v>
      </c>
      <c r="G31" s="12">
        <v>3.68</v>
      </c>
      <c r="H31" s="13">
        <v>2277.5</v>
      </c>
      <c r="I31" s="12">
        <v>10.8</v>
      </c>
      <c r="J31" s="17" t="s">
        <v>26</v>
      </c>
      <c r="K31" s="13">
        <v>963.9</v>
      </c>
      <c r="L31" s="13">
        <v>373.4</v>
      </c>
      <c r="M31" s="13">
        <v>248.3</v>
      </c>
      <c r="N31" s="12">
        <v>1.94</v>
      </c>
      <c r="O31" s="12">
        <v>869.73</v>
      </c>
      <c r="P31" s="12">
        <v>546.88</v>
      </c>
      <c r="Q31" s="12">
        <v>2.94</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C304C-CD9F-4B59-BBEB-4624FA025B2C}">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4.7699999999999996</v>
      </c>
      <c r="H15" s="19">
        <v>5.67</v>
      </c>
      <c r="I15" s="19">
        <v>5.86</v>
      </c>
    </row>
    <row r="16" spans="1:255" ht="12" customHeight="1" x14ac:dyDescent="0.2">
      <c r="A16" s="7" t="s">
        <v>27</v>
      </c>
      <c r="B16" s="14" t="s">
        <v>26</v>
      </c>
      <c r="C16" s="14" t="s">
        <v>26</v>
      </c>
      <c r="D16" s="14" t="s">
        <v>26</v>
      </c>
      <c r="E16" s="14" t="s">
        <v>26</v>
      </c>
      <c r="F16" s="14" t="s">
        <v>26</v>
      </c>
      <c r="G16" s="19">
        <v>2.9</v>
      </c>
      <c r="H16" s="19">
        <v>4.45</v>
      </c>
      <c r="I16" s="19">
        <v>4.5199999999999996</v>
      </c>
    </row>
    <row r="17" spans="1:9" ht="12" customHeight="1" x14ac:dyDescent="0.2">
      <c r="A17" s="7" t="s">
        <v>28</v>
      </c>
      <c r="B17" s="14" t="s">
        <v>26</v>
      </c>
      <c r="C17" s="14" t="s">
        <v>26</v>
      </c>
      <c r="D17" s="14" t="s">
        <v>26</v>
      </c>
      <c r="E17" s="14" t="s">
        <v>26</v>
      </c>
      <c r="F17" s="14" t="s">
        <v>26</v>
      </c>
      <c r="G17" s="19">
        <v>2.2000000000000002</v>
      </c>
      <c r="H17" s="19">
        <v>3.65</v>
      </c>
      <c r="I17" s="19">
        <v>3.44</v>
      </c>
    </row>
    <row r="18" spans="1:9" ht="12" customHeight="1" x14ac:dyDescent="0.2">
      <c r="A18" s="7" t="s">
        <v>29</v>
      </c>
      <c r="B18" s="14" t="s">
        <v>26</v>
      </c>
      <c r="C18" s="14" t="s">
        <v>26</v>
      </c>
      <c r="D18" s="14" t="s">
        <v>26</v>
      </c>
      <c r="E18" s="14" t="s">
        <v>26</v>
      </c>
      <c r="F18" s="14" t="s">
        <v>26</v>
      </c>
      <c r="G18" s="19">
        <v>3.83</v>
      </c>
      <c r="H18" s="19">
        <v>6.52</v>
      </c>
      <c r="I18" s="19">
        <v>5.1100000000000003</v>
      </c>
    </row>
    <row r="19" spans="1:9" ht="12" customHeight="1" x14ac:dyDescent="0.2">
      <c r="A19" s="7" t="s">
        <v>30</v>
      </c>
      <c r="B19" s="14" t="s">
        <v>26</v>
      </c>
      <c r="C19" s="14" t="s">
        <v>26</v>
      </c>
      <c r="D19" s="14" t="s">
        <v>26</v>
      </c>
      <c r="E19" s="14" t="s">
        <v>26</v>
      </c>
      <c r="F19" s="14" t="s">
        <v>26</v>
      </c>
      <c r="G19" s="19">
        <v>2.5</v>
      </c>
      <c r="H19" s="19">
        <v>3.95</v>
      </c>
      <c r="I19" s="19">
        <v>4.1900000000000004</v>
      </c>
    </row>
    <row r="20" spans="1:9" ht="12" customHeight="1" x14ac:dyDescent="0.2">
      <c r="A20" s="7" t="s">
        <v>31</v>
      </c>
      <c r="B20" s="14" t="s">
        <v>26</v>
      </c>
      <c r="C20" s="14" t="s">
        <v>26</v>
      </c>
      <c r="D20" s="14" t="s">
        <v>26</v>
      </c>
      <c r="E20" s="14" t="s">
        <v>26</v>
      </c>
      <c r="F20" s="14" t="s">
        <v>26</v>
      </c>
      <c r="G20" s="19">
        <v>2.83</v>
      </c>
      <c r="H20" s="19">
        <v>4.3899999999999997</v>
      </c>
      <c r="I20" s="19">
        <v>4.43</v>
      </c>
    </row>
    <row r="21" spans="1:9" ht="12" customHeight="1" x14ac:dyDescent="0.2">
      <c r="A21" s="7" t="s">
        <v>32</v>
      </c>
      <c r="B21" s="14" t="s">
        <v>26</v>
      </c>
      <c r="C21" s="14" t="s">
        <v>26</v>
      </c>
      <c r="D21" s="14" t="s">
        <v>26</v>
      </c>
      <c r="E21" s="14" t="s">
        <v>26</v>
      </c>
      <c r="F21" s="14" t="s">
        <v>26</v>
      </c>
      <c r="G21" s="19">
        <v>3.01</v>
      </c>
      <c r="H21" s="19">
        <v>4.2</v>
      </c>
      <c r="I21" s="19">
        <v>3.71</v>
      </c>
    </row>
    <row r="22" spans="1:9" ht="12" customHeight="1" x14ac:dyDescent="0.2">
      <c r="A22" s="7" t="s">
        <v>33</v>
      </c>
      <c r="B22" s="14" t="s">
        <v>26</v>
      </c>
      <c r="C22" s="14" t="s">
        <v>26</v>
      </c>
      <c r="D22" s="14" t="s">
        <v>26</v>
      </c>
      <c r="E22" s="14" t="s">
        <v>26</v>
      </c>
      <c r="F22" s="14" t="s">
        <v>26</v>
      </c>
      <c r="G22" s="19">
        <v>3.06</v>
      </c>
      <c r="H22" s="19">
        <v>4.33</v>
      </c>
      <c r="I22" s="19">
        <v>5.43</v>
      </c>
    </row>
    <row r="23" spans="1:9" ht="12" customHeight="1" x14ac:dyDescent="0.2">
      <c r="A23" s="7" t="s">
        <v>34</v>
      </c>
      <c r="B23" s="14" t="s">
        <v>26</v>
      </c>
      <c r="C23" s="14" t="s">
        <v>26</v>
      </c>
      <c r="D23" s="14" t="s">
        <v>26</v>
      </c>
      <c r="E23" s="14" t="s">
        <v>26</v>
      </c>
      <c r="F23" s="14" t="s">
        <v>26</v>
      </c>
      <c r="G23" s="19">
        <v>2.79</v>
      </c>
      <c r="H23" s="19">
        <v>4.95</v>
      </c>
      <c r="I23" s="19">
        <v>4.92</v>
      </c>
    </row>
    <row r="24" spans="1:9" ht="12" customHeight="1" x14ac:dyDescent="0.2">
      <c r="A24" s="7" t="s">
        <v>35</v>
      </c>
      <c r="B24" s="14" t="s">
        <v>26</v>
      </c>
      <c r="C24" s="14" t="s">
        <v>26</v>
      </c>
      <c r="D24" s="14" t="s">
        <v>26</v>
      </c>
      <c r="E24" s="14" t="s">
        <v>26</v>
      </c>
      <c r="F24" s="14" t="s">
        <v>26</v>
      </c>
      <c r="G24" s="19">
        <v>4.53</v>
      </c>
      <c r="H24" s="19">
        <v>5.78</v>
      </c>
      <c r="I24" s="19">
        <v>7.84</v>
      </c>
    </row>
    <row r="25" spans="1:9" x14ac:dyDescent="0.2">
      <c r="A25" s="7" t="s">
        <v>36</v>
      </c>
      <c r="B25" s="14" t="s">
        <v>26</v>
      </c>
      <c r="C25" s="14" t="s">
        <v>26</v>
      </c>
      <c r="D25" s="14" t="s">
        <v>26</v>
      </c>
      <c r="E25" s="14" t="s">
        <v>26</v>
      </c>
      <c r="F25" s="14" t="s">
        <v>26</v>
      </c>
      <c r="G25" s="19">
        <v>3.24</v>
      </c>
      <c r="H25" s="19">
        <v>4.59</v>
      </c>
      <c r="I25" s="19">
        <v>4.8499999999999996</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4.7699999999999996</v>
      </c>
      <c r="H28" s="19">
        <v>6.52</v>
      </c>
      <c r="I28" s="19">
        <v>7.84</v>
      </c>
    </row>
    <row r="29" spans="1:9" x14ac:dyDescent="0.2">
      <c r="A29" s="7" t="s">
        <v>39</v>
      </c>
      <c r="B29" s="14" t="s">
        <v>26</v>
      </c>
      <c r="C29" s="14" t="s">
        <v>26</v>
      </c>
      <c r="D29" s="14" t="s">
        <v>26</v>
      </c>
      <c r="E29" s="14" t="s">
        <v>26</v>
      </c>
      <c r="F29" s="14" t="s">
        <v>26</v>
      </c>
      <c r="G29" s="19">
        <v>2.2000000000000002</v>
      </c>
      <c r="H29" s="19">
        <v>3.65</v>
      </c>
      <c r="I29" s="19">
        <v>3.44</v>
      </c>
    </row>
    <row r="30" spans="1:9" x14ac:dyDescent="0.2">
      <c r="A30" s="7" t="s">
        <v>40</v>
      </c>
      <c r="B30" s="14" t="s">
        <v>26</v>
      </c>
      <c r="C30" s="14" t="s">
        <v>26</v>
      </c>
      <c r="D30" s="14" t="s">
        <v>26</v>
      </c>
      <c r="E30" s="14" t="s">
        <v>26</v>
      </c>
      <c r="F30" s="14" t="s">
        <v>26</v>
      </c>
      <c r="G30" s="19">
        <v>3.24</v>
      </c>
      <c r="H30" s="19">
        <v>4.79</v>
      </c>
      <c r="I30" s="19">
        <v>4.95</v>
      </c>
    </row>
    <row r="31" spans="1:9" x14ac:dyDescent="0.2">
      <c r="A31" s="7" t="s">
        <v>41</v>
      </c>
      <c r="B31" s="14" t="s">
        <v>26</v>
      </c>
      <c r="C31" s="14" t="s">
        <v>26</v>
      </c>
      <c r="D31" s="14" t="s">
        <v>26</v>
      </c>
      <c r="E31" s="14" t="s">
        <v>26</v>
      </c>
      <c r="F31" s="14" t="s">
        <v>26</v>
      </c>
      <c r="G31" s="19">
        <v>2.95</v>
      </c>
      <c r="H31" s="19">
        <v>4.42</v>
      </c>
      <c r="I31" s="19">
        <v>4.72</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7D50F-0EE6-40DA-BD19-D08F156E328C}">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58</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59</v>
      </c>
      <c r="B8" s="4" t="s">
        <v>3</v>
      </c>
    </row>
    <row r="9" spans="1:255" x14ac:dyDescent="0.2">
      <c r="A9" s="3" t="s">
        <v>60</v>
      </c>
      <c r="B9" s="4" t="s">
        <v>5</v>
      </c>
    </row>
    <row r="10" spans="1:255" x14ac:dyDescent="0.2">
      <c r="A10" s="3" t="s">
        <v>61</v>
      </c>
      <c r="B10" s="5">
        <v>45043</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0.442</v>
      </c>
      <c r="C15" s="20">
        <v>0.40600000000000003</v>
      </c>
      <c r="D15" s="20">
        <v>0.30299999999999999</v>
      </c>
      <c r="E15" s="21">
        <v>0.33050000000000002</v>
      </c>
      <c r="F15" s="21">
        <v>0.90849999999999997</v>
      </c>
      <c r="G15" s="21">
        <v>2.8188</v>
      </c>
      <c r="H15" s="21">
        <v>44.820300000000003</v>
      </c>
      <c r="I15" s="14" t="s">
        <v>26</v>
      </c>
      <c r="J15" s="21">
        <v>0.51149999999999995</v>
      </c>
      <c r="K15" s="22">
        <v>4</v>
      </c>
      <c r="L15" s="14" t="s">
        <v>26</v>
      </c>
      <c r="M15" s="12">
        <v>0.26</v>
      </c>
    </row>
    <row r="16" spans="1:255" ht="12" customHeight="1" x14ac:dyDescent="0.2">
      <c r="A16" s="7" t="s">
        <v>27</v>
      </c>
      <c r="B16" s="20">
        <v>0.67200000000000004</v>
      </c>
      <c r="C16" s="20">
        <v>0.59599999999999997</v>
      </c>
      <c r="D16" s="20">
        <v>0.49099999999999999</v>
      </c>
      <c r="E16" s="21">
        <v>0.4486</v>
      </c>
      <c r="F16" s="21">
        <v>2.1724999999999999</v>
      </c>
      <c r="G16" s="21">
        <v>125.3439</v>
      </c>
      <c r="H16" s="14" t="s">
        <v>26</v>
      </c>
      <c r="I16" s="14" t="s">
        <v>26</v>
      </c>
      <c r="J16" s="21">
        <v>0.4194</v>
      </c>
      <c r="K16" s="22">
        <v>2</v>
      </c>
      <c r="L16" s="14" t="s">
        <v>26</v>
      </c>
      <c r="M16" s="12">
        <v>0.03</v>
      </c>
    </row>
    <row r="17" spans="1:13" ht="12" customHeight="1" x14ac:dyDescent="0.2">
      <c r="A17" s="7" t="s">
        <v>28</v>
      </c>
      <c r="B17" s="20">
        <v>0.36699999999999999</v>
      </c>
      <c r="C17" s="20">
        <v>0.30199999999999999</v>
      </c>
      <c r="D17" s="20">
        <v>0.23400000000000001</v>
      </c>
      <c r="E17" s="21">
        <v>0.2155</v>
      </c>
      <c r="F17" s="21">
        <v>0.96009999999999995</v>
      </c>
      <c r="G17" s="14" t="s">
        <v>26</v>
      </c>
      <c r="H17" s="14" t="s">
        <v>26</v>
      </c>
      <c r="I17" s="14" t="s">
        <v>26</v>
      </c>
      <c r="J17" s="21">
        <v>0.35</v>
      </c>
      <c r="K17" s="22">
        <v>1.7</v>
      </c>
      <c r="L17" s="14" t="s">
        <v>26</v>
      </c>
      <c r="M17" s="12">
        <v>-0.15</v>
      </c>
    </row>
    <row r="18" spans="1:13" ht="12" customHeight="1" x14ac:dyDescent="0.2">
      <c r="A18" s="7" t="s">
        <v>29</v>
      </c>
      <c r="B18" s="20">
        <v>0.53500000000000003</v>
      </c>
      <c r="C18" s="20">
        <v>0.46700000000000003</v>
      </c>
      <c r="D18" s="20">
        <v>0.23200000000000001</v>
      </c>
      <c r="E18" s="21">
        <v>0.23780000000000001</v>
      </c>
      <c r="F18" s="21">
        <v>1.036</v>
      </c>
      <c r="G18" s="21">
        <v>412.61180000000002</v>
      </c>
      <c r="H18" s="14" t="s">
        <v>26</v>
      </c>
      <c r="I18" s="14" t="s">
        <v>26</v>
      </c>
      <c r="J18" s="21">
        <v>0.43840000000000001</v>
      </c>
      <c r="K18" s="22">
        <v>4</v>
      </c>
      <c r="L18" s="14" t="s">
        <v>26</v>
      </c>
      <c r="M18" s="12">
        <v>-0.05</v>
      </c>
    </row>
    <row r="19" spans="1:13" ht="12" customHeight="1" x14ac:dyDescent="0.2">
      <c r="A19" s="7" t="s">
        <v>30</v>
      </c>
      <c r="B19" s="20">
        <v>0.54200000000000004</v>
      </c>
      <c r="C19" s="20">
        <v>0.50600000000000001</v>
      </c>
      <c r="D19" s="20">
        <v>0.41099999999999998</v>
      </c>
      <c r="E19" s="21">
        <v>0.38990000000000002</v>
      </c>
      <c r="F19" s="21">
        <v>1.3297000000000001</v>
      </c>
      <c r="G19" s="21">
        <v>4.4303999999999997</v>
      </c>
      <c r="H19" s="21">
        <v>95.639399999999995</v>
      </c>
      <c r="I19" s="14" t="s">
        <v>26</v>
      </c>
      <c r="J19" s="21">
        <v>0.39140000000000003</v>
      </c>
      <c r="K19" s="22">
        <v>1.3</v>
      </c>
      <c r="L19" s="14" t="s">
        <v>26</v>
      </c>
      <c r="M19" s="12">
        <v>0.01</v>
      </c>
    </row>
    <row r="20" spans="1:13" ht="12" customHeight="1" x14ac:dyDescent="0.2">
      <c r="A20" s="7" t="s">
        <v>31</v>
      </c>
      <c r="B20" s="20">
        <v>0.47699999999999998</v>
      </c>
      <c r="C20" s="20">
        <v>0.42299999999999999</v>
      </c>
      <c r="D20" s="20">
        <v>0.35799999999999998</v>
      </c>
      <c r="E20" s="21">
        <v>0.31059999999999999</v>
      </c>
      <c r="F20" s="21">
        <v>1.3157000000000001</v>
      </c>
      <c r="G20" s="21">
        <v>15.0253</v>
      </c>
      <c r="H20" s="14" t="s">
        <v>26</v>
      </c>
      <c r="I20" s="14" t="s">
        <v>26</v>
      </c>
      <c r="J20" s="21">
        <v>0.26719999999999999</v>
      </c>
      <c r="K20" s="22">
        <v>0.9</v>
      </c>
      <c r="L20" s="14" t="s">
        <v>26</v>
      </c>
      <c r="M20" s="12">
        <v>0.53</v>
      </c>
    </row>
    <row r="21" spans="1:13" ht="12" customHeight="1" x14ac:dyDescent="0.2">
      <c r="A21" s="7" t="s">
        <v>32</v>
      </c>
      <c r="B21" s="20">
        <v>0.57299999999999995</v>
      </c>
      <c r="C21" s="20">
        <v>0.50900000000000001</v>
      </c>
      <c r="D21" s="20">
        <v>0.435</v>
      </c>
      <c r="E21" s="21">
        <v>0.41010000000000002</v>
      </c>
      <c r="F21" s="21">
        <v>1.2589999999999999</v>
      </c>
      <c r="G21" s="21">
        <v>8.7012</v>
      </c>
      <c r="H21" s="21">
        <v>10226.307699999999</v>
      </c>
      <c r="I21" s="14" t="s">
        <v>26</v>
      </c>
      <c r="J21" s="21">
        <v>0.46910000000000002</v>
      </c>
      <c r="K21" s="22">
        <v>1.8</v>
      </c>
      <c r="L21" s="14" t="s">
        <v>26</v>
      </c>
      <c r="M21" s="12">
        <v>0.24</v>
      </c>
    </row>
    <row r="22" spans="1:13" ht="12" customHeight="1" x14ac:dyDescent="0.2">
      <c r="A22" s="7" t="s">
        <v>33</v>
      </c>
      <c r="B22" s="20">
        <v>0.28000000000000003</v>
      </c>
      <c r="C22" s="20">
        <v>0.222</v>
      </c>
      <c r="D22" s="20">
        <v>0.158</v>
      </c>
      <c r="E22" s="21">
        <v>0.1454</v>
      </c>
      <c r="F22" s="21">
        <v>0.2596</v>
      </c>
      <c r="G22" s="21">
        <v>0.34310000000000002</v>
      </c>
      <c r="H22" s="21">
        <v>0.60319999999999996</v>
      </c>
      <c r="I22" s="21">
        <v>0.23039999999999999</v>
      </c>
      <c r="J22" s="21">
        <v>0.31619999999999998</v>
      </c>
      <c r="K22" s="22">
        <v>1.8</v>
      </c>
      <c r="L22" s="14" t="s">
        <v>26</v>
      </c>
      <c r="M22" s="12">
        <v>1.22</v>
      </c>
    </row>
    <row r="23" spans="1:13" ht="12" customHeight="1" x14ac:dyDescent="0.2">
      <c r="A23" s="7" t="s">
        <v>34</v>
      </c>
      <c r="B23" s="20">
        <v>0.502</v>
      </c>
      <c r="C23" s="20">
        <v>0.40899999999999997</v>
      </c>
      <c r="D23" s="20">
        <v>0.35199999999999998</v>
      </c>
      <c r="E23" s="21">
        <v>0.28120000000000001</v>
      </c>
      <c r="F23" s="21">
        <v>0.94610000000000005</v>
      </c>
      <c r="G23" s="21">
        <v>5.0319000000000003</v>
      </c>
      <c r="H23" s="21">
        <v>100.54989999999999</v>
      </c>
      <c r="I23" s="14" t="s">
        <v>26</v>
      </c>
      <c r="J23" s="21">
        <v>0.53280000000000005</v>
      </c>
      <c r="K23" s="22">
        <v>2.4</v>
      </c>
      <c r="L23" s="14" t="s">
        <v>26</v>
      </c>
      <c r="M23" s="12">
        <v>1.24</v>
      </c>
    </row>
    <row r="24" spans="1:13" ht="12" customHeight="1" x14ac:dyDescent="0.2">
      <c r="A24" s="7" t="s">
        <v>35</v>
      </c>
      <c r="B24" s="20">
        <v>0.45300000000000001</v>
      </c>
      <c r="C24" s="20">
        <v>0.39300000000000002</v>
      </c>
      <c r="D24" s="20">
        <v>0.157</v>
      </c>
      <c r="E24" s="21">
        <v>0.12989999999999999</v>
      </c>
      <c r="F24" s="21">
        <v>0.52300000000000002</v>
      </c>
      <c r="G24" s="21">
        <v>0.67669999999999997</v>
      </c>
      <c r="H24" s="14" t="s">
        <v>26</v>
      </c>
      <c r="I24" s="14" t="s">
        <v>26</v>
      </c>
      <c r="J24" s="21">
        <v>0.26979999999999998</v>
      </c>
      <c r="K24" s="22">
        <v>2.1</v>
      </c>
      <c r="L24" s="14" t="s">
        <v>26</v>
      </c>
      <c r="M24" s="12">
        <v>-0.21</v>
      </c>
    </row>
    <row r="25" spans="1:13" x14ac:dyDescent="0.2">
      <c r="A25" s="7" t="s">
        <v>36</v>
      </c>
      <c r="B25" s="20">
        <v>0.73399999999999999</v>
      </c>
      <c r="C25" s="20">
        <v>0.63800000000000001</v>
      </c>
      <c r="D25" s="20">
        <v>0.54500000000000004</v>
      </c>
      <c r="E25" s="21">
        <v>0.40770000000000001</v>
      </c>
      <c r="F25" s="21">
        <v>1.89</v>
      </c>
      <c r="G25" s="21">
        <v>11.373699999999999</v>
      </c>
      <c r="H25" s="14" t="s">
        <v>26</v>
      </c>
      <c r="I25" s="14" t="s">
        <v>26</v>
      </c>
      <c r="J25" s="21">
        <v>0.43530000000000002</v>
      </c>
      <c r="K25" s="22">
        <v>1.9</v>
      </c>
      <c r="L25" s="14" t="s">
        <v>26</v>
      </c>
      <c r="M25" s="12">
        <v>0.37</v>
      </c>
    </row>
    <row r="26" spans="1:13"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x14ac:dyDescent="0.2">
      <c r="A28" s="7" t="s">
        <v>38</v>
      </c>
      <c r="B28" s="20">
        <v>0.67200000000000004</v>
      </c>
      <c r="C28" s="20">
        <v>0.59599999999999997</v>
      </c>
      <c r="D28" s="20">
        <v>0.49099999999999999</v>
      </c>
      <c r="E28" s="21">
        <v>0.4486</v>
      </c>
      <c r="F28" s="21">
        <v>2.1724999999999999</v>
      </c>
      <c r="G28" s="21">
        <v>412.61180000000002</v>
      </c>
      <c r="H28" s="21">
        <v>10226.307699999999</v>
      </c>
      <c r="I28" s="21">
        <v>0.23039999999999999</v>
      </c>
      <c r="J28" s="21">
        <v>0.53280000000000005</v>
      </c>
      <c r="K28" s="22">
        <v>4</v>
      </c>
      <c r="L28" s="14" t="s">
        <v>26</v>
      </c>
      <c r="M28" s="12">
        <v>1.24</v>
      </c>
    </row>
    <row r="29" spans="1:13" x14ac:dyDescent="0.2">
      <c r="A29" s="7" t="s">
        <v>39</v>
      </c>
      <c r="B29" s="20">
        <v>0.28000000000000003</v>
      </c>
      <c r="C29" s="20">
        <v>0.222</v>
      </c>
      <c r="D29" s="20">
        <v>0.157</v>
      </c>
      <c r="E29" s="21">
        <v>0.12989999999999999</v>
      </c>
      <c r="F29" s="21">
        <v>0.2596</v>
      </c>
      <c r="G29" s="21">
        <v>0.34310000000000002</v>
      </c>
      <c r="H29" s="21">
        <v>0.60319999999999996</v>
      </c>
      <c r="I29" s="21">
        <v>0.23039999999999999</v>
      </c>
      <c r="J29" s="21">
        <v>0.26719999999999999</v>
      </c>
      <c r="K29" s="22">
        <v>0.9</v>
      </c>
      <c r="L29" s="14" t="s">
        <v>26</v>
      </c>
      <c r="M29" s="12">
        <v>-0.21</v>
      </c>
    </row>
    <row r="30" spans="1:13" x14ac:dyDescent="0.2">
      <c r="A30" s="7" t="s">
        <v>40</v>
      </c>
      <c r="B30" s="20">
        <v>0.48399999999999999</v>
      </c>
      <c r="C30" s="20">
        <v>0.42299999999999999</v>
      </c>
      <c r="D30" s="20">
        <v>0.313</v>
      </c>
      <c r="E30" s="21">
        <v>0.28999999999999998</v>
      </c>
      <c r="F30" s="21">
        <v>1.071</v>
      </c>
      <c r="G30" s="21">
        <v>63.887</v>
      </c>
      <c r="H30" s="21">
        <v>2093.5841</v>
      </c>
      <c r="I30" s="21">
        <v>0.23039999999999999</v>
      </c>
      <c r="J30" s="21">
        <v>0.39660000000000001</v>
      </c>
      <c r="K30" s="22">
        <v>2.2000000000000002</v>
      </c>
      <c r="L30" s="14" t="s">
        <v>26</v>
      </c>
      <c r="M30" s="12">
        <v>0.31</v>
      </c>
    </row>
    <row r="31" spans="1:13" x14ac:dyDescent="0.2">
      <c r="A31" s="7" t="s">
        <v>41</v>
      </c>
      <c r="B31" s="20">
        <v>0.49</v>
      </c>
      <c r="C31" s="20">
        <v>0.41599999999999998</v>
      </c>
      <c r="D31" s="20">
        <v>0.32800000000000001</v>
      </c>
      <c r="E31" s="21">
        <v>0.2959</v>
      </c>
      <c r="F31" s="21">
        <v>0.99809999999999999</v>
      </c>
      <c r="G31" s="21">
        <v>5.0319000000000003</v>
      </c>
      <c r="H31" s="21">
        <v>95.639399999999995</v>
      </c>
      <c r="I31" s="21">
        <v>0.23039999999999999</v>
      </c>
      <c r="J31" s="21">
        <v>0.40539999999999998</v>
      </c>
      <c r="K31" s="22">
        <v>1.9</v>
      </c>
      <c r="L31" s="14" t="s">
        <v>26</v>
      </c>
      <c r="M31" s="12">
        <v>0.14000000000000001</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BF9BC-A350-4720-B3C2-7B3D044B2883}">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74</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75</v>
      </c>
      <c r="B8" s="4" t="s">
        <v>3</v>
      </c>
    </row>
    <row r="9" spans="1:255" x14ac:dyDescent="0.2">
      <c r="A9" s="3" t="s">
        <v>76</v>
      </c>
      <c r="B9" s="4" t="s">
        <v>5</v>
      </c>
    </row>
    <row r="10" spans="1:255" x14ac:dyDescent="0.2">
      <c r="A10" s="3" t="s">
        <v>77</v>
      </c>
      <c r="B10" s="5">
        <v>45043</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78</v>
      </c>
      <c r="C14" s="7" t="s">
        <v>79</v>
      </c>
    </row>
    <row r="15" spans="1:255" ht="12" customHeight="1" x14ac:dyDescent="0.2">
      <c r="A15" s="7" t="s">
        <v>25</v>
      </c>
      <c r="B15" s="23" t="s">
        <v>80</v>
      </c>
      <c r="C15" s="23" t="s">
        <v>81</v>
      </c>
    </row>
    <row r="16" spans="1:255" ht="12" customHeight="1" x14ac:dyDescent="0.2">
      <c r="A16" s="7" t="s">
        <v>27</v>
      </c>
      <c r="B16" s="23" t="s">
        <v>82</v>
      </c>
      <c r="C16" s="23" t="s">
        <v>83</v>
      </c>
    </row>
    <row r="17" spans="1:3" ht="12" customHeight="1" x14ac:dyDescent="0.2">
      <c r="A17" s="7" t="s">
        <v>28</v>
      </c>
      <c r="B17" s="23" t="s">
        <v>84</v>
      </c>
      <c r="C17" s="23" t="s">
        <v>85</v>
      </c>
    </row>
    <row r="18" spans="1:3" ht="12" customHeight="1" x14ac:dyDescent="0.2">
      <c r="A18" s="7" t="s">
        <v>29</v>
      </c>
      <c r="B18" s="23" t="s">
        <v>86</v>
      </c>
      <c r="C18" s="23" t="s">
        <v>87</v>
      </c>
    </row>
    <row r="19" spans="1:3" ht="12" customHeight="1" x14ac:dyDescent="0.2">
      <c r="A19" s="7" t="s">
        <v>30</v>
      </c>
      <c r="B19" s="23" t="s">
        <v>88</v>
      </c>
      <c r="C19" s="23" t="s">
        <v>89</v>
      </c>
    </row>
    <row r="20" spans="1:3" ht="12" customHeight="1" x14ac:dyDescent="0.2">
      <c r="A20" s="7" t="s">
        <v>31</v>
      </c>
      <c r="B20" s="23" t="s">
        <v>90</v>
      </c>
      <c r="C20" s="23" t="s">
        <v>91</v>
      </c>
    </row>
    <row r="21" spans="1:3" ht="12" customHeight="1" x14ac:dyDescent="0.2">
      <c r="A21" s="7" t="s">
        <v>32</v>
      </c>
      <c r="B21" s="23" t="s">
        <v>92</v>
      </c>
      <c r="C21" s="23" t="s">
        <v>93</v>
      </c>
    </row>
    <row r="22" spans="1:3" ht="12" customHeight="1" x14ac:dyDescent="0.2">
      <c r="A22" s="7" t="s">
        <v>33</v>
      </c>
      <c r="B22" s="23" t="s">
        <v>94</v>
      </c>
      <c r="C22" s="23" t="s">
        <v>95</v>
      </c>
    </row>
    <row r="23" spans="1:3" ht="12" customHeight="1" x14ac:dyDescent="0.2">
      <c r="A23" s="7" t="s">
        <v>34</v>
      </c>
      <c r="B23" s="23" t="s">
        <v>96</v>
      </c>
      <c r="C23" s="23" t="s">
        <v>97</v>
      </c>
    </row>
    <row r="24" spans="1:3" ht="12" customHeight="1" x14ac:dyDescent="0.2">
      <c r="A24" s="7" t="s">
        <v>35</v>
      </c>
      <c r="B24" s="23" t="s">
        <v>98</v>
      </c>
      <c r="C24" s="23" t="s">
        <v>99</v>
      </c>
    </row>
    <row r="25" spans="1:3" x14ac:dyDescent="0.2">
      <c r="A25" s="8"/>
      <c r="B25" s="8"/>
      <c r="C25" s="8"/>
    </row>
    <row r="26" spans="1:3" x14ac:dyDescent="0.2">
      <c r="A26" s="9"/>
      <c r="B26" s="9"/>
      <c r="C26" s="9"/>
    </row>
    <row r="27" spans="1:3" ht="12" customHeight="1" x14ac:dyDescent="0.2">
      <c r="A27" s="7" t="s">
        <v>36</v>
      </c>
      <c r="B27" s="23" t="s">
        <v>100</v>
      </c>
      <c r="C27" s="23" t="s">
        <v>101</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D6656-EBA7-4BE3-B411-09269AD82962}">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102</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103</v>
      </c>
      <c r="B8" s="4" t="s">
        <v>3</v>
      </c>
    </row>
    <row r="9" spans="1:255" x14ac:dyDescent="0.2">
      <c r="A9" s="3" t="s">
        <v>104</v>
      </c>
      <c r="B9" s="4" t="s">
        <v>5</v>
      </c>
    </row>
    <row r="10" spans="1:255" x14ac:dyDescent="0.2">
      <c r="A10" s="3" t="s">
        <v>105</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106</v>
      </c>
      <c r="H14" s="11" t="s">
        <v>24</v>
      </c>
      <c r="I14" s="11" t="s">
        <v>16</v>
      </c>
    </row>
    <row r="15" spans="1:255" ht="12" customHeight="1" x14ac:dyDescent="0.2">
      <c r="A15" s="7" t="s">
        <v>36</v>
      </c>
      <c r="B15" s="13">
        <v>1562.9</v>
      </c>
      <c r="C15" s="13">
        <v>996.6</v>
      </c>
      <c r="D15" s="13">
        <v>851.5</v>
      </c>
      <c r="E15" s="12">
        <v>1405.32</v>
      </c>
      <c r="F15" s="12">
        <v>990.98</v>
      </c>
      <c r="G15" s="12">
        <v>11.49</v>
      </c>
      <c r="H15" s="12">
        <v>10.79</v>
      </c>
      <c r="I15" s="12">
        <v>42.67</v>
      </c>
    </row>
    <row r="16" spans="1:255" x14ac:dyDescent="0.2">
      <c r="A16" s="8"/>
      <c r="B16" s="8"/>
      <c r="C16" s="8"/>
      <c r="D16" s="8"/>
      <c r="E16" s="8"/>
      <c r="F16" s="8"/>
      <c r="G16" s="8"/>
      <c r="H16" s="8"/>
      <c r="I16" s="8"/>
    </row>
    <row r="17" spans="1:9" x14ac:dyDescent="0.2">
      <c r="A17" s="9"/>
      <c r="B17" s="9" t="s">
        <v>107</v>
      </c>
      <c r="C17" s="9" t="s">
        <v>107</v>
      </c>
      <c r="D17" s="9" t="s">
        <v>107</v>
      </c>
      <c r="E17" s="9" t="s">
        <v>108</v>
      </c>
      <c r="F17" s="9" t="s">
        <v>107</v>
      </c>
      <c r="G17" s="9" t="s">
        <v>107</v>
      </c>
      <c r="H17" s="9" t="s">
        <v>109</v>
      </c>
      <c r="I17" s="9" t="s">
        <v>107</v>
      </c>
    </row>
    <row r="18" spans="1:9" ht="20.399999999999999" x14ac:dyDescent="0.2">
      <c r="A18" s="9"/>
      <c r="B18" s="11" t="s">
        <v>50</v>
      </c>
      <c r="C18" s="11" t="s">
        <v>51</v>
      </c>
      <c r="D18" s="11" t="s">
        <v>52</v>
      </c>
      <c r="E18" s="11" t="s">
        <v>110</v>
      </c>
      <c r="F18" s="11" t="s">
        <v>111</v>
      </c>
      <c r="G18" s="11" t="s">
        <v>53</v>
      </c>
      <c r="H18" s="11" t="s">
        <v>112</v>
      </c>
      <c r="I18" s="11" t="s">
        <v>54</v>
      </c>
    </row>
    <row r="19" spans="1:9" x14ac:dyDescent="0.2">
      <c r="A19" s="9" t="s">
        <v>38</v>
      </c>
      <c r="B19" s="14" t="s">
        <v>113</v>
      </c>
      <c r="C19" s="14" t="s">
        <v>113</v>
      </c>
      <c r="D19" s="14" t="s">
        <v>113</v>
      </c>
      <c r="E19" s="19">
        <v>4.7699999999999996</v>
      </c>
      <c r="F19" s="19">
        <v>6.52</v>
      </c>
      <c r="G19" s="14" t="s">
        <v>113</v>
      </c>
      <c r="H19" s="19">
        <v>7.84</v>
      </c>
      <c r="I19" s="14" t="s">
        <v>113</v>
      </c>
    </row>
    <row r="20" spans="1:9" x14ac:dyDescent="0.2">
      <c r="A20" s="9" t="s">
        <v>39</v>
      </c>
      <c r="B20" s="14" t="s">
        <v>113</v>
      </c>
      <c r="C20" s="14" t="s">
        <v>113</v>
      </c>
      <c r="D20" s="14" t="s">
        <v>113</v>
      </c>
      <c r="E20" s="19">
        <v>2.2000000000000002</v>
      </c>
      <c r="F20" s="19">
        <v>3.65</v>
      </c>
      <c r="G20" s="14" t="s">
        <v>113</v>
      </c>
      <c r="H20" s="19">
        <v>3.44</v>
      </c>
      <c r="I20" s="14" t="s">
        <v>113</v>
      </c>
    </row>
    <row r="21" spans="1:9" x14ac:dyDescent="0.2">
      <c r="A21" s="9" t="s">
        <v>40</v>
      </c>
      <c r="B21" s="14" t="s">
        <v>113</v>
      </c>
      <c r="C21" s="14" t="s">
        <v>113</v>
      </c>
      <c r="D21" s="14" t="s">
        <v>113</v>
      </c>
      <c r="E21" s="19">
        <v>3.24</v>
      </c>
      <c r="F21" s="19">
        <v>4.79</v>
      </c>
      <c r="G21" s="14" t="s">
        <v>113</v>
      </c>
      <c r="H21" s="19">
        <v>4.95</v>
      </c>
      <c r="I21" s="14" t="s">
        <v>113</v>
      </c>
    </row>
    <row r="22" spans="1:9" x14ac:dyDescent="0.2">
      <c r="A22" s="9" t="s">
        <v>41</v>
      </c>
      <c r="B22" s="14" t="s">
        <v>113</v>
      </c>
      <c r="C22" s="14" t="s">
        <v>113</v>
      </c>
      <c r="D22" s="14" t="s">
        <v>113</v>
      </c>
      <c r="E22" s="19">
        <v>2.95</v>
      </c>
      <c r="F22" s="19">
        <v>4.42</v>
      </c>
      <c r="G22" s="14" t="s">
        <v>113</v>
      </c>
      <c r="H22" s="19">
        <v>4.72</v>
      </c>
      <c r="I22" s="14" t="s">
        <v>113</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6703.65</v>
      </c>
      <c r="F25" s="12">
        <v>6465.96</v>
      </c>
      <c r="G25" s="8"/>
      <c r="H25" s="8"/>
      <c r="I25" s="8"/>
    </row>
    <row r="26" spans="1:9" x14ac:dyDescent="0.2">
      <c r="A26" s="7" t="s">
        <v>39</v>
      </c>
      <c r="B26" s="14" t="s">
        <v>115</v>
      </c>
      <c r="C26" s="14" t="s">
        <v>115</v>
      </c>
      <c r="D26" s="14" t="s">
        <v>115</v>
      </c>
      <c r="E26" s="12">
        <v>3088.51</v>
      </c>
      <c r="F26" s="12">
        <v>3617.14</v>
      </c>
      <c r="G26" s="8"/>
      <c r="H26" s="8"/>
      <c r="I26" s="8"/>
    </row>
    <row r="27" spans="1:9" x14ac:dyDescent="0.2">
      <c r="A27" s="7" t="s">
        <v>40</v>
      </c>
      <c r="B27" s="14" t="s">
        <v>115</v>
      </c>
      <c r="C27" s="14" t="s">
        <v>115</v>
      </c>
      <c r="D27" s="14" t="s">
        <v>115</v>
      </c>
      <c r="E27" s="12">
        <v>4556.3900000000003</v>
      </c>
      <c r="F27" s="12">
        <v>4745.82</v>
      </c>
      <c r="G27" s="8"/>
      <c r="H27" s="8"/>
      <c r="I27" s="8"/>
    </row>
    <row r="28" spans="1:9" x14ac:dyDescent="0.2">
      <c r="A28" s="7" t="s">
        <v>41</v>
      </c>
      <c r="B28" s="14" t="s">
        <v>115</v>
      </c>
      <c r="C28" s="14" t="s">
        <v>115</v>
      </c>
      <c r="D28" s="14" t="s">
        <v>115</v>
      </c>
      <c r="E28" s="12">
        <v>4152.18</v>
      </c>
      <c r="F28" s="12">
        <v>4379.9399999999996</v>
      </c>
      <c r="G28" s="8"/>
      <c r="H28" s="8"/>
      <c r="I28" s="8"/>
    </row>
    <row r="29" spans="1:9" x14ac:dyDescent="0.2">
      <c r="A29" s="8"/>
      <c r="B29" s="8"/>
      <c r="C29" s="8"/>
      <c r="D29" s="8"/>
      <c r="E29" s="8"/>
      <c r="F29" s="8"/>
      <c r="G29" s="8"/>
      <c r="H29" s="8"/>
      <c r="I29" s="8"/>
    </row>
    <row r="30" spans="1:9" ht="12" customHeight="1" x14ac:dyDescent="0.2">
      <c r="A30" s="9" t="s">
        <v>116</v>
      </c>
      <c r="B30" s="13">
        <v>376.9</v>
      </c>
      <c r="C30" s="13">
        <v>376.9</v>
      </c>
      <c r="D30" s="13">
        <v>376.9</v>
      </c>
      <c r="E30" s="13">
        <v>376.9</v>
      </c>
      <c r="F30" s="13">
        <v>376.9</v>
      </c>
      <c r="G30" s="8"/>
      <c r="H30" s="8"/>
      <c r="I30" s="8"/>
    </row>
    <row r="31" spans="1:9" ht="12" customHeight="1" x14ac:dyDescent="0.2">
      <c r="A31" s="9" t="s">
        <v>117</v>
      </c>
      <c r="B31" s="13">
        <v>1932.1</v>
      </c>
      <c r="C31" s="13">
        <v>1932.1</v>
      </c>
      <c r="D31" s="13">
        <v>1932.1</v>
      </c>
      <c r="E31" s="13">
        <v>1932.1</v>
      </c>
      <c r="F31" s="13">
        <v>1932.1</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4" t="s">
        <v>26</v>
      </c>
      <c r="C33" s="14" t="s">
        <v>26</v>
      </c>
      <c r="D33" s="14" t="s">
        <v>26</v>
      </c>
      <c r="E33" s="14" t="s">
        <v>26</v>
      </c>
      <c r="F33" s="14" t="s">
        <v>26</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5148.42</v>
      </c>
      <c r="F36" s="12">
        <v>4910.7299999999996</v>
      </c>
      <c r="G36" s="14" t="s">
        <v>115</v>
      </c>
      <c r="H36" s="12">
        <v>4840.7</v>
      </c>
      <c r="I36" s="14" t="s">
        <v>115</v>
      </c>
    </row>
    <row r="37" spans="1:9" x14ac:dyDescent="0.2">
      <c r="A37" s="7" t="s">
        <v>39</v>
      </c>
      <c r="B37" s="14" t="s">
        <v>115</v>
      </c>
      <c r="C37" s="14" t="s">
        <v>115</v>
      </c>
      <c r="D37" s="14" t="s">
        <v>115</v>
      </c>
      <c r="E37" s="12">
        <v>1533.28</v>
      </c>
      <c r="F37" s="12">
        <v>2061.91</v>
      </c>
      <c r="G37" s="14" t="s">
        <v>115</v>
      </c>
      <c r="H37" s="12">
        <v>2124.83</v>
      </c>
      <c r="I37" s="14" t="s">
        <v>115</v>
      </c>
    </row>
    <row r="38" spans="1:9" x14ac:dyDescent="0.2">
      <c r="A38" s="7" t="s">
        <v>40</v>
      </c>
      <c r="B38" s="14" t="s">
        <v>115</v>
      </c>
      <c r="C38" s="14" t="s">
        <v>115</v>
      </c>
      <c r="D38" s="14" t="s">
        <v>115</v>
      </c>
      <c r="E38" s="12">
        <v>3001.16</v>
      </c>
      <c r="F38" s="12">
        <v>3190.6</v>
      </c>
      <c r="G38" s="14" t="s">
        <v>115</v>
      </c>
      <c r="H38" s="12">
        <v>3051.8</v>
      </c>
      <c r="I38" s="14" t="s">
        <v>115</v>
      </c>
    </row>
    <row r="39" spans="1:9" x14ac:dyDescent="0.2">
      <c r="A39" s="7" t="s">
        <v>41</v>
      </c>
      <c r="B39" s="14" t="s">
        <v>115</v>
      </c>
      <c r="C39" s="14" t="s">
        <v>115</v>
      </c>
      <c r="D39" s="14" t="s">
        <v>115</v>
      </c>
      <c r="E39" s="12">
        <v>2596.96</v>
      </c>
      <c r="F39" s="12">
        <v>2824.71</v>
      </c>
      <c r="G39" s="14" t="s">
        <v>115</v>
      </c>
      <c r="H39" s="12">
        <v>2912.81</v>
      </c>
      <c r="I39" s="14" t="s">
        <v>115</v>
      </c>
    </row>
    <row r="40" spans="1:9" x14ac:dyDescent="0.2">
      <c r="A40" s="8"/>
      <c r="B40" s="8"/>
      <c r="C40" s="8"/>
      <c r="D40" s="8"/>
      <c r="E40" s="8"/>
      <c r="F40" s="8"/>
      <c r="G40" s="8"/>
      <c r="H40" s="8"/>
      <c r="I40" s="8"/>
    </row>
    <row r="41" spans="1:9" ht="12" customHeight="1" x14ac:dyDescent="0.2">
      <c r="A41" s="9" t="s">
        <v>121</v>
      </c>
      <c r="B41" s="12">
        <v>57.19</v>
      </c>
      <c r="C41" s="12">
        <v>57.19</v>
      </c>
      <c r="D41" s="12">
        <v>57.19</v>
      </c>
      <c r="E41" s="12">
        <v>57.19</v>
      </c>
      <c r="F41" s="12">
        <v>57.19</v>
      </c>
      <c r="G41" s="12">
        <v>57.19</v>
      </c>
      <c r="H41" s="12">
        <v>57.19</v>
      </c>
      <c r="I41" s="12">
        <v>57.19</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90.02</v>
      </c>
      <c r="F44" s="12">
        <v>85.86</v>
      </c>
      <c r="G44" s="14" t="s">
        <v>115</v>
      </c>
      <c r="H44" s="12">
        <v>84.64</v>
      </c>
      <c r="I44" s="14" t="s">
        <v>115</v>
      </c>
    </row>
    <row r="45" spans="1:9" x14ac:dyDescent="0.2">
      <c r="A45" s="7" t="s">
        <v>39</v>
      </c>
      <c r="B45" s="14" t="s">
        <v>115</v>
      </c>
      <c r="C45" s="14" t="s">
        <v>115</v>
      </c>
      <c r="D45" s="14" t="s">
        <v>115</v>
      </c>
      <c r="E45" s="12">
        <v>26.81</v>
      </c>
      <c r="F45" s="12">
        <v>36.049999999999997</v>
      </c>
      <c r="G45" s="14" t="s">
        <v>115</v>
      </c>
      <c r="H45" s="12">
        <v>37.15</v>
      </c>
      <c r="I45" s="14" t="s">
        <v>115</v>
      </c>
    </row>
    <row r="46" spans="1:9" x14ac:dyDescent="0.2">
      <c r="A46" s="7" t="s">
        <v>40</v>
      </c>
      <c r="B46" s="14" t="s">
        <v>115</v>
      </c>
      <c r="C46" s="14" t="s">
        <v>115</v>
      </c>
      <c r="D46" s="14" t="s">
        <v>115</v>
      </c>
      <c r="E46" s="12">
        <v>52.47</v>
      </c>
      <c r="F46" s="12">
        <v>55.78</v>
      </c>
      <c r="G46" s="14" t="s">
        <v>115</v>
      </c>
      <c r="H46" s="12">
        <v>53.36</v>
      </c>
      <c r="I46" s="14" t="s">
        <v>115</v>
      </c>
    </row>
    <row r="47" spans="1:9" x14ac:dyDescent="0.2">
      <c r="A47" s="7" t="s">
        <v>41</v>
      </c>
      <c r="B47" s="14" t="s">
        <v>115</v>
      </c>
      <c r="C47" s="14" t="s">
        <v>115</v>
      </c>
      <c r="D47" s="14" t="s">
        <v>115</v>
      </c>
      <c r="E47" s="12">
        <v>45.41</v>
      </c>
      <c r="F47" s="12">
        <v>49.39</v>
      </c>
      <c r="G47" s="14" t="s">
        <v>115</v>
      </c>
      <c r="H47" s="12">
        <v>50.93</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4966.62</v>
      </c>
      <c r="C50" s="24">
        <v>86.84</v>
      </c>
      <c r="D50" s="8"/>
      <c r="E50" s="8"/>
      <c r="F50" s="8"/>
      <c r="G50" s="8"/>
      <c r="H50" s="8"/>
      <c r="I50" s="8"/>
    </row>
    <row r="51" spans="1:9" x14ac:dyDescent="0.2">
      <c r="A51" s="9" t="s">
        <v>39</v>
      </c>
      <c r="B51" s="24">
        <v>1906.67</v>
      </c>
      <c r="C51" s="24">
        <v>33.340000000000003</v>
      </c>
      <c r="D51" s="8"/>
      <c r="E51" s="8"/>
      <c r="F51" s="8"/>
      <c r="G51" s="8"/>
      <c r="H51" s="8"/>
      <c r="I51" s="8"/>
    </row>
    <row r="52" spans="1:9" x14ac:dyDescent="0.2">
      <c r="A52" s="9" t="s">
        <v>40</v>
      </c>
      <c r="B52" s="24">
        <v>3081.18</v>
      </c>
      <c r="C52" s="24">
        <v>53.87</v>
      </c>
      <c r="D52" s="8"/>
      <c r="E52" s="8"/>
      <c r="F52" s="8"/>
      <c r="G52" s="8"/>
      <c r="H52" s="8"/>
      <c r="I52" s="8"/>
    </row>
    <row r="53" spans="1:9" x14ac:dyDescent="0.2">
      <c r="A53" s="9" t="s">
        <v>41</v>
      </c>
      <c r="B53" s="24">
        <v>2778.16</v>
      </c>
      <c r="C53" s="24">
        <v>48.57</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005D3-78FA-4659-BCC5-903224B3677F}">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45043</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A61F7-9A0D-495A-9C98-2B9AF08BB6D6}">
  <sheetPr codeName="Sheet9">
    <outlinePr summaryBelow="0" summaryRight="0"/>
  </sheetPr>
  <dimension ref="A4:IU48"/>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45043</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30</v>
      </c>
      <c r="B15" s="30">
        <v>1</v>
      </c>
      <c r="C15" s="30">
        <v>1</v>
      </c>
      <c r="D15" s="30">
        <v>1</v>
      </c>
      <c r="E15" s="30">
        <v>1</v>
      </c>
      <c r="F15" s="35">
        <v>44926</v>
      </c>
      <c r="G15" s="35">
        <v>45003</v>
      </c>
      <c r="H15" s="36" t="s">
        <v>26</v>
      </c>
      <c r="I15" s="36" t="s">
        <v>145</v>
      </c>
      <c r="J15" s="36" t="s">
        <v>146</v>
      </c>
      <c r="K15" s="37" t="s">
        <v>147</v>
      </c>
      <c r="L15" s="37" t="s">
        <v>148</v>
      </c>
    </row>
    <row r="16" spans="1:255" ht="12" customHeight="1" x14ac:dyDescent="0.2">
      <c r="A16" s="28" t="s">
        <v>31</v>
      </c>
      <c r="B16" s="30">
        <v>1</v>
      </c>
      <c r="C16" s="31">
        <v>2</v>
      </c>
      <c r="D16" s="31">
        <v>2</v>
      </c>
      <c r="E16" s="31">
        <v>2</v>
      </c>
      <c r="F16" s="35">
        <v>44926</v>
      </c>
      <c r="G16" s="35">
        <v>45011</v>
      </c>
      <c r="H16" s="36" t="s">
        <v>26</v>
      </c>
      <c r="I16" s="36" t="s">
        <v>149</v>
      </c>
      <c r="J16" s="36" t="s">
        <v>150</v>
      </c>
      <c r="K16" s="37" t="s">
        <v>151</v>
      </c>
      <c r="L16" s="37" t="s">
        <v>148</v>
      </c>
    </row>
    <row r="17" spans="1:12" ht="12" customHeight="1" x14ac:dyDescent="0.2">
      <c r="A17" s="28" t="s">
        <v>32</v>
      </c>
      <c r="B17" s="31">
        <v>2</v>
      </c>
      <c r="C17" s="30">
        <v>1</v>
      </c>
      <c r="D17" s="32">
        <v>3</v>
      </c>
      <c r="E17" s="32">
        <v>3</v>
      </c>
      <c r="F17" s="35">
        <v>44926</v>
      </c>
      <c r="G17" s="35">
        <v>45021</v>
      </c>
      <c r="H17" s="36" t="s">
        <v>26</v>
      </c>
      <c r="I17" s="36" t="s">
        <v>152</v>
      </c>
      <c r="J17" s="36" t="s">
        <v>153</v>
      </c>
      <c r="K17" s="37" t="s">
        <v>151</v>
      </c>
      <c r="L17" s="37" t="s">
        <v>148</v>
      </c>
    </row>
    <row r="18" spans="1:12" ht="12" customHeight="1" x14ac:dyDescent="0.2">
      <c r="A18" s="28" t="s">
        <v>33</v>
      </c>
      <c r="B18" s="31">
        <v>2</v>
      </c>
      <c r="C18" s="32">
        <v>3</v>
      </c>
      <c r="D18" s="30">
        <v>1</v>
      </c>
      <c r="E18" s="33">
        <v>4</v>
      </c>
      <c r="F18" s="35">
        <v>44926</v>
      </c>
      <c r="G18" s="35">
        <v>44988</v>
      </c>
      <c r="H18" s="36" t="s">
        <v>26</v>
      </c>
      <c r="I18" s="36" t="s">
        <v>145</v>
      </c>
      <c r="J18" s="36" t="s">
        <v>154</v>
      </c>
      <c r="K18" s="37" t="s">
        <v>155</v>
      </c>
      <c r="L18" s="37" t="s">
        <v>148</v>
      </c>
    </row>
    <row r="19" spans="1:12" ht="12" customHeight="1" x14ac:dyDescent="0.2">
      <c r="A19" s="28" t="s">
        <v>35</v>
      </c>
      <c r="B19" s="31">
        <v>2</v>
      </c>
      <c r="C19" s="33">
        <v>4</v>
      </c>
      <c r="D19" s="31">
        <v>2</v>
      </c>
      <c r="E19" s="30">
        <v>1</v>
      </c>
      <c r="F19" s="35">
        <v>44926</v>
      </c>
      <c r="G19" s="35">
        <v>45011</v>
      </c>
      <c r="H19" s="36" t="s">
        <v>26</v>
      </c>
      <c r="I19" s="36" t="s">
        <v>149</v>
      </c>
      <c r="J19" s="36" t="s">
        <v>156</v>
      </c>
      <c r="K19" s="37" t="s">
        <v>151</v>
      </c>
      <c r="L19" s="37" t="s">
        <v>148</v>
      </c>
    </row>
    <row r="20" spans="1:12" ht="12" customHeight="1" x14ac:dyDescent="0.2">
      <c r="A20" s="28" t="s">
        <v>27</v>
      </c>
      <c r="B20" s="32">
        <v>3</v>
      </c>
      <c r="C20" s="31">
        <v>2</v>
      </c>
      <c r="D20" s="33">
        <v>4</v>
      </c>
      <c r="E20" s="31">
        <v>2</v>
      </c>
      <c r="F20" s="35">
        <v>44926</v>
      </c>
      <c r="G20" s="35">
        <v>44986</v>
      </c>
      <c r="H20" s="36" t="s">
        <v>157</v>
      </c>
      <c r="I20" s="36" t="s">
        <v>158</v>
      </c>
      <c r="J20" s="36" t="s">
        <v>159</v>
      </c>
      <c r="K20" s="37" t="s">
        <v>160</v>
      </c>
      <c r="L20" s="37" t="s">
        <v>148</v>
      </c>
    </row>
    <row r="21" spans="1:12" ht="12" customHeight="1" x14ac:dyDescent="0.2">
      <c r="A21" s="28" t="s">
        <v>28</v>
      </c>
      <c r="B21" s="32">
        <v>3</v>
      </c>
      <c r="C21" s="32">
        <v>3</v>
      </c>
      <c r="D21" s="31">
        <v>2</v>
      </c>
      <c r="E21" s="31">
        <v>2</v>
      </c>
      <c r="F21" s="35">
        <v>44926</v>
      </c>
      <c r="G21" s="35">
        <v>45022</v>
      </c>
      <c r="H21" s="36" t="s">
        <v>26</v>
      </c>
      <c r="I21" s="36" t="s">
        <v>158</v>
      </c>
      <c r="J21" s="36" t="s">
        <v>161</v>
      </c>
      <c r="K21" s="37" t="s">
        <v>151</v>
      </c>
      <c r="L21" s="37" t="s">
        <v>148</v>
      </c>
    </row>
    <row r="22" spans="1:12" ht="12" customHeight="1" x14ac:dyDescent="0.2">
      <c r="A22" s="28" t="s">
        <v>34</v>
      </c>
      <c r="B22" s="33">
        <v>4</v>
      </c>
      <c r="C22" s="32">
        <v>3</v>
      </c>
      <c r="D22" s="33">
        <v>4</v>
      </c>
      <c r="E22" s="33">
        <v>4</v>
      </c>
      <c r="F22" s="35">
        <v>44926</v>
      </c>
      <c r="G22" s="35">
        <v>44999</v>
      </c>
      <c r="H22" s="36" t="s">
        <v>26</v>
      </c>
      <c r="I22" s="36" t="s">
        <v>149</v>
      </c>
      <c r="J22" s="36" t="s">
        <v>162</v>
      </c>
      <c r="K22" s="37" t="s">
        <v>163</v>
      </c>
      <c r="L22" s="37" t="s">
        <v>148</v>
      </c>
    </row>
    <row r="23" spans="1:12" ht="12" customHeight="1" x14ac:dyDescent="0.2">
      <c r="A23" s="28" t="s">
        <v>25</v>
      </c>
      <c r="B23" s="33">
        <v>4</v>
      </c>
      <c r="C23" s="33">
        <v>4</v>
      </c>
      <c r="D23" s="32">
        <v>3</v>
      </c>
      <c r="E23" s="33">
        <v>4</v>
      </c>
      <c r="F23" s="35">
        <v>44926</v>
      </c>
      <c r="G23" s="35">
        <v>44986</v>
      </c>
      <c r="H23" s="36" t="s">
        <v>26</v>
      </c>
      <c r="I23" s="36" t="s">
        <v>152</v>
      </c>
      <c r="J23" s="36" t="s">
        <v>164</v>
      </c>
      <c r="K23" s="37" t="s">
        <v>151</v>
      </c>
      <c r="L23" s="37" t="s">
        <v>148</v>
      </c>
    </row>
    <row r="24" spans="1:12" ht="12" customHeight="1" x14ac:dyDescent="0.2">
      <c r="A24" s="28" t="s">
        <v>29</v>
      </c>
      <c r="B24" s="33">
        <v>4</v>
      </c>
      <c r="C24" s="33">
        <v>4</v>
      </c>
      <c r="D24" s="33">
        <v>4</v>
      </c>
      <c r="E24" s="32">
        <v>3</v>
      </c>
      <c r="F24" s="35">
        <v>44926</v>
      </c>
      <c r="G24" s="35">
        <v>45029</v>
      </c>
      <c r="H24" s="36" t="s">
        <v>26</v>
      </c>
      <c r="I24" s="36" t="s">
        <v>158</v>
      </c>
      <c r="J24" s="36" t="s">
        <v>165</v>
      </c>
      <c r="K24" s="37" t="s">
        <v>166</v>
      </c>
      <c r="L24" s="37" t="s">
        <v>148</v>
      </c>
    </row>
    <row r="25" spans="1:12" x14ac:dyDescent="0.2">
      <c r="A25" s="8"/>
      <c r="B25" s="8"/>
      <c r="C25" s="8"/>
      <c r="D25" s="8"/>
      <c r="E25" s="8"/>
      <c r="F25" s="8"/>
      <c r="G25" s="8"/>
      <c r="H25" s="8"/>
      <c r="I25" s="8"/>
      <c r="J25" s="8"/>
      <c r="K25" s="8"/>
      <c r="L25" s="8"/>
    </row>
    <row r="26" spans="1:12" x14ac:dyDescent="0.2">
      <c r="A26" s="9"/>
      <c r="B26" s="9"/>
      <c r="C26" s="9"/>
      <c r="D26" s="9"/>
      <c r="E26" s="9"/>
      <c r="F26" s="9"/>
      <c r="G26" s="9"/>
      <c r="H26" s="9"/>
      <c r="I26" s="9"/>
      <c r="J26" s="9"/>
      <c r="K26" s="9"/>
      <c r="L26" s="9"/>
    </row>
    <row r="27" spans="1:12" ht="12" customHeight="1" x14ac:dyDescent="0.2">
      <c r="A27" s="28" t="s">
        <v>36</v>
      </c>
      <c r="B27" s="32">
        <v>3</v>
      </c>
      <c r="C27" s="31">
        <v>2</v>
      </c>
      <c r="D27" s="32">
        <v>3</v>
      </c>
      <c r="E27" s="32">
        <v>3</v>
      </c>
      <c r="F27" s="35">
        <v>44926</v>
      </c>
      <c r="G27" s="35">
        <v>45011</v>
      </c>
      <c r="H27" s="36" t="s">
        <v>26</v>
      </c>
      <c r="I27" s="36" t="s">
        <v>167</v>
      </c>
      <c r="J27" s="36" t="s">
        <v>168</v>
      </c>
      <c r="K27" s="37" t="s">
        <v>169</v>
      </c>
      <c r="L27" s="37" t="s">
        <v>148</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170</v>
      </c>
    </row>
    <row r="45" spans="1:1" ht="25.05" customHeight="1" x14ac:dyDescent="0.2">
      <c r="A45" s="18" t="s">
        <v>171</v>
      </c>
    </row>
    <row r="48" spans="1:1" ht="120" customHeight="1" x14ac:dyDescent="0.2">
      <c r="A48" s="38" t="s">
        <v>172</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438D6-E49B-495D-842A-B646F83E79B5}">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173</v>
      </c>
    </row>
    <row r="8" spans="1:1" x14ac:dyDescent="0.2">
      <c r="A8" t="s">
        <v>174</v>
      </c>
    </row>
    <row r="10" spans="1:1" ht="120" customHeight="1" x14ac:dyDescent="0.2">
      <c r="A10" s="39" t="s">
        <v>175</v>
      </c>
    </row>
    <row r="12" spans="1:1" ht="72" customHeight="1" x14ac:dyDescent="0.2">
      <c r="A12" s="39" t="s">
        <v>176</v>
      </c>
    </row>
    <row r="14" spans="1:1" ht="36" customHeight="1" x14ac:dyDescent="0.2">
      <c r="A14" s="39" t="s">
        <v>177</v>
      </c>
    </row>
    <row r="16" spans="1:1" ht="36" customHeight="1" x14ac:dyDescent="0.2">
      <c r="A16" s="40" t="s">
        <v>178</v>
      </c>
    </row>
    <row r="18" spans="1:1" ht="36" customHeight="1" x14ac:dyDescent="0.2">
      <c r="A18" s="40" t="s">
        <v>179</v>
      </c>
    </row>
    <row r="20" spans="1:1" ht="36" customHeight="1" x14ac:dyDescent="0.2">
      <c r="A20" s="40" t="s">
        <v>180</v>
      </c>
    </row>
    <row r="22" spans="1:1" ht="24" customHeight="1" x14ac:dyDescent="0.2">
      <c r="A22" s="40" t="s">
        <v>181</v>
      </c>
    </row>
    <row r="24" spans="1:1" ht="24" customHeight="1" x14ac:dyDescent="0.2">
      <c r="A24" s="40" t="s">
        <v>182</v>
      </c>
    </row>
    <row r="26" spans="1:1" ht="24" customHeight="1" x14ac:dyDescent="0.2">
      <c r="A26" s="40" t="s">
        <v>183</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9755C-1268-4586-B010-2D864D436DB0}">
  <sheetPr codeName="Sheet11"/>
  <dimension ref="A5"/>
  <sheetViews>
    <sheetView workbookViewId="0"/>
  </sheetViews>
  <sheetFormatPr defaultRowHeight="10.199999999999999" x14ac:dyDescent="0.2"/>
  <sheetData>
    <row r="5" spans="1:1" ht="23.25" customHeight="1" x14ac:dyDescent="0.4">
      <c r="A5" s="42" t="s">
        <v>184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2023-04-28T02:49:37Z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